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OM.BOXME\GBS\ZOTT\Nghiem thu\2026\Thang 03\"/>
    </mc:Choice>
  </mc:AlternateContent>
  <xr:revisionPtr revIDLastSave="0" documentId="13_ncr:1_{F47BAC8D-4317-464E-BE28-AF69E245DF8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6" r:id="rId1"/>
    <sheet name="Defaut" sheetId="19" r:id="rId2"/>
    <sheet name="Sheet2" sheetId="21" state="hidden" r:id="rId3"/>
    <sheet name="Check" sheetId="17" state="hidden" r:id="rId4"/>
  </sheets>
  <externalReferences>
    <externalReference r:id="rId5"/>
    <externalReference r:id="rId6"/>
    <externalReference r:id="rId7"/>
  </externalReferences>
  <definedNames>
    <definedName name="_xlnm._FilterDatabase" localSheetId="3" hidden="1">Check!$A$1:$E$585</definedName>
    <definedName name="_xlnm._FilterDatabase" localSheetId="1" hidden="1">Defaut!$A$2:$AH$1311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" i="19" l="1"/>
  <c r="D581" i="17"/>
  <c r="E581" i="17" s="1"/>
  <c r="D582" i="17"/>
  <c r="E582" i="17" s="1"/>
  <c r="D583" i="17"/>
  <c r="E583" i="17" s="1"/>
  <c r="D584" i="17"/>
  <c r="E584" i="17" s="1"/>
  <c r="D585" i="17"/>
  <c r="E585" i="17" s="1"/>
  <c r="D580" i="17"/>
  <c r="E580" i="17" s="1"/>
  <c r="D3" i="17"/>
  <c r="E3" i="17" s="1"/>
  <c r="D4" i="17"/>
  <c r="E4" i="17" s="1"/>
  <c r="D5" i="17"/>
  <c r="E5" i="17" s="1"/>
  <c r="D6" i="17"/>
  <c r="E6" i="17" s="1"/>
  <c r="D7" i="17"/>
  <c r="E7" i="17" s="1"/>
  <c r="D8" i="17"/>
  <c r="E8" i="17" s="1"/>
  <c r="D9" i="17"/>
  <c r="E9" i="17" s="1"/>
  <c r="D10" i="17"/>
  <c r="E10" i="17" s="1"/>
  <c r="D11" i="17"/>
  <c r="E11" i="17" s="1"/>
  <c r="D12" i="17"/>
  <c r="E12" i="17" s="1"/>
  <c r="D13" i="17"/>
  <c r="E13" i="17" s="1"/>
  <c r="D14" i="17"/>
  <c r="E14" i="17" s="1"/>
  <c r="D15" i="17"/>
  <c r="E15" i="17" s="1"/>
  <c r="D16" i="17"/>
  <c r="E16" i="17" s="1"/>
  <c r="D17" i="17"/>
  <c r="E17" i="17" s="1"/>
  <c r="D18" i="17"/>
  <c r="E18" i="17" s="1"/>
  <c r="D19" i="17"/>
  <c r="E19" i="17" s="1"/>
  <c r="D20" i="17"/>
  <c r="E20" i="17" s="1"/>
  <c r="D21" i="17"/>
  <c r="E21" i="17" s="1"/>
  <c r="D22" i="17"/>
  <c r="E22" i="17" s="1"/>
  <c r="D23" i="17"/>
  <c r="E23" i="17" s="1"/>
  <c r="D24" i="17"/>
  <c r="E24" i="17" s="1"/>
  <c r="D25" i="17"/>
  <c r="E25" i="17" s="1"/>
  <c r="D26" i="17"/>
  <c r="E26" i="17" s="1"/>
  <c r="D27" i="17"/>
  <c r="E27" i="17" s="1"/>
  <c r="D28" i="17"/>
  <c r="E28" i="17" s="1"/>
  <c r="D29" i="17"/>
  <c r="E29" i="17" s="1"/>
  <c r="D30" i="17"/>
  <c r="E30" i="17" s="1"/>
  <c r="D31" i="17"/>
  <c r="E31" i="17" s="1"/>
  <c r="D32" i="17"/>
  <c r="E32" i="17" s="1"/>
  <c r="D33" i="17"/>
  <c r="E33" i="17" s="1"/>
  <c r="D34" i="17"/>
  <c r="E34" i="17" s="1"/>
  <c r="D35" i="17"/>
  <c r="E35" i="17" s="1"/>
  <c r="D36" i="17"/>
  <c r="E36" i="17" s="1"/>
  <c r="D37" i="17"/>
  <c r="E37" i="17" s="1"/>
  <c r="D38" i="17"/>
  <c r="E38" i="17" s="1"/>
  <c r="D39" i="17"/>
  <c r="E39" i="17" s="1"/>
  <c r="D40" i="17"/>
  <c r="E40" i="17" s="1"/>
  <c r="D41" i="17"/>
  <c r="E41" i="17" s="1"/>
  <c r="D42" i="17"/>
  <c r="E42" i="17" s="1"/>
  <c r="D43" i="17"/>
  <c r="E43" i="17" s="1"/>
  <c r="D44" i="17"/>
  <c r="E44" i="17" s="1"/>
  <c r="D45" i="17"/>
  <c r="E45" i="17" s="1"/>
  <c r="D46" i="17"/>
  <c r="E46" i="17" s="1"/>
  <c r="D47" i="17"/>
  <c r="E47" i="17" s="1"/>
  <c r="D48" i="17"/>
  <c r="E48" i="17" s="1"/>
  <c r="D49" i="17"/>
  <c r="E49" i="17" s="1"/>
  <c r="D50" i="17"/>
  <c r="E50" i="17" s="1"/>
  <c r="D51" i="17"/>
  <c r="E51" i="17" s="1"/>
  <c r="D52" i="17"/>
  <c r="E52" i="17" s="1"/>
  <c r="D53" i="17"/>
  <c r="E53" i="17" s="1"/>
  <c r="D54" i="17"/>
  <c r="E54" i="17" s="1"/>
  <c r="D55" i="17"/>
  <c r="E55" i="17" s="1"/>
  <c r="D56" i="17"/>
  <c r="E56" i="17" s="1"/>
  <c r="D57" i="17"/>
  <c r="E57" i="17" s="1"/>
  <c r="D58" i="17"/>
  <c r="E58" i="17" s="1"/>
  <c r="D59" i="17"/>
  <c r="E59" i="17" s="1"/>
  <c r="D60" i="17"/>
  <c r="E60" i="17" s="1"/>
  <c r="D61" i="17"/>
  <c r="E61" i="17" s="1"/>
  <c r="D62" i="17"/>
  <c r="E62" i="17" s="1"/>
  <c r="D63" i="17"/>
  <c r="E63" i="17" s="1"/>
  <c r="D64" i="17"/>
  <c r="E64" i="17" s="1"/>
  <c r="D65" i="17"/>
  <c r="E65" i="17" s="1"/>
  <c r="D66" i="17"/>
  <c r="E66" i="17" s="1"/>
  <c r="D67" i="17"/>
  <c r="E67" i="17" s="1"/>
  <c r="D68" i="17"/>
  <c r="E68" i="17" s="1"/>
  <c r="D69" i="17"/>
  <c r="E69" i="17" s="1"/>
  <c r="D70" i="17"/>
  <c r="E70" i="17" s="1"/>
  <c r="D71" i="17"/>
  <c r="E71" i="17" s="1"/>
  <c r="D72" i="17"/>
  <c r="E72" i="17" s="1"/>
  <c r="D73" i="17"/>
  <c r="E73" i="17" s="1"/>
  <c r="D74" i="17"/>
  <c r="E74" i="17" s="1"/>
  <c r="D75" i="17"/>
  <c r="E75" i="17" s="1"/>
  <c r="D76" i="17"/>
  <c r="E76" i="17" s="1"/>
  <c r="D77" i="17"/>
  <c r="E77" i="17" s="1"/>
  <c r="D78" i="17"/>
  <c r="E78" i="17" s="1"/>
  <c r="D79" i="17"/>
  <c r="E79" i="17" s="1"/>
  <c r="D80" i="17"/>
  <c r="E80" i="17" s="1"/>
  <c r="D81" i="17"/>
  <c r="E81" i="17" s="1"/>
  <c r="D82" i="17"/>
  <c r="E82" i="17" s="1"/>
  <c r="D83" i="17"/>
  <c r="E83" i="17" s="1"/>
  <c r="D84" i="17"/>
  <c r="E84" i="17" s="1"/>
  <c r="D85" i="17"/>
  <c r="E85" i="17" s="1"/>
  <c r="D86" i="17"/>
  <c r="E86" i="17" s="1"/>
  <c r="D87" i="17"/>
  <c r="E87" i="17" s="1"/>
  <c r="D88" i="17"/>
  <c r="E88" i="17" s="1"/>
  <c r="D89" i="17"/>
  <c r="E89" i="17" s="1"/>
  <c r="D90" i="17"/>
  <c r="E90" i="17" s="1"/>
  <c r="D91" i="17"/>
  <c r="E91" i="17" s="1"/>
  <c r="D92" i="17"/>
  <c r="E92" i="17" s="1"/>
  <c r="D93" i="17"/>
  <c r="E93" i="17" s="1"/>
  <c r="D94" i="17"/>
  <c r="E94" i="17" s="1"/>
  <c r="D95" i="17"/>
  <c r="E95" i="17" s="1"/>
  <c r="D96" i="17"/>
  <c r="E96" i="17" s="1"/>
  <c r="D97" i="17"/>
  <c r="E97" i="17" s="1"/>
  <c r="D98" i="17"/>
  <c r="E98" i="17" s="1"/>
  <c r="D99" i="17"/>
  <c r="E99" i="17" s="1"/>
  <c r="D100" i="17"/>
  <c r="E100" i="17" s="1"/>
  <c r="D101" i="17"/>
  <c r="E101" i="17" s="1"/>
  <c r="D102" i="17"/>
  <c r="E102" i="17" s="1"/>
  <c r="D103" i="17"/>
  <c r="E103" i="17" s="1"/>
  <c r="D104" i="17"/>
  <c r="E104" i="17" s="1"/>
  <c r="D105" i="17"/>
  <c r="E105" i="17" s="1"/>
  <c r="D106" i="17"/>
  <c r="E106" i="17" s="1"/>
  <c r="D107" i="17"/>
  <c r="E107" i="17" s="1"/>
  <c r="D108" i="17"/>
  <c r="E108" i="17" s="1"/>
  <c r="D109" i="17"/>
  <c r="E109" i="17" s="1"/>
  <c r="D110" i="17"/>
  <c r="E110" i="17" s="1"/>
  <c r="D111" i="17"/>
  <c r="E111" i="17" s="1"/>
  <c r="D112" i="17"/>
  <c r="E112" i="17" s="1"/>
  <c r="D113" i="17"/>
  <c r="E113" i="17" s="1"/>
  <c r="D114" i="17"/>
  <c r="E114" i="17" s="1"/>
  <c r="D115" i="17"/>
  <c r="E115" i="17" s="1"/>
  <c r="D116" i="17"/>
  <c r="E116" i="17" s="1"/>
  <c r="D117" i="17"/>
  <c r="E117" i="17" s="1"/>
  <c r="D118" i="17"/>
  <c r="E118" i="17" s="1"/>
  <c r="D119" i="17"/>
  <c r="E119" i="17" s="1"/>
  <c r="D120" i="17"/>
  <c r="E120" i="17" s="1"/>
  <c r="D121" i="17"/>
  <c r="E121" i="17" s="1"/>
  <c r="D122" i="17"/>
  <c r="E122" i="17" s="1"/>
  <c r="D123" i="17"/>
  <c r="E123" i="17" s="1"/>
  <c r="D124" i="17"/>
  <c r="E124" i="17" s="1"/>
  <c r="D125" i="17"/>
  <c r="E125" i="17" s="1"/>
  <c r="D126" i="17"/>
  <c r="E126" i="17" s="1"/>
  <c r="D127" i="17"/>
  <c r="E127" i="17" s="1"/>
  <c r="D128" i="17"/>
  <c r="E128" i="17" s="1"/>
  <c r="D129" i="17"/>
  <c r="E129" i="17" s="1"/>
  <c r="D130" i="17"/>
  <c r="E130" i="17" s="1"/>
  <c r="D131" i="17"/>
  <c r="E131" i="17" s="1"/>
  <c r="D132" i="17"/>
  <c r="E132" i="17" s="1"/>
  <c r="D133" i="17"/>
  <c r="E133" i="17" s="1"/>
  <c r="D134" i="17"/>
  <c r="E134" i="17" s="1"/>
  <c r="D135" i="17"/>
  <c r="E135" i="17" s="1"/>
  <c r="D136" i="17"/>
  <c r="E136" i="17" s="1"/>
  <c r="D137" i="17"/>
  <c r="E137" i="17" s="1"/>
  <c r="D138" i="17"/>
  <c r="E138" i="17" s="1"/>
  <c r="D139" i="17"/>
  <c r="E139" i="17" s="1"/>
  <c r="D140" i="17"/>
  <c r="E140" i="17" s="1"/>
  <c r="D141" i="17"/>
  <c r="E141" i="17" s="1"/>
  <c r="D142" i="17"/>
  <c r="E142" i="17" s="1"/>
  <c r="D143" i="17"/>
  <c r="E143" i="17" s="1"/>
  <c r="D144" i="17"/>
  <c r="E144" i="17" s="1"/>
  <c r="D145" i="17"/>
  <c r="E145" i="17" s="1"/>
  <c r="D146" i="17"/>
  <c r="E146" i="17" s="1"/>
  <c r="D147" i="17"/>
  <c r="E147" i="17" s="1"/>
  <c r="D148" i="17"/>
  <c r="E148" i="17" s="1"/>
  <c r="D149" i="17"/>
  <c r="E149" i="17" s="1"/>
  <c r="D150" i="17"/>
  <c r="E150" i="17" s="1"/>
  <c r="D151" i="17"/>
  <c r="E151" i="17" s="1"/>
  <c r="D152" i="17"/>
  <c r="E152" i="17" s="1"/>
  <c r="D153" i="17"/>
  <c r="E153" i="17" s="1"/>
  <c r="D154" i="17"/>
  <c r="E154" i="17" s="1"/>
  <c r="D155" i="17"/>
  <c r="E155" i="17" s="1"/>
  <c r="D156" i="17"/>
  <c r="E156" i="17" s="1"/>
  <c r="D157" i="17"/>
  <c r="E157" i="17" s="1"/>
  <c r="D158" i="17"/>
  <c r="E158" i="17" s="1"/>
  <c r="D159" i="17"/>
  <c r="E159" i="17" s="1"/>
  <c r="D160" i="17"/>
  <c r="E160" i="17" s="1"/>
  <c r="D161" i="17"/>
  <c r="E161" i="17" s="1"/>
  <c r="D162" i="17"/>
  <c r="E162" i="17" s="1"/>
  <c r="D163" i="17"/>
  <c r="E163" i="17" s="1"/>
  <c r="D164" i="17"/>
  <c r="E164" i="17" s="1"/>
  <c r="D165" i="17"/>
  <c r="E165" i="17" s="1"/>
  <c r="D166" i="17"/>
  <c r="E166" i="17" s="1"/>
  <c r="D167" i="17"/>
  <c r="E167" i="17" s="1"/>
  <c r="D168" i="17"/>
  <c r="E168" i="17" s="1"/>
  <c r="D169" i="17"/>
  <c r="E169" i="17" s="1"/>
  <c r="D170" i="17"/>
  <c r="E170" i="17" s="1"/>
  <c r="D171" i="17"/>
  <c r="E171" i="17" s="1"/>
  <c r="D172" i="17"/>
  <c r="E172" i="17" s="1"/>
  <c r="D173" i="17"/>
  <c r="E173" i="17" s="1"/>
  <c r="D174" i="17"/>
  <c r="E174" i="17" s="1"/>
  <c r="D175" i="17"/>
  <c r="E175" i="17" s="1"/>
  <c r="D176" i="17"/>
  <c r="E176" i="17" s="1"/>
  <c r="D177" i="17"/>
  <c r="E177" i="17" s="1"/>
  <c r="D178" i="17"/>
  <c r="E178" i="17" s="1"/>
  <c r="D179" i="17"/>
  <c r="E179" i="17" s="1"/>
  <c r="D180" i="17"/>
  <c r="E180" i="17" s="1"/>
  <c r="D181" i="17"/>
  <c r="E181" i="17" s="1"/>
  <c r="D182" i="17"/>
  <c r="E182" i="17" s="1"/>
  <c r="D183" i="17"/>
  <c r="E183" i="17" s="1"/>
  <c r="D184" i="17"/>
  <c r="E184" i="17" s="1"/>
  <c r="D185" i="17"/>
  <c r="E185" i="17" s="1"/>
  <c r="D186" i="17"/>
  <c r="E186" i="17" s="1"/>
  <c r="D187" i="17"/>
  <c r="E187" i="17" s="1"/>
  <c r="D188" i="17"/>
  <c r="E188" i="17" s="1"/>
  <c r="D189" i="17"/>
  <c r="E189" i="17" s="1"/>
  <c r="D190" i="17"/>
  <c r="E190" i="17" s="1"/>
  <c r="D191" i="17"/>
  <c r="E191" i="17" s="1"/>
  <c r="D192" i="17"/>
  <c r="E192" i="17" s="1"/>
  <c r="D193" i="17"/>
  <c r="E193" i="17" s="1"/>
  <c r="D194" i="17"/>
  <c r="E194" i="17" s="1"/>
  <c r="D195" i="17"/>
  <c r="E195" i="17" s="1"/>
  <c r="D196" i="17"/>
  <c r="E196" i="17" s="1"/>
  <c r="D197" i="17"/>
  <c r="E197" i="17" s="1"/>
  <c r="D198" i="17"/>
  <c r="E198" i="17" s="1"/>
  <c r="D199" i="17"/>
  <c r="E199" i="17" s="1"/>
  <c r="D200" i="17"/>
  <c r="E200" i="17" s="1"/>
  <c r="D201" i="17"/>
  <c r="E201" i="17" s="1"/>
  <c r="D202" i="17"/>
  <c r="E202" i="17" s="1"/>
  <c r="D203" i="17"/>
  <c r="E203" i="17" s="1"/>
  <c r="D204" i="17"/>
  <c r="E204" i="17" s="1"/>
  <c r="D205" i="17"/>
  <c r="E205" i="17" s="1"/>
  <c r="D206" i="17"/>
  <c r="E206" i="17" s="1"/>
  <c r="D207" i="17"/>
  <c r="E207" i="17" s="1"/>
  <c r="D208" i="17"/>
  <c r="E208" i="17" s="1"/>
  <c r="D209" i="17"/>
  <c r="E209" i="17" s="1"/>
  <c r="D210" i="17"/>
  <c r="E210" i="17" s="1"/>
  <c r="D211" i="17"/>
  <c r="E211" i="17" s="1"/>
  <c r="D212" i="17"/>
  <c r="E212" i="17" s="1"/>
  <c r="D213" i="17"/>
  <c r="E213" i="17" s="1"/>
  <c r="D214" i="17"/>
  <c r="E214" i="17" s="1"/>
  <c r="D215" i="17"/>
  <c r="E215" i="17" s="1"/>
  <c r="D216" i="17"/>
  <c r="E216" i="17" s="1"/>
  <c r="D217" i="17"/>
  <c r="E217" i="17" s="1"/>
  <c r="D218" i="17"/>
  <c r="E218" i="17" s="1"/>
  <c r="D219" i="17"/>
  <c r="E219" i="17" s="1"/>
  <c r="D220" i="17"/>
  <c r="E220" i="17" s="1"/>
  <c r="D221" i="17"/>
  <c r="E221" i="17" s="1"/>
  <c r="D222" i="17"/>
  <c r="E222" i="17" s="1"/>
  <c r="D223" i="17"/>
  <c r="E223" i="17" s="1"/>
  <c r="D224" i="17"/>
  <c r="E224" i="17" s="1"/>
  <c r="D225" i="17"/>
  <c r="E225" i="17" s="1"/>
  <c r="D226" i="17"/>
  <c r="E226" i="17" s="1"/>
  <c r="D227" i="17"/>
  <c r="E227" i="17" s="1"/>
  <c r="D228" i="17"/>
  <c r="E228" i="17" s="1"/>
  <c r="D229" i="17"/>
  <c r="E229" i="17" s="1"/>
  <c r="D230" i="17"/>
  <c r="E230" i="17" s="1"/>
  <c r="D231" i="17"/>
  <c r="E231" i="17" s="1"/>
  <c r="D232" i="17"/>
  <c r="E232" i="17" s="1"/>
  <c r="D233" i="17"/>
  <c r="E233" i="17" s="1"/>
  <c r="D234" i="17"/>
  <c r="E234" i="17" s="1"/>
  <c r="D235" i="17"/>
  <c r="E235" i="17" s="1"/>
  <c r="D236" i="17"/>
  <c r="E236" i="17" s="1"/>
  <c r="D237" i="17"/>
  <c r="E237" i="17" s="1"/>
  <c r="D238" i="17"/>
  <c r="E238" i="17" s="1"/>
  <c r="D239" i="17"/>
  <c r="E239" i="17" s="1"/>
  <c r="D240" i="17"/>
  <c r="E240" i="17" s="1"/>
  <c r="D241" i="17"/>
  <c r="E241" i="17" s="1"/>
  <c r="D242" i="17"/>
  <c r="E242" i="17" s="1"/>
  <c r="D243" i="17"/>
  <c r="E243" i="17" s="1"/>
  <c r="D244" i="17"/>
  <c r="E244" i="17" s="1"/>
  <c r="D245" i="17"/>
  <c r="E245" i="17" s="1"/>
  <c r="D246" i="17"/>
  <c r="E246" i="17" s="1"/>
  <c r="D247" i="17"/>
  <c r="E247" i="17" s="1"/>
  <c r="D248" i="17"/>
  <c r="E248" i="17" s="1"/>
  <c r="D249" i="17"/>
  <c r="E249" i="17" s="1"/>
  <c r="D250" i="17"/>
  <c r="E250" i="17" s="1"/>
  <c r="D251" i="17"/>
  <c r="E251" i="17" s="1"/>
  <c r="D252" i="17"/>
  <c r="E252" i="17" s="1"/>
  <c r="D253" i="17"/>
  <c r="E253" i="17" s="1"/>
  <c r="D254" i="17"/>
  <c r="E254" i="17" s="1"/>
  <c r="D255" i="17"/>
  <c r="E255" i="17" s="1"/>
  <c r="D256" i="17"/>
  <c r="E256" i="17" s="1"/>
  <c r="D257" i="17"/>
  <c r="E257" i="17" s="1"/>
  <c r="D258" i="17"/>
  <c r="E258" i="17" s="1"/>
  <c r="D259" i="17"/>
  <c r="E259" i="17" s="1"/>
  <c r="D260" i="17"/>
  <c r="E260" i="17" s="1"/>
  <c r="D261" i="17"/>
  <c r="E261" i="17" s="1"/>
  <c r="D262" i="17"/>
  <c r="E262" i="17" s="1"/>
  <c r="D263" i="17"/>
  <c r="E263" i="17" s="1"/>
  <c r="D264" i="17"/>
  <c r="E264" i="17" s="1"/>
  <c r="D265" i="17"/>
  <c r="E265" i="17" s="1"/>
  <c r="D266" i="17"/>
  <c r="E266" i="17" s="1"/>
  <c r="D267" i="17"/>
  <c r="E267" i="17" s="1"/>
  <c r="D268" i="17"/>
  <c r="E268" i="17" s="1"/>
  <c r="D269" i="17"/>
  <c r="E269" i="17" s="1"/>
  <c r="D270" i="17"/>
  <c r="E270" i="17" s="1"/>
  <c r="D271" i="17"/>
  <c r="E271" i="17" s="1"/>
  <c r="D272" i="17"/>
  <c r="E272" i="17" s="1"/>
  <c r="D273" i="17"/>
  <c r="E273" i="17" s="1"/>
  <c r="D274" i="17"/>
  <c r="E274" i="17" s="1"/>
  <c r="D275" i="17"/>
  <c r="E275" i="17" s="1"/>
  <c r="D276" i="17"/>
  <c r="E276" i="17" s="1"/>
  <c r="D277" i="17"/>
  <c r="E277" i="17" s="1"/>
  <c r="D278" i="17"/>
  <c r="E278" i="17" s="1"/>
  <c r="D279" i="17"/>
  <c r="E279" i="17" s="1"/>
  <c r="D280" i="17"/>
  <c r="E280" i="17" s="1"/>
  <c r="D281" i="17"/>
  <c r="E281" i="17" s="1"/>
  <c r="D282" i="17"/>
  <c r="E282" i="17" s="1"/>
  <c r="D283" i="17"/>
  <c r="E283" i="17" s="1"/>
  <c r="D284" i="17"/>
  <c r="E284" i="17" s="1"/>
  <c r="D285" i="17"/>
  <c r="E285" i="17" s="1"/>
  <c r="D286" i="17"/>
  <c r="E286" i="17" s="1"/>
  <c r="D287" i="17"/>
  <c r="E287" i="17" s="1"/>
  <c r="D288" i="17"/>
  <c r="E288" i="17" s="1"/>
  <c r="D289" i="17"/>
  <c r="E289" i="17" s="1"/>
  <c r="D290" i="17"/>
  <c r="E290" i="17" s="1"/>
  <c r="D291" i="17"/>
  <c r="E291" i="17" s="1"/>
  <c r="D292" i="17"/>
  <c r="E292" i="17" s="1"/>
  <c r="D293" i="17"/>
  <c r="E293" i="17" s="1"/>
  <c r="D294" i="17"/>
  <c r="E294" i="17" s="1"/>
  <c r="D295" i="17"/>
  <c r="E295" i="17" s="1"/>
  <c r="D296" i="17"/>
  <c r="E296" i="17" s="1"/>
  <c r="D297" i="17"/>
  <c r="E297" i="17" s="1"/>
  <c r="D298" i="17"/>
  <c r="E298" i="17" s="1"/>
  <c r="D299" i="17"/>
  <c r="E299" i="17" s="1"/>
  <c r="D300" i="17"/>
  <c r="E300" i="17" s="1"/>
  <c r="D301" i="17"/>
  <c r="E301" i="17" s="1"/>
  <c r="D302" i="17"/>
  <c r="E302" i="17" s="1"/>
  <c r="D303" i="17"/>
  <c r="E303" i="17" s="1"/>
  <c r="D304" i="17"/>
  <c r="E304" i="17" s="1"/>
  <c r="D305" i="17"/>
  <c r="E305" i="17" s="1"/>
  <c r="D306" i="17"/>
  <c r="E306" i="17" s="1"/>
  <c r="D307" i="17"/>
  <c r="E307" i="17" s="1"/>
  <c r="D308" i="17"/>
  <c r="E308" i="17" s="1"/>
  <c r="D309" i="17"/>
  <c r="E309" i="17" s="1"/>
  <c r="D310" i="17"/>
  <c r="E310" i="17" s="1"/>
  <c r="D311" i="17"/>
  <c r="E311" i="17" s="1"/>
  <c r="D312" i="17"/>
  <c r="E312" i="17" s="1"/>
  <c r="D313" i="17"/>
  <c r="E313" i="17" s="1"/>
  <c r="D314" i="17"/>
  <c r="E314" i="17" s="1"/>
  <c r="D315" i="17"/>
  <c r="E315" i="17" s="1"/>
  <c r="D316" i="17"/>
  <c r="E316" i="17" s="1"/>
  <c r="D317" i="17"/>
  <c r="E317" i="17" s="1"/>
  <c r="D318" i="17"/>
  <c r="E318" i="17" s="1"/>
  <c r="D319" i="17"/>
  <c r="E319" i="17" s="1"/>
  <c r="D320" i="17"/>
  <c r="E320" i="17" s="1"/>
  <c r="D321" i="17"/>
  <c r="E321" i="17" s="1"/>
  <c r="D322" i="17"/>
  <c r="E322" i="17" s="1"/>
  <c r="D323" i="17"/>
  <c r="E323" i="17" s="1"/>
  <c r="D324" i="17"/>
  <c r="E324" i="17" s="1"/>
  <c r="D325" i="17"/>
  <c r="E325" i="17" s="1"/>
  <c r="D326" i="17"/>
  <c r="E326" i="17" s="1"/>
  <c r="D327" i="17"/>
  <c r="E327" i="17" s="1"/>
  <c r="D328" i="17"/>
  <c r="E328" i="17" s="1"/>
  <c r="D329" i="17"/>
  <c r="E329" i="17" s="1"/>
  <c r="D330" i="17"/>
  <c r="E330" i="17" s="1"/>
  <c r="D331" i="17"/>
  <c r="E331" i="17" s="1"/>
  <c r="D332" i="17"/>
  <c r="E332" i="17" s="1"/>
  <c r="D333" i="17"/>
  <c r="E333" i="17" s="1"/>
  <c r="D334" i="17"/>
  <c r="E334" i="17" s="1"/>
  <c r="D335" i="17"/>
  <c r="E335" i="17" s="1"/>
  <c r="D336" i="17"/>
  <c r="E336" i="17" s="1"/>
  <c r="D337" i="17"/>
  <c r="E337" i="17" s="1"/>
  <c r="D338" i="17"/>
  <c r="E338" i="17" s="1"/>
  <c r="D339" i="17"/>
  <c r="E339" i="17" s="1"/>
  <c r="D340" i="17"/>
  <c r="E340" i="17" s="1"/>
  <c r="D341" i="17"/>
  <c r="E341" i="17" s="1"/>
  <c r="D342" i="17"/>
  <c r="E342" i="17" s="1"/>
  <c r="D343" i="17"/>
  <c r="E343" i="17" s="1"/>
  <c r="D344" i="17"/>
  <c r="E344" i="17" s="1"/>
  <c r="D345" i="17"/>
  <c r="E345" i="17" s="1"/>
  <c r="D346" i="17"/>
  <c r="E346" i="17" s="1"/>
  <c r="D347" i="17"/>
  <c r="E347" i="17" s="1"/>
  <c r="D348" i="17"/>
  <c r="E348" i="17" s="1"/>
  <c r="D349" i="17"/>
  <c r="E349" i="17" s="1"/>
  <c r="D350" i="17"/>
  <c r="E350" i="17" s="1"/>
  <c r="D351" i="17"/>
  <c r="E351" i="17" s="1"/>
  <c r="D352" i="17"/>
  <c r="E352" i="17" s="1"/>
  <c r="D353" i="17"/>
  <c r="E353" i="17" s="1"/>
  <c r="D354" i="17"/>
  <c r="E354" i="17" s="1"/>
  <c r="D355" i="17"/>
  <c r="E355" i="17" s="1"/>
  <c r="D356" i="17"/>
  <c r="E356" i="17" s="1"/>
  <c r="D357" i="17"/>
  <c r="E357" i="17" s="1"/>
  <c r="D358" i="17"/>
  <c r="E358" i="17" s="1"/>
  <c r="D359" i="17"/>
  <c r="E359" i="17" s="1"/>
  <c r="D360" i="17"/>
  <c r="E360" i="17" s="1"/>
  <c r="D361" i="17"/>
  <c r="E361" i="17" s="1"/>
  <c r="D362" i="17"/>
  <c r="E362" i="17" s="1"/>
  <c r="D363" i="17"/>
  <c r="E363" i="17" s="1"/>
  <c r="D364" i="17"/>
  <c r="E364" i="17" s="1"/>
  <c r="D365" i="17"/>
  <c r="E365" i="17" s="1"/>
  <c r="D366" i="17"/>
  <c r="E366" i="17" s="1"/>
  <c r="D367" i="17"/>
  <c r="E367" i="17" s="1"/>
  <c r="D368" i="17"/>
  <c r="E368" i="17" s="1"/>
  <c r="D369" i="17"/>
  <c r="E369" i="17" s="1"/>
  <c r="D370" i="17"/>
  <c r="E370" i="17" s="1"/>
  <c r="D371" i="17"/>
  <c r="E371" i="17" s="1"/>
  <c r="D372" i="17"/>
  <c r="E372" i="17" s="1"/>
  <c r="D373" i="17"/>
  <c r="E373" i="17" s="1"/>
  <c r="D374" i="17"/>
  <c r="E374" i="17" s="1"/>
  <c r="D375" i="17"/>
  <c r="E375" i="17" s="1"/>
  <c r="D376" i="17"/>
  <c r="E376" i="17" s="1"/>
  <c r="D377" i="17"/>
  <c r="E377" i="17" s="1"/>
  <c r="D378" i="17"/>
  <c r="E378" i="17" s="1"/>
  <c r="D379" i="17"/>
  <c r="E379" i="17" s="1"/>
  <c r="D380" i="17"/>
  <c r="E380" i="17" s="1"/>
  <c r="D381" i="17"/>
  <c r="E381" i="17" s="1"/>
  <c r="D382" i="17"/>
  <c r="E382" i="17" s="1"/>
  <c r="D383" i="17"/>
  <c r="E383" i="17" s="1"/>
  <c r="D384" i="17"/>
  <c r="E384" i="17" s="1"/>
  <c r="D385" i="17"/>
  <c r="E385" i="17" s="1"/>
  <c r="D386" i="17"/>
  <c r="E386" i="17" s="1"/>
  <c r="D387" i="17"/>
  <c r="E387" i="17" s="1"/>
  <c r="D388" i="17"/>
  <c r="E388" i="17" s="1"/>
  <c r="D389" i="17"/>
  <c r="E389" i="17" s="1"/>
  <c r="D390" i="17"/>
  <c r="E390" i="17" s="1"/>
  <c r="D391" i="17"/>
  <c r="E391" i="17" s="1"/>
  <c r="D392" i="17"/>
  <c r="E392" i="17" s="1"/>
  <c r="D393" i="17"/>
  <c r="E393" i="17" s="1"/>
  <c r="D394" i="17"/>
  <c r="E394" i="17" s="1"/>
  <c r="D395" i="17"/>
  <c r="E395" i="17" s="1"/>
  <c r="D396" i="17"/>
  <c r="E396" i="17" s="1"/>
  <c r="D397" i="17"/>
  <c r="E397" i="17" s="1"/>
  <c r="D398" i="17"/>
  <c r="E398" i="17" s="1"/>
  <c r="D399" i="17"/>
  <c r="E399" i="17" s="1"/>
  <c r="D400" i="17"/>
  <c r="E400" i="17" s="1"/>
  <c r="D401" i="17"/>
  <c r="E401" i="17" s="1"/>
  <c r="D402" i="17"/>
  <c r="E402" i="17" s="1"/>
  <c r="D403" i="17"/>
  <c r="E403" i="17" s="1"/>
  <c r="D404" i="17"/>
  <c r="E404" i="17" s="1"/>
  <c r="D405" i="17"/>
  <c r="E405" i="17" s="1"/>
  <c r="D406" i="17"/>
  <c r="E406" i="17" s="1"/>
  <c r="D407" i="17"/>
  <c r="E407" i="17" s="1"/>
  <c r="D408" i="17"/>
  <c r="E408" i="17" s="1"/>
  <c r="D409" i="17"/>
  <c r="E409" i="17" s="1"/>
  <c r="D410" i="17"/>
  <c r="E410" i="17" s="1"/>
  <c r="D411" i="17"/>
  <c r="E411" i="17" s="1"/>
  <c r="D412" i="17"/>
  <c r="E412" i="17" s="1"/>
  <c r="D413" i="17"/>
  <c r="E413" i="17" s="1"/>
  <c r="D414" i="17"/>
  <c r="E414" i="17" s="1"/>
  <c r="D415" i="17"/>
  <c r="E415" i="17" s="1"/>
  <c r="D416" i="17"/>
  <c r="E416" i="17" s="1"/>
  <c r="D417" i="17"/>
  <c r="E417" i="17" s="1"/>
  <c r="D418" i="17"/>
  <c r="E418" i="17" s="1"/>
  <c r="D419" i="17"/>
  <c r="E419" i="17" s="1"/>
  <c r="D420" i="17"/>
  <c r="E420" i="17" s="1"/>
  <c r="D421" i="17"/>
  <c r="E421" i="17" s="1"/>
  <c r="D422" i="17"/>
  <c r="E422" i="17" s="1"/>
  <c r="D423" i="17"/>
  <c r="E423" i="17" s="1"/>
  <c r="D424" i="17"/>
  <c r="E424" i="17" s="1"/>
  <c r="D425" i="17"/>
  <c r="E425" i="17" s="1"/>
  <c r="D426" i="17"/>
  <c r="E426" i="17" s="1"/>
  <c r="D427" i="17"/>
  <c r="E427" i="17" s="1"/>
  <c r="D428" i="17"/>
  <c r="E428" i="17" s="1"/>
  <c r="D429" i="17"/>
  <c r="E429" i="17" s="1"/>
  <c r="D430" i="17"/>
  <c r="E430" i="17" s="1"/>
  <c r="D431" i="17"/>
  <c r="E431" i="17" s="1"/>
  <c r="D432" i="17"/>
  <c r="E432" i="17" s="1"/>
  <c r="D433" i="17"/>
  <c r="E433" i="17" s="1"/>
  <c r="D434" i="17"/>
  <c r="E434" i="17" s="1"/>
  <c r="D435" i="17"/>
  <c r="E435" i="17" s="1"/>
  <c r="D436" i="17"/>
  <c r="E436" i="17" s="1"/>
  <c r="D437" i="17"/>
  <c r="E437" i="17" s="1"/>
  <c r="D438" i="17"/>
  <c r="E438" i="17" s="1"/>
  <c r="D439" i="17"/>
  <c r="E439" i="17" s="1"/>
  <c r="D440" i="17"/>
  <c r="E440" i="17" s="1"/>
  <c r="D441" i="17"/>
  <c r="E441" i="17" s="1"/>
  <c r="D442" i="17"/>
  <c r="E442" i="17" s="1"/>
  <c r="D443" i="17"/>
  <c r="E443" i="17" s="1"/>
  <c r="D444" i="17"/>
  <c r="E444" i="17" s="1"/>
  <c r="D445" i="17"/>
  <c r="E445" i="17" s="1"/>
  <c r="D446" i="17"/>
  <c r="E446" i="17" s="1"/>
  <c r="D447" i="17"/>
  <c r="E447" i="17" s="1"/>
  <c r="D448" i="17"/>
  <c r="E448" i="17" s="1"/>
  <c r="D449" i="17"/>
  <c r="E449" i="17" s="1"/>
  <c r="D450" i="17"/>
  <c r="E450" i="17" s="1"/>
  <c r="D451" i="17"/>
  <c r="E451" i="17" s="1"/>
  <c r="D452" i="17"/>
  <c r="E452" i="17" s="1"/>
  <c r="D453" i="17"/>
  <c r="E453" i="17" s="1"/>
  <c r="D454" i="17"/>
  <c r="E454" i="17" s="1"/>
  <c r="D455" i="17"/>
  <c r="E455" i="17" s="1"/>
  <c r="D456" i="17"/>
  <c r="E456" i="17" s="1"/>
  <c r="D457" i="17"/>
  <c r="E457" i="17" s="1"/>
  <c r="D458" i="17"/>
  <c r="E458" i="17" s="1"/>
  <c r="D459" i="17"/>
  <c r="E459" i="17" s="1"/>
  <c r="D460" i="17"/>
  <c r="E460" i="17" s="1"/>
  <c r="D461" i="17"/>
  <c r="E461" i="17" s="1"/>
  <c r="D462" i="17"/>
  <c r="E462" i="17" s="1"/>
  <c r="D463" i="17"/>
  <c r="E463" i="17" s="1"/>
  <c r="D464" i="17"/>
  <c r="E464" i="17" s="1"/>
  <c r="D465" i="17"/>
  <c r="E465" i="17" s="1"/>
  <c r="D466" i="17"/>
  <c r="E466" i="17" s="1"/>
  <c r="D467" i="17"/>
  <c r="E467" i="17" s="1"/>
  <c r="D468" i="17"/>
  <c r="E468" i="17" s="1"/>
  <c r="D469" i="17"/>
  <c r="E469" i="17" s="1"/>
  <c r="D470" i="17"/>
  <c r="E470" i="17" s="1"/>
  <c r="D471" i="17"/>
  <c r="E471" i="17" s="1"/>
  <c r="D472" i="17"/>
  <c r="E472" i="17" s="1"/>
  <c r="D473" i="17"/>
  <c r="E473" i="17" s="1"/>
  <c r="D474" i="17"/>
  <c r="E474" i="17" s="1"/>
  <c r="D475" i="17"/>
  <c r="E475" i="17" s="1"/>
  <c r="D476" i="17"/>
  <c r="E476" i="17" s="1"/>
  <c r="D477" i="17"/>
  <c r="E477" i="17" s="1"/>
  <c r="D478" i="17"/>
  <c r="E478" i="17" s="1"/>
  <c r="D479" i="17"/>
  <c r="E479" i="17" s="1"/>
  <c r="D480" i="17"/>
  <c r="E480" i="17" s="1"/>
  <c r="D481" i="17"/>
  <c r="E481" i="17" s="1"/>
  <c r="D482" i="17"/>
  <c r="E482" i="17" s="1"/>
  <c r="D483" i="17"/>
  <c r="E483" i="17" s="1"/>
  <c r="D484" i="17"/>
  <c r="E484" i="17" s="1"/>
  <c r="D485" i="17"/>
  <c r="E485" i="17" s="1"/>
  <c r="D486" i="17"/>
  <c r="E486" i="17" s="1"/>
  <c r="D487" i="17"/>
  <c r="E487" i="17" s="1"/>
  <c r="D488" i="17"/>
  <c r="E488" i="17" s="1"/>
  <c r="D489" i="17"/>
  <c r="E489" i="17" s="1"/>
  <c r="D490" i="17"/>
  <c r="E490" i="17" s="1"/>
  <c r="D491" i="17"/>
  <c r="E491" i="17" s="1"/>
  <c r="D492" i="17"/>
  <c r="E492" i="17" s="1"/>
  <c r="D493" i="17"/>
  <c r="E493" i="17" s="1"/>
  <c r="D494" i="17"/>
  <c r="E494" i="17" s="1"/>
  <c r="D495" i="17"/>
  <c r="E495" i="17" s="1"/>
  <c r="D496" i="17"/>
  <c r="E496" i="17" s="1"/>
  <c r="D497" i="17"/>
  <c r="E497" i="17" s="1"/>
  <c r="D498" i="17"/>
  <c r="E498" i="17" s="1"/>
  <c r="D499" i="17"/>
  <c r="E499" i="17" s="1"/>
  <c r="D500" i="17"/>
  <c r="E500" i="17" s="1"/>
  <c r="D501" i="17"/>
  <c r="E501" i="17" s="1"/>
  <c r="D502" i="17"/>
  <c r="E502" i="17" s="1"/>
  <c r="D503" i="17"/>
  <c r="E503" i="17" s="1"/>
  <c r="D504" i="17"/>
  <c r="E504" i="17" s="1"/>
  <c r="D505" i="17"/>
  <c r="E505" i="17" s="1"/>
  <c r="D506" i="17"/>
  <c r="E506" i="17" s="1"/>
  <c r="D507" i="17"/>
  <c r="E507" i="17" s="1"/>
  <c r="D508" i="17"/>
  <c r="E508" i="17" s="1"/>
  <c r="D509" i="17"/>
  <c r="E509" i="17" s="1"/>
  <c r="D510" i="17"/>
  <c r="E510" i="17" s="1"/>
  <c r="D511" i="17"/>
  <c r="E511" i="17" s="1"/>
  <c r="D512" i="17"/>
  <c r="E512" i="17" s="1"/>
  <c r="D513" i="17"/>
  <c r="E513" i="17" s="1"/>
  <c r="D514" i="17"/>
  <c r="E514" i="17" s="1"/>
  <c r="D515" i="17"/>
  <c r="E515" i="17" s="1"/>
  <c r="D516" i="17"/>
  <c r="E516" i="17" s="1"/>
  <c r="D517" i="17"/>
  <c r="E517" i="17" s="1"/>
  <c r="D518" i="17"/>
  <c r="E518" i="17" s="1"/>
  <c r="D519" i="17"/>
  <c r="E519" i="17" s="1"/>
  <c r="D520" i="17"/>
  <c r="E520" i="17" s="1"/>
  <c r="D521" i="17"/>
  <c r="E521" i="17" s="1"/>
  <c r="D522" i="17"/>
  <c r="E522" i="17" s="1"/>
  <c r="D523" i="17"/>
  <c r="E523" i="17" s="1"/>
  <c r="D524" i="17"/>
  <c r="E524" i="17" s="1"/>
  <c r="D525" i="17"/>
  <c r="E525" i="17" s="1"/>
  <c r="D526" i="17"/>
  <c r="E526" i="17" s="1"/>
  <c r="D527" i="17"/>
  <c r="E527" i="17" s="1"/>
  <c r="D528" i="17"/>
  <c r="E528" i="17" s="1"/>
  <c r="D529" i="17"/>
  <c r="E529" i="17" s="1"/>
  <c r="D530" i="17"/>
  <c r="E530" i="17" s="1"/>
  <c r="D531" i="17"/>
  <c r="E531" i="17" s="1"/>
  <c r="D532" i="17"/>
  <c r="E532" i="17" s="1"/>
  <c r="D533" i="17"/>
  <c r="E533" i="17" s="1"/>
  <c r="D534" i="17"/>
  <c r="E534" i="17" s="1"/>
  <c r="D535" i="17"/>
  <c r="E535" i="17" s="1"/>
  <c r="D536" i="17"/>
  <c r="E536" i="17" s="1"/>
  <c r="D537" i="17"/>
  <c r="E537" i="17" s="1"/>
  <c r="D538" i="17"/>
  <c r="E538" i="17" s="1"/>
  <c r="D539" i="17"/>
  <c r="E539" i="17" s="1"/>
  <c r="D540" i="17"/>
  <c r="E540" i="17" s="1"/>
  <c r="D541" i="17"/>
  <c r="E541" i="17" s="1"/>
  <c r="D542" i="17"/>
  <c r="E542" i="17" s="1"/>
  <c r="D543" i="17"/>
  <c r="E543" i="17" s="1"/>
  <c r="D544" i="17"/>
  <c r="E544" i="17" s="1"/>
  <c r="D545" i="17"/>
  <c r="E545" i="17" s="1"/>
  <c r="D546" i="17"/>
  <c r="E546" i="17" s="1"/>
  <c r="D547" i="17"/>
  <c r="E547" i="17" s="1"/>
  <c r="D548" i="17"/>
  <c r="E548" i="17" s="1"/>
  <c r="D549" i="17"/>
  <c r="E549" i="17" s="1"/>
  <c r="D550" i="17"/>
  <c r="E550" i="17" s="1"/>
  <c r="D551" i="17"/>
  <c r="E551" i="17" s="1"/>
  <c r="D552" i="17"/>
  <c r="E552" i="17" s="1"/>
  <c r="D553" i="17"/>
  <c r="E553" i="17" s="1"/>
  <c r="D554" i="17"/>
  <c r="E554" i="17" s="1"/>
  <c r="D555" i="17"/>
  <c r="E555" i="17" s="1"/>
  <c r="D556" i="17"/>
  <c r="E556" i="17" s="1"/>
  <c r="D557" i="17"/>
  <c r="E557" i="17" s="1"/>
  <c r="D558" i="17"/>
  <c r="E558" i="17" s="1"/>
  <c r="D559" i="17"/>
  <c r="E559" i="17" s="1"/>
  <c r="D560" i="17"/>
  <c r="E560" i="17" s="1"/>
  <c r="D561" i="17"/>
  <c r="E561" i="17" s="1"/>
  <c r="D562" i="17"/>
  <c r="E562" i="17" s="1"/>
  <c r="D563" i="17"/>
  <c r="E563" i="17" s="1"/>
  <c r="D564" i="17"/>
  <c r="E564" i="17" s="1"/>
  <c r="D565" i="17"/>
  <c r="E565" i="17" s="1"/>
  <c r="D566" i="17"/>
  <c r="E566" i="17" s="1"/>
  <c r="D567" i="17"/>
  <c r="E567" i="17" s="1"/>
  <c r="D568" i="17"/>
  <c r="E568" i="17" s="1"/>
  <c r="D569" i="17"/>
  <c r="E569" i="17" s="1"/>
  <c r="D570" i="17"/>
  <c r="E570" i="17" s="1"/>
  <c r="D571" i="17"/>
  <c r="E571" i="17" s="1"/>
  <c r="D572" i="17"/>
  <c r="E572" i="17" s="1"/>
  <c r="D573" i="17"/>
  <c r="E573" i="17" s="1"/>
  <c r="D574" i="17"/>
  <c r="E574" i="17" s="1"/>
  <c r="D575" i="17"/>
  <c r="E575" i="17" s="1"/>
  <c r="D576" i="17"/>
  <c r="E576" i="17" s="1"/>
  <c r="D2" i="17"/>
  <c r="D578" i="17"/>
  <c r="E578" i="17" s="1"/>
  <c r="D579" i="17"/>
  <c r="E579" i="17" s="1"/>
  <c r="D577" i="17"/>
  <c r="E577" i="17" s="1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C350" i="17"/>
  <c r="C351" i="17"/>
  <c r="C352" i="17"/>
  <c r="C353" i="17"/>
  <c r="C354" i="17"/>
  <c r="C355" i="17"/>
  <c r="C356" i="17"/>
  <c r="C357" i="17"/>
  <c r="C358" i="17"/>
  <c r="C359" i="17"/>
  <c r="C360" i="17"/>
  <c r="C361" i="17"/>
  <c r="C362" i="17"/>
  <c r="C363" i="17"/>
  <c r="C364" i="17"/>
  <c r="C365" i="17"/>
  <c r="C366" i="17"/>
  <c r="C367" i="17"/>
  <c r="C368" i="17"/>
  <c r="C369" i="17"/>
  <c r="C370" i="17"/>
  <c r="C371" i="17"/>
  <c r="C372" i="17"/>
  <c r="C373" i="17"/>
  <c r="C374" i="17"/>
  <c r="C375" i="17"/>
  <c r="C376" i="17"/>
  <c r="C377" i="17"/>
  <c r="C378" i="17"/>
  <c r="C379" i="17"/>
  <c r="C380" i="17"/>
  <c r="C381" i="17"/>
  <c r="C382" i="17"/>
  <c r="C383" i="17"/>
  <c r="C384" i="17"/>
  <c r="C385" i="17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463" i="17"/>
  <c r="C464" i="17"/>
  <c r="C465" i="17"/>
  <c r="C466" i="17"/>
  <c r="C467" i="17"/>
  <c r="C468" i="17"/>
  <c r="C469" i="17"/>
  <c r="C470" i="17"/>
  <c r="C471" i="17"/>
  <c r="C472" i="17"/>
  <c r="C473" i="17"/>
  <c r="C474" i="17"/>
  <c r="C475" i="17"/>
  <c r="C476" i="17"/>
  <c r="C477" i="17"/>
  <c r="C478" i="17"/>
  <c r="C479" i="17"/>
  <c r="C480" i="17"/>
  <c r="C481" i="17"/>
  <c r="C482" i="17"/>
  <c r="C483" i="17"/>
  <c r="C484" i="17"/>
  <c r="C485" i="17"/>
  <c r="C486" i="17"/>
  <c r="C487" i="17"/>
  <c r="C488" i="17"/>
  <c r="C489" i="17"/>
  <c r="C490" i="17"/>
  <c r="C491" i="17"/>
  <c r="C492" i="17"/>
  <c r="C493" i="17"/>
  <c r="C494" i="17"/>
  <c r="C495" i="17"/>
  <c r="C496" i="17"/>
  <c r="C497" i="17"/>
  <c r="C498" i="17"/>
  <c r="C499" i="17"/>
  <c r="C500" i="17"/>
  <c r="C501" i="17"/>
  <c r="C502" i="17"/>
  <c r="C503" i="17"/>
  <c r="C504" i="17"/>
  <c r="C505" i="17"/>
  <c r="C506" i="17"/>
  <c r="C507" i="17"/>
  <c r="C508" i="17"/>
  <c r="C509" i="17"/>
  <c r="C510" i="17"/>
  <c r="C511" i="17"/>
  <c r="C512" i="17"/>
  <c r="C513" i="17"/>
  <c r="C514" i="17"/>
  <c r="C515" i="17"/>
  <c r="C516" i="17"/>
  <c r="C517" i="17"/>
  <c r="C518" i="17"/>
  <c r="C519" i="17"/>
  <c r="C520" i="17"/>
  <c r="C521" i="17"/>
  <c r="C522" i="17"/>
  <c r="C523" i="17"/>
  <c r="C524" i="17"/>
  <c r="C525" i="17"/>
  <c r="C526" i="17"/>
  <c r="C527" i="17"/>
  <c r="C528" i="17"/>
  <c r="C529" i="17"/>
  <c r="C530" i="17"/>
  <c r="C531" i="17"/>
  <c r="C532" i="17"/>
  <c r="C533" i="17"/>
  <c r="C534" i="17"/>
  <c r="C535" i="17"/>
  <c r="C536" i="17"/>
  <c r="C537" i="17"/>
  <c r="C538" i="17"/>
  <c r="C539" i="17"/>
  <c r="C540" i="17"/>
  <c r="C541" i="17"/>
  <c r="C542" i="17"/>
  <c r="C543" i="17"/>
  <c r="C544" i="17"/>
  <c r="C545" i="17"/>
  <c r="C546" i="17"/>
  <c r="C547" i="17"/>
  <c r="C548" i="17"/>
  <c r="C549" i="17"/>
  <c r="C550" i="17"/>
  <c r="C551" i="17"/>
  <c r="C552" i="17"/>
  <c r="C553" i="17"/>
  <c r="C554" i="17"/>
  <c r="C555" i="17"/>
  <c r="C556" i="17"/>
  <c r="C557" i="17"/>
  <c r="C558" i="17"/>
  <c r="C559" i="17"/>
  <c r="C560" i="17"/>
  <c r="C561" i="17"/>
  <c r="C562" i="17"/>
  <c r="C563" i="17"/>
  <c r="C564" i="17"/>
  <c r="C565" i="17"/>
  <c r="C566" i="17"/>
  <c r="C567" i="17"/>
  <c r="C568" i="17"/>
  <c r="C569" i="17"/>
  <c r="C570" i="17"/>
  <c r="C571" i="17"/>
  <c r="C572" i="17"/>
  <c r="C573" i="17"/>
  <c r="C574" i="17"/>
  <c r="C575" i="17"/>
  <c r="C576" i="17"/>
  <c r="C577" i="17"/>
  <c r="C578" i="17"/>
  <c r="C579" i="17"/>
  <c r="C580" i="17"/>
  <c r="C581" i="17"/>
  <c r="C582" i="17"/>
  <c r="C583" i="17"/>
  <c r="C584" i="17"/>
  <c r="C585" i="17"/>
  <c r="C2" i="17"/>
  <c r="AB6" i="19" l="1"/>
  <c r="AC6" i="19" s="1"/>
  <c r="AB7" i="19"/>
  <c r="AC7" i="19" s="1"/>
  <c r="AB8" i="19"/>
  <c r="AC8" i="19" s="1"/>
  <c r="AB9" i="19"/>
  <c r="AC9" i="19" s="1"/>
  <c r="AB10" i="19"/>
  <c r="AC10" i="19" s="1"/>
  <c r="AB11" i="19"/>
  <c r="AC11" i="19" s="1"/>
  <c r="AB12" i="19"/>
  <c r="AC12" i="19" s="1"/>
  <c r="AB13" i="19"/>
  <c r="AC13" i="19" s="1"/>
  <c r="AB14" i="19"/>
  <c r="AC14" i="19" s="1"/>
  <c r="AB15" i="19"/>
  <c r="AC15" i="19" s="1"/>
  <c r="AB16" i="19"/>
  <c r="AC16" i="19" s="1"/>
  <c r="AB17" i="19"/>
  <c r="AC17" i="19" s="1"/>
  <c r="AB18" i="19"/>
  <c r="AC18" i="19" s="1"/>
  <c r="AB19" i="19"/>
  <c r="AC19" i="19" s="1"/>
  <c r="AB20" i="19"/>
  <c r="AC20" i="19" s="1"/>
  <c r="AB21" i="19"/>
  <c r="AC21" i="19" s="1"/>
  <c r="AB22" i="19"/>
  <c r="AC22" i="19" s="1"/>
  <c r="AB23" i="19"/>
  <c r="AC23" i="19" s="1"/>
  <c r="AB24" i="19"/>
  <c r="AC24" i="19" s="1"/>
  <c r="AB25" i="19"/>
  <c r="AC25" i="19" s="1"/>
  <c r="AB26" i="19"/>
  <c r="AC26" i="19" s="1"/>
  <c r="AB27" i="19"/>
  <c r="AC27" i="19" s="1"/>
  <c r="AB28" i="19"/>
  <c r="AC28" i="19" s="1"/>
  <c r="AB29" i="19"/>
  <c r="AC29" i="19" s="1"/>
  <c r="AB30" i="19"/>
  <c r="AC30" i="19" s="1"/>
  <c r="AB31" i="19"/>
  <c r="AC31" i="19" s="1"/>
  <c r="AB32" i="19"/>
  <c r="AC32" i="19" s="1"/>
  <c r="AB33" i="19"/>
  <c r="AC33" i="19" s="1"/>
  <c r="AB34" i="19"/>
  <c r="AC34" i="19" s="1"/>
  <c r="AB35" i="19"/>
  <c r="AC35" i="19" s="1"/>
  <c r="AB36" i="19"/>
  <c r="AC36" i="19" s="1"/>
  <c r="AB37" i="19"/>
  <c r="AC37" i="19" s="1"/>
  <c r="AB38" i="19"/>
  <c r="AC38" i="19" s="1"/>
  <c r="AB39" i="19"/>
  <c r="AC39" i="19" s="1"/>
  <c r="AB40" i="19"/>
  <c r="AC40" i="19" s="1"/>
  <c r="AB41" i="19"/>
  <c r="AC41" i="19" s="1"/>
  <c r="AB42" i="19"/>
  <c r="AC42" i="19" s="1"/>
  <c r="AB43" i="19"/>
  <c r="AC43" i="19" s="1"/>
  <c r="AB44" i="19"/>
  <c r="AC44" i="19" s="1"/>
  <c r="AB45" i="19"/>
  <c r="AC45" i="19" s="1"/>
  <c r="AB46" i="19"/>
  <c r="AC46" i="19" s="1"/>
  <c r="AB47" i="19"/>
  <c r="AC47" i="19" s="1"/>
  <c r="AB48" i="19"/>
  <c r="AC48" i="19" s="1"/>
  <c r="AB49" i="19"/>
  <c r="AC49" i="19" s="1"/>
  <c r="AB50" i="19"/>
  <c r="AC50" i="19" s="1"/>
  <c r="AB51" i="19"/>
  <c r="AC51" i="19" s="1"/>
  <c r="AB52" i="19"/>
  <c r="AC52" i="19" s="1"/>
  <c r="AB53" i="19"/>
  <c r="AC53" i="19" s="1"/>
  <c r="AB54" i="19"/>
  <c r="AC54" i="19" s="1"/>
  <c r="AB55" i="19"/>
  <c r="AC55" i="19" s="1"/>
  <c r="AB56" i="19"/>
  <c r="AC56" i="19" s="1"/>
  <c r="AB57" i="19"/>
  <c r="AC57" i="19" s="1"/>
  <c r="AB58" i="19"/>
  <c r="AC58" i="19" s="1"/>
  <c r="AB59" i="19"/>
  <c r="AC59" i="19" s="1"/>
  <c r="AB60" i="19"/>
  <c r="AC60" i="19" s="1"/>
  <c r="AB61" i="19"/>
  <c r="AC61" i="19" s="1"/>
  <c r="AB62" i="19"/>
  <c r="AC62" i="19" s="1"/>
  <c r="AB63" i="19"/>
  <c r="AC63" i="19" s="1"/>
  <c r="AB64" i="19"/>
  <c r="AC64" i="19" s="1"/>
  <c r="AB65" i="19"/>
  <c r="AC65" i="19" s="1"/>
  <c r="AB66" i="19"/>
  <c r="AC66" i="19" s="1"/>
  <c r="AB67" i="19"/>
  <c r="AC67" i="19" s="1"/>
  <c r="AB68" i="19"/>
  <c r="AC68" i="19" s="1"/>
  <c r="AB69" i="19"/>
  <c r="AC69" i="19" s="1"/>
  <c r="AB70" i="19"/>
  <c r="AC70" i="19" s="1"/>
  <c r="AB71" i="19"/>
  <c r="AC71" i="19" s="1"/>
  <c r="AB72" i="19"/>
  <c r="AC72" i="19" s="1"/>
  <c r="AB73" i="19"/>
  <c r="AC73" i="19" s="1"/>
  <c r="AB74" i="19"/>
  <c r="AC74" i="19" s="1"/>
  <c r="AB75" i="19"/>
  <c r="AC75" i="19" s="1"/>
  <c r="AB76" i="19"/>
  <c r="AC76" i="19" s="1"/>
  <c r="AB77" i="19"/>
  <c r="AC77" i="19" s="1"/>
  <c r="AB78" i="19"/>
  <c r="AC78" i="19" s="1"/>
  <c r="AB79" i="19"/>
  <c r="AC79" i="19" s="1"/>
  <c r="AB80" i="19"/>
  <c r="AC80" i="19" s="1"/>
  <c r="AB81" i="19"/>
  <c r="AC81" i="19" s="1"/>
  <c r="AB82" i="19"/>
  <c r="AC82" i="19" s="1"/>
  <c r="AB83" i="19"/>
  <c r="AC83" i="19" s="1"/>
  <c r="AB84" i="19"/>
  <c r="AC84" i="19" s="1"/>
  <c r="AB85" i="19"/>
  <c r="AC85" i="19" s="1"/>
  <c r="AB86" i="19"/>
  <c r="AC86" i="19" s="1"/>
  <c r="AB87" i="19"/>
  <c r="AC87" i="19" s="1"/>
  <c r="AB88" i="19"/>
  <c r="AC88" i="19" s="1"/>
  <c r="AB89" i="19"/>
  <c r="AC89" i="19" s="1"/>
  <c r="AB90" i="19"/>
  <c r="AC90" i="19" s="1"/>
  <c r="AB91" i="19"/>
  <c r="AC91" i="19" s="1"/>
  <c r="AB92" i="19"/>
  <c r="AC92" i="19" s="1"/>
  <c r="AB93" i="19"/>
  <c r="AC93" i="19" s="1"/>
  <c r="AB94" i="19"/>
  <c r="AC94" i="19" s="1"/>
  <c r="AB95" i="19"/>
  <c r="AC95" i="19" s="1"/>
  <c r="AB96" i="19"/>
  <c r="AC96" i="19" s="1"/>
  <c r="AB97" i="19"/>
  <c r="AC97" i="19" s="1"/>
  <c r="AB98" i="19"/>
  <c r="AC98" i="19" s="1"/>
  <c r="AB99" i="19"/>
  <c r="AC99" i="19" s="1"/>
  <c r="AB100" i="19"/>
  <c r="AC100" i="19" s="1"/>
  <c r="AB101" i="19"/>
  <c r="AC101" i="19" s="1"/>
  <c r="AB102" i="19"/>
  <c r="AC102" i="19" s="1"/>
  <c r="AB103" i="19"/>
  <c r="AC103" i="19" s="1"/>
  <c r="AB104" i="19"/>
  <c r="AC104" i="19" s="1"/>
  <c r="AB105" i="19"/>
  <c r="AC105" i="19" s="1"/>
  <c r="AB106" i="19"/>
  <c r="AC106" i="19" s="1"/>
  <c r="AB107" i="19"/>
  <c r="AC107" i="19" s="1"/>
  <c r="AB108" i="19"/>
  <c r="AC108" i="19" s="1"/>
  <c r="AB109" i="19"/>
  <c r="AC109" i="19" s="1"/>
  <c r="AB110" i="19"/>
  <c r="AC110" i="19" s="1"/>
  <c r="AB111" i="19"/>
  <c r="AC111" i="19" s="1"/>
  <c r="AB112" i="19"/>
  <c r="AC112" i="19" s="1"/>
  <c r="AB113" i="19"/>
  <c r="AC113" i="19" s="1"/>
  <c r="AB114" i="19"/>
  <c r="AC114" i="19" s="1"/>
  <c r="AB115" i="19"/>
  <c r="AC115" i="19" s="1"/>
  <c r="AB116" i="19"/>
  <c r="AC116" i="19" s="1"/>
  <c r="AB117" i="19"/>
  <c r="AC117" i="19" s="1"/>
  <c r="AB118" i="19"/>
  <c r="AC118" i="19" s="1"/>
  <c r="AB119" i="19"/>
  <c r="AC119" i="19" s="1"/>
  <c r="AB120" i="19"/>
  <c r="AC120" i="19" s="1"/>
  <c r="AB121" i="19"/>
  <c r="AC121" i="19" s="1"/>
  <c r="AB122" i="19"/>
  <c r="AC122" i="19" s="1"/>
  <c r="AB123" i="19"/>
  <c r="AC123" i="19" s="1"/>
  <c r="AB124" i="19"/>
  <c r="AC124" i="19" s="1"/>
  <c r="AB125" i="19"/>
  <c r="AC125" i="19" s="1"/>
  <c r="AB126" i="19"/>
  <c r="AC126" i="19" s="1"/>
  <c r="AB127" i="19"/>
  <c r="AC127" i="19" s="1"/>
  <c r="AB128" i="19"/>
  <c r="AC128" i="19" s="1"/>
  <c r="AB129" i="19"/>
  <c r="AC129" i="19" s="1"/>
  <c r="AB130" i="19"/>
  <c r="AC130" i="19" s="1"/>
  <c r="AB131" i="19"/>
  <c r="AC131" i="19" s="1"/>
  <c r="AB132" i="19"/>
  <c r="AC132" i="19" s="1"/>
  <c r="AB133" i="19"/>
  <c r="AC133" i="19" s="1"/>
  <c r="AB134" i="19"/>
  <c r="AC134" i="19" s="1"/>
  <c r="AB135" i="19"/>
  <c r="AC135" i="19" s="1"/>
  <c r="AB136" i="19"/>
  <c r="AC136" i="19" s="1"/>
  <c r="AB137" i="19"/>
  <c r="AC137" i="19" s="1"/>
  <c r="AB138" i="19"/>
  <c r="AC138" i="19" s="1"/>
  <c r="AB139" i="19"/>
  <c r="AC139" i="19" s="1"/>
  <c r="AB140" i="19"/>
  <c r="AC140" i="19" s="1"/>
  <c r="AB141" i="19"/>
  <c r="AC141" i="19" s="1"/>
  <c r="AB142" i="19"/>
  <c r="AC142" i="19" s="1"/>
  <c r="AB143" i="19"/>
  <c r="AC143" i="19" s="1"/>
  <c r="AB144" i="19"/>
  <c r="AC144" i="19" s="1"/>
  <c r="AB145" i="19"/>
  <c r="AC145" i="19" s="1"/>
  <c r="AB146" i="19"/>
  <c r="AC146" i="19" s="1"/>
  <c r="AB147" i="19"/>
  <c r="AC147" i="19" s="1"/>
  <c r="AB148" i="19"/>
  <c r="AC148" i="19" s="1"/>
  <c r="AB149" i="19"/>
  <c r="AC149" i="19" s="1"/>
  <c r="AB150" i="19"/>
  <c r="AC150" i="19" s="1"/>
  <c r="AB151" i="19"/>
  <c r="AC151" i="19" s="1"/>
  <c r="AB152" i="19"/>
  <c r="AC152" i="19" s="1"/>
  <c r="AB153" i="19"/>
  <c r="AC153" i="19" s="1"/>
  <c r="AB154" i="19"/>
  <c r="AC154" i="19" s="1"/>
  <c r="AB155" i="19"/>
  <c r="AC155" i="19" s="1"/>
  <c r="AB156" i="19"/>
  <c r="AC156" i="19" s="1"/>
  <c r="AB157" i="19"/>
  <c r="AC157" i="19" s="1"/>
  <c r="AB158" i="19"/>
  <c r="AC158" i="19" s="1"/>
  <c r="AB159" i="19"/>
  <c r="AC159" i="19" s="1"/>
  <c r="AB160" i="19"/>
  <c r="AC160" i="19" s="1"/>
  <c r="AB161" i="19"/>
  <c r="AC161" i="19" s="1"/>
  <c r="AB162" i="19"/>
  <c r="AC162" i="19" s="1"/>
  <c r="AB163" i="19"/>
  <c r="AC163" i="19" s="1"/>
  <c r="AB164" i="19"/>
  <c r="AC164" i="19" s="1"/>
  <c r="AB165" i="19"/>
  <c r="AC165" i="19" s="1"/>
  <c r="AB166" i="19"/>
  <c r="AC166" i="19" s="1"/>
  <c r="AB167" i="19"/>
  <c r="AC167" i="19" s="1"/>
  <c r="AB168" i="19"/>
  <c r="AC168" i="19" s="1"/>
  <c r="AB169" i="19"/>
  <c r="AC169" i="19" s="1"/>
  <c r="AB170" i="19"/>
  <c r="AC170" i="19" s="1"/>
  <c r="AB171" i="19"/>
  <c r="AC171" i="19" s="1"/>
  <c r="AB172" i="19"/>
  <c r="AC172" i="19" s="1"/>
  <c r="AB173" i="19"/>
  <c r="AC173" i="19" s="1"/>
  <c r="AB174" i="19"/>
  <c r="AC174" i="19" s="1"/>
  <c r="AB175" i="19"/>
  <c r="AC175" i="19" s="1"/>
  <c r="AB176" i="19"/>
  <c r="AC176" i="19" s="1"/>
  <c r="AB177" i="19"/>
  <c r="AC177" i="19" s="1"/>
  <c r="AB178" i="19"/>
  <c r="AC178" i="19" s="1"/>
  <c r="AB179" i="19"/>
  <c r="AC179" i="19" s="1"/>
  <c r="AB180" i="19"/>
  <c r="AC180" i="19" s="1"/>
  <c r="AB181" i="19"/>
  <c r="AC181" i="19" s="1"/>
  <c r="AB182" i="19"/>
  <c r="AC182" i="19" s="1"/>
  <c r="AB183" i="19"/>
  <c r="AC183" i="19" s="1"/>
  <c r="AB184" i="19"/>
  <c r="AC184" i="19" s="1"/>
  <c r="AB185" i="19"/>
  <c r="AC185" i="19" s="1"/>
  <c r="AB186" i="19"/>
  <c r="AC186" i="19" s="1"/>
  <c r="AB187" i="19"/>
  <c r="AC187" i="19" s="1"/>
  <c r="AB188" i="19"/>
  <c r="AC188" i="19" s="1"/>
  <c r="AB189" i="19"/>
  <c r="AC189" i="19" s="1"/>
  <c r="AB190" i="19"/>
  <c r="AC190" i="19" s="1"/>
  <c r="AB191" i="19"/>
  <c r="AC191" i="19" s="1"/>
  <c r="AB192" i="19"/>
  <c r="AC192" i="19" s="1"/>
  <c r="AB193" i="19"/>
  <c r="AC193" i="19" s="1"/>
  <c r="AB194" i="19"/>
  <c r="AC194" i="19" s="1"/>
  <c r="AB195" i="19"/>
  <c r="AC195" i="19" s="1"/>
  <c r="AB196" i="19"/>
  <c r="AC196" i="19" s="1"/>
  <c r="AB197" i="19"/>
  <c r="AC197" i="19" s="1"/>
  <c r="AB198" i="19"/>
  <c r="AC198" i="19" s="1"/>
  <c r="AB199" i="19"/>
  <c r="AC199" i="19" s="1"/>
  <c r="AB200" i="19"/>
  <c r="AC200" i="19" s="1"/>
  <c r="AB201" i="19"/>
  <c r="AC201" i="19" s="1"/>
  <c r="AB202" i="19"/>
  <c r="AC202" i="19" s="1"/>
  <c r="AB203" i="19"/>
  <c r="AC203" i="19" s="1"/>
  <c r="AB204" i="19"/>
  <c r="AC204" i="19" s="1"/>
  <c r="AB205" i="19"/>
  <c r="AC205" i="19" s="1"/>
  <c r="AB206" i="19"/>
  <c r="AC206" i="19" s="1"/>
  <c r="AB207" i="19"/>
  <c r="AC207" i="19" s="1"/>
  <c r="AB208" i="19"/>
  <c r="AC208" i="19" s="1"/>
  <c r="AB209" i="19"/>
  <c r="AC209" i="19" s="1"/>
  <c r="AB210" i="19"/>
  <c r="AC210" i="19" s="1"/>
  <c r="AB211" i="19"/>
  <c r="AC211" i="19" s="1"/>
  <c r="AB212" i="19"/>
  <c r="AC212" i="19" s="1"/>
  <c r="AB213" i="19"/>
  <c r="AC213" i="19" s="1"/>
  <c r="AB214" i="19"/>
  <c r="AC214" i="19" s="1"/>
  <c r="AB215" i="19"/>
  <c r="AC215" i="19" s="1"/>
  <c r="AB216" i="19"/>
  <c r="AC216" i="19" s="1"/>
  <c r="AB217" i="19"/>
  <c r="AC217" i="19" s="1"/>
  <c r="AB218" i="19"/>
  <c r="AC218" i="19" s="1"/>
  <c r="AB219" i="19"/>
  <c r="AC219" i="19" s="1"/>
  <c r="AB220" i="19"/>
  <c r="AC220" i="19" s="1"/>
  <c r="AB221" i="19"/>
  <c r="AC221" i="19" s="1"/>
  <c r="AB222" i="19"/>
  <c r="AC222" i="19" s="1"/>
  <c r="AB223" i="19"/>
  <c r="AC223" i="19" s="1"/>
  <c r="AB224" i="19"/>
  <c r="AC224" i="19" s="1"/>
  <c r="AB225" i="19"/>
  <c r="AC225" i="19" s="1"/>
  <c r="AB226" i="19"/>
  <c r="AC226" i="19" s="1"/>
  <c r="AB227" i="19"/>
  <c r="AC227" i="19" s="1"/>
  <c r="AB228" i="19"/>
  <c r="AC228" i="19" s="1"/>
  <c r="AB229" i="19"/>
  <c r="AC229" i="19" s="1"/>
  <c r="AB230" i="19"/>
  <c r="AC230" i="19" s="1"/>
  <c r="AB231" i="19"/>
  <c r="AC231" i="19" s="1"/>
  <c r="AB232" i="19"/>
  <c r="AC232" i="19" s="1"/>
  <c r="AB233" i="19"/>
  <c r="AC233" i="19" s="1"/>
  <c r="AB234" i="19"/>
  <c r="AC234" i="19" s="1"/>
  <c r="AB235" i="19"/>
  <c r="AC235" i="19" s="1"/>
  <c r="AB236" i="19"/>
  <c r="AC236" i="19" s="1"/>
  <c r="AB237" i="19"/>
  <c r="AC237" i="19" s="1"/>
  <c r="AB238" i="19"/>
  <c r="AC238" i="19" s="1"/>
  <c r="AB239" i="19"/>
  <c r="AC239" i="19" s="1"/>
  <c r="AB240" i="19"/>
  <c r="AC240" i="19" s="1"/>
  <c r="AB241" i="19"/>
  <c r="AC241" i="19" s="1"/>
  <c r="AB242" i="19"/>
  <c r="AC242" i="19" s="1"/>
  <c r="AB243" i="19"/>
  <c r="AC243" i="19" s="1"/>
  <c r="AB244" i="19"/>
  <c r="AC244" i="19" s="1"/>
  <c r="AB245" i="19"/>
  <c r="AC245" i="19" s="1"/>
  <c r="AB246" i="19"/>
  <c r="AC246" i="19" s="1"/>
  <c r="AB247" i="19"/>
  <c r="AC247" i="19" s="1"/>
  <c r="AB248" i="19"/>
  <c r="AC248" i="19" s="1"/>
  <c r="AB249" i="19"/>
  <c r="AC249" i="19" s="1"/>
  <c r="AB250" i="19"/>
  <c r="AC250" i="19" s="1"/>
  <c r="AB251" i="19"/>
  <c r="AC251" i="19" s="1"/>
  <c r="AB252" i="19"/>
  <c r="AC252" i="19" s="1"/>
  <c r="AB253" i="19"/>
  <c r="AC253" i="19" s="1"/>
  <c r="AB254" i="19"/>
  <c r="AC254" i="19" s="1"/>
  <c r="AB255" i="19"/>
  <c r="AC255" i="19" s="1"/>
  <c r="AB256" i="19"/>
  <c r="AC256" i="19" s="1"/>
  <c r="AB257" i="19"/>
  <c r="AC257" i="19" s="1"/>
  <c r="AB258" i="19"/>
  <c r="AC258" i="19" s="1"/>
  <c r="AB259" i="19"/>
  <c r="AC259" i="19" s="1"/>
  <c r="AB260" i="19"/>
  <c r="AC260" i="19" s="1"/>
  <c r="AB261" i="19"/>
  <c r="AC261" i="19" s="1"/>
  <c r="AB262" i="19"/>
  <c r="AC262" i="19" s="1"/>
  <c r="AB263" i="19"/>
  <c r="AC263" i="19" s="1"/>
  <c r="AB264" i="19"/>
  <c r="AC264" i="19" s="1"/>
  <c r="AB265" i="19"/>
  <c r="AC265" i="19" s="1"/>
  <c r="AB266" i="19"/>
  <c r="AC266" i="19" s="1"/>
  <c r="AB267" i="19"/>
  <c r="AC267" i="19" s="1"/>
  <c r="AB268" i="19"/>
  <c r="AC268" i="19" s="1"/>
  <c r="AB269" i="19"/>
  <c r="AC269" i="19" s="1"/>
  <c r="AB270" i="19"/>
  <c r="AC270" i="19" s="1"/>
  <c r="AB271" i="19"/>
  <c r="AC271" i="19" s="1"/>
  <c r="AB272" i="19"/>
  <c r="AC272" i="19" s="1"/>
  <c r="AB273" i="19"/>
  <c r="AC273" i="19" s="1"/>
  <c r="AB274" i="19"/>
  <c r="AC274" i="19" s="1"/>
  <c r="AB275" i="19"/>
  <c r="AC275" i="19" s="1"/>
  <c r="AB276" i="19"/>
  <c r="AC276" i="19" s="1"/>
  <c r="AB277" i="19"/>
  <c r="AC277" i="19" s="1"/>
  <c r="AB278" i="19"/>
  <c r="AC278" i="19" s="1"/>
  <c r="AB279" i="19"/>
  <c r="AC279" i="19" s="1"/>
  <c r="AB280" i="19"/>
  <c r="AC280" i="19" s="1"/>
  <c r="AB281" i="19"/>
  <c r="AC281" i="19" s="1"/>
  <c r="AB282" i="19"/>
  <c r="AC282" i="19" s="1"/>
  <c r="AB283" i="19"/>
  <c r="AC283" i="19" s="1"/>
  <c r="AB284" i="19"/>
  <c r="AC284" i="19" s="1"/>
  <c r="AB285" i="19"/>
  <c r="AC285" i="19" s="1"/>
  <c r="AB286" i="19"/>
  <c r="AC286" i="19" s="1"/>
  <c r="AB287" i="19"/>
  <c r="AC287" i="19" s="1"/>
  <c r="AB288" i="19"/>
  <c r="AC288" i="19" s="1"/>
  <c r="AB289" i="19"/>
  <c r="AC289" i="19" s="1"/>
  <c r="AB290" i="19"/>
  <c r="AC290" i="19" s="1"/>
  <c r="AB291" i="19"/>
  <c r="AC291" i="19" s="1"/>
  <c r="AB292" i="19"/>
  <c r="AC292" i="19" s="1"/>
  <c r="AB293" i="19"/>
  <c r="AC293" i="19" s="1"/>
  <c r="AB294" i="19"/>
  <c r="AC294" i="19" s="1"/>
  <c r="AB295" i="19"/>
  <c r="AC295" i="19" s="1"/>
  <c r="AB296" i="19"/>
  <c r="AC296" i="19" s="1"/>
  <c r="AB297" i="19"/>
  <c r="AC297" i="19" s="1"/>
  <c r="AB298" i="19"/>
  <c r="AC298" i="19" s="1"/>
  <c r="AB299" i="19"/>
  <c r="AC299" i="19" s="1"/>
  <c r="AB300" i="19"/>
  <c r="AC300" i="19" s="1"/>
  <c r="AB301" i="19"/>
  <c r="AC301" i="19" s="1"/>
  <c r="AB302" i="19"/>
  <c r="AC302" i="19" s="1"/>
  <c r="AB303" i="19"/>
  <c r="AC303" i="19" s="1"/>
  <c r="AB304" i="19"/>
  <c r="AC304" i="19" s="1"/>
  <c r="AB305" i="19"/>
  <c r="AC305" i="19" s="1"/>
  <c r="AB306" i="19"/>
  <c r="AC306" i="19" s="1"/>
  <c r="AB307" i="19"/>
  <c r="AC307" i="19" s="1"/>
  <c r="AB308" i="19"/>
  <c r="AC308" i="19" s="1"/>
  <c r="AB309" i="19"/>
  <c r="AC309" i="19" s="1"/>
  <c r="AB310" i="19"/>
  <c r="AC310" i="19" s="1"/>
  <c r="AB311" i="19"/>
  <c r="AC311" i="19" s="1"/>
  <c r="AB312" i="19"/>
  <c r="AC312" i="19" s="1"/>
  <c r="AB313" i="19"/>
  <c r="AC313" i="19" s="1"/>
  <c r="AB314" i="19"/>
  <c r="AC314" i="19" s="1"/>
  <c r="AB315" i="19"/>
  <c r="AC315" i="19" s="1"/>
  <c r="AB316" i="19"/>
  <c r="AC316" i="19" s="1"/>
  <c r="AB317" i="19"/>
  <c r="AC317" i="19" s="1"/>
  <c r="AB318" i="19"/>
  <c r="AC318" i="19" s="1"/>
  <c r="AB319" i="19"/>
  <c r="AC319" i="19" s="1"/>
  <c r="AB320" i="19"/>
  <c r="AC320" i="19" s="1"/>
  <c r="AB321" i="19"/>
  <c r="AC321" i="19" s="1"/>
  <c r="AB322" i="19"/>
  <c r="AC322" i="19" s="1"/>
  <c r="AB323" i="19"/>
  <c r="AC323" i="19" s="1"/>
  <c r="AB324" i="19"/>
  <c r="AC324" i="19" s="1"/>
  <c r="AB325" i="19"/>
  <c r="AC325" i="19" s="1"/>
  <c r="AB326" i="19"/>
  <c r="AC326" i="19" s="1"/>
  <c r="AB327" i="19"/>
  <c r="AC327" i="19" s="1"/>
  <c r="AB328" i="19"/>
  <c r="AC328" i="19" s="1"/>
  <c r="AB329" i="19"/>
  <c r="AC329" i="19" s="1"/>
  <c r="AB330" i="19"/>
  <c r="AC330" i="19" s="1"/>
  <c r="AB331" i="19"/>
  <c r="AC331" i="19" s="1"/>
  <c r="AB332" i="19"/>
  <c r="AC332" i="19" s="1"/>
  <c r="AB333" i="19"/>
  <c r="AC333" i="19" s="1"/>
  <c r="AB334" i="19"/>
  <c r="AC334" i="19" s="1"/>
  <c r="AB335" i="19"/>
  <c r="AC335" i="19" s="1"/>
  <c r="AB336" i="19"/>
  <c r="AC336" i="19" s="1"/>
  <c r="AB337" i="19"/>
  <c r="AC337" i="19" s="1"/>
  <c r="AB338" i="19"/>
  <c r="AC338" i="19" s="1"/>
  <c r="AB339" i="19"/>
  <c r="AC339" i="19" s="1"/>
  <c r="AB340" i="19"/>
  <c r="AC340" i="19" s="1"/>
  <c r="AB341" i="19"/>
  <c r="AC341" i="19" s="1"/>
  <c r="AB342" i="19"/>
  <c r="AC342" i="19" s="1"/>
  <c r="AB343" i="19"/>
  <c r="AC343" i="19" s="1"/>
  <c r="AB344" i="19"/>
  <c r="AC344" i="19" s="1"/>
  <c r="AB345" i="19"/>
  <c r="AC345" i="19" s="1"/>
  <c r="AB346" i="19"/>
  <c r="AC346" i="19" s="1"/>
  <c r="AB347" i="19"/>
  <c r="AC347" i="19" s="1"/>
  <c r="AB348" i="19"/>
  <c r="AC348" i="19" s="1"/>
  <c r="AB349" i="19"/>
  <c r="AC349" i="19" s="1"/>
  <c r="AB350" i="19"/>
  <c r="AC350" i="19" s="1"/>
  <c r="AB351" i="19"/>
  <c r="AC351" i="19" s="1"/>
  <c r="AB352" i="19"/>
  <c r="AC352" i="19" s="1"/>
  <c r="AB353" i="19"/>
  <c r="AC353" i="19" s="1"/>
  <c r="AB354" i="19"/>
  <c r="AC354" i="19" s="1"/>
  <c r="AB355" i="19"/>
  <c r="AC355" i="19" s="1"/>
  <c r="AB356" i="19"/>
  <c r="AC356" i="19" s="1"/>
  <c r="AB357" i="19"/>
  <c r="AC357" i="19" s="1"/>
  <c r="AB358" i="19"/>
  <c r="AC358" i="19" s="1"/>
  <c r="AB359" i="19"/>
  <c r="AC359" i="19" s="1"/>
  <c r="AB360" i="19"/>
  <c r="AC360" i="19" s="1"/>
  <c r="AB361" i="19"/>
  <c r="AC361" i="19" s="1"/>
  <c r="AB362" i="19"/>
  <c r="AC362" i="19" s="1"/>
  <c r="AB363" i="19"/>
  <c r="AC363" i="19" s="1"/>
  <c r="AB364" i="19"/>
  <c r="AC364" i="19" s="1"/>
  <c r="AB365" i="19"/>
  <c r="AC365" i="19" s="1"/>
  <c r="AB366" i="19"/>
  <c r="AC366" i="19" s="1"/>
  <c r="AB367" i="19"/>
  <c r="AC367" i="19" s="1"/>
  <c r="AB368" i="19"/>
  <c r="AC368" i="19" s="1"/>
  <c r="AB369" i="19"/>
  <c r="AC369" i="19" s="1"/>
  <c r="AB370" i="19"/>
  <c r="AC370" i="19" s="1"/>
  <c r="AB371" i="19"/>
  <c r="AC371" i="19" s="1"/>
  <c r="AB372" i="19"/>
  <c r="AC372" i="19" s="1"/>
  <c r="AB373" i="19"/>
  <c r="AC373" i="19" s="1"/>
  <c r="AB374" i="19"/>
  <c r="AC374" i="19" s="1"/>
  <c r="AB375" i="19"/>
  <c r="AC375" i="19" s="1"/>
  <c r="AB376" i="19"/>
  <c r="AC376" i="19" s="1"/>
  <c r="AB377" i="19"/>
  <c r="AC377" i="19" s="1"/>
  <c r="AB378" i="19"/>
  <c r="AC378" i="19" s="1"/>
  <c r="AB379" i="19"/>
  <c r="AC379" i="19" s="1"/>
  <c r="AB380" i="19"/>
  <c r="AC380" i="19" s="1"/>
  <c r="AB381" i="19"/>
  <c r="AC381" i="19" s="1"/>
  <c r="AB382" i="19"/>
  <c r="AC382" i="19" s="1"/>
  <c r="AB383" i="19"/>
  <c r="AC383" i="19" s="1"/>
  <c r="AB384" i="19"/>
  <c r="AC384" i="19" s="1"/>
  <c r="AB385" i="19"/>
  <c r="AC385" i="19" s="1"/>
  <c r="AB386" i="19"/>
  <c r="AC386" i="19" s="1"/>
  <c r="AB387" i="19"/>
  <c r="AC387" i="19" s="1"/>
  <c r="AB388" i="19"/>
  <c r="AC388" i="19" s="1"/>
  <c r="AB389" i="19"/>
  <c r="AC389" i="19" s="1"/>
  <c r="AB390" i="19"/>
  <c r="AC390" i="19" s="1"/>
  <c r="AB391" i="19"/>
  <c r="AC391" i="19" s="1"/>
  <c r="AB392" i="19"/>
  <c r="AC392" i="19" s="1"/>
  <c r="AB393" i="19"/>
  <c r="AC393" i="19" s="1"/>
  <c r="AB394" i="19"/>
  <c r="AC394" i="19" s="1"/>
  <c r="AB395" i="19"/>
  <c r="AC395" i="19" s="1"/>
  <c r="AB396" i="19"/>
  <c r="AC396" i="19" s="1"/>
  <c r="AB397" i="19"/>
  <c r="AC397" i="19" s="1"/>
  <c r="AB398" i="19"/>
  <c r="AC398" i="19" s="1"/>
  <c r="AB399" i="19"/>
  <c r="AC399" i="19" s="1"/>
  <c r="AB400" i="19"/>
  <c r="AC400" i="19" s="1"/>
  <c r="AB401" i="19"/>
  <c r="AC401" i="19" s="1"/>
  <c r="AB402" i="19"/>
  <c r="AC402" i="19" s="1"/>
  <c r="AB403" i="19"/>
  <c r="AC403" i="19" s="1"/>
  <c r="AB404" i="19"/>
  <c r="AC404" i="19" s="1"/>
  <c r="AB405" i="19"/>
  <c r="AC405" i="19" s="1"/>
  <c r="AB406" i="19"/>
  <c r="AC406" i="19" s="1"/>
  <c r="AB407" i="19"/>
  <c r="AC407" i="19" s="1"/>
  <c r="AB408" i="19"/>
  <c r="AC408" i="19" s="1"/>
  <c r="AB409" i="19"/>
  <c r="AC409" i="19" s="1"/>
  <c r="AB410" i="19"/>
  <c r="AC410" i="19" s="1"/>
  <c r="AB411" i="19"/>
  <c r="AC411" i="19" s="1"/>
  <c r="AB412" i="19"/>
  <c r="AC412" i="19" s="1"/>
  <c r="AB413" i="19"/>
  <c r="AC413" i="19" s="1"/>
  <c r="AB414" i="19"/>
  <c r="AC414" i="19" s="1"/>
  <c r="AB415" i="19"/>
  <c r="AC415" i="19" s="1"/>
  <c r="AB416" i="19"/>
  <c r="AC416" i="19" s="1"/>
  <c r="AB417" i="19"/>
  <c r="AC417" i="19" s="1"/>
  <c r="AB418" i="19"/>
  <c r="AC418" i="19" s="1"/>
  <c r="AB419" i="19"/>
  <c r="AC419" i="19" s="1"/>
  <c r="AB420" i="19"/>
  <c r="AC420" i="19" s="1"/>
  <c r="AB421" i="19"/>
  <c r="AC421" i="19" s="1"/>
  <c r="AB422" i="19"/>
  <c r="AC422" i="19" s="1"/>
  <c r="AB423" i="19"/>
  <c r="AC423" i="19" s="1"/>
  <c r="AB424" i="19"/>
  <c r="AC424" i="19" s="1"/>
  <c r="AB425" i="19"/>
  <c r="AC425" i="19" s="1"/>
  <c r="AB426" i="19"/>
  <c r="AC426" i="19" s="1"/>
  <c r="AB427" i="19"/>
  <c r="AC427" i="19" s="1"/>
  <c r="AB428" i="19"/>
  <c r="AC428" i="19" s="1"/>
  <c r="AB429" i="19"/>
  <c r="AC429" i="19" s="1"/>
  <c r="AB430" i="19"/>
  <c r="AC430" i="19" s="1"/>
  <c r="AB431" i="19"/>
  <c r="AC431" i="19" s="1"/>
  <c r="AB432" i="19"/>
  <c r="AC432" i="19" s="1"/>
  <c r="AB433" i="19"/>
  <c r="AC433" i="19" s="1"/>
  <c r="AB434" i="19"/>
  <c r="AC434" i="19" s="1"/>
  <c r="AB435" i="19"/>
  <c r="AC435" i="19" s="1"/>
  <c r="AB436" i="19"/>
  <c r="AC436" i="19" s="1"/>
  <c r="AB437" i="19"/>
  <c r="AC437" i="19" s="1"/>
  <c r="AB438" i="19"/>
  <c r="AC438" i="19" s="1"/>
  <c r="AB439" i="19"/>
  <c r="AC439" i="19" s="1"/>
  <c r="AB440" i="19"/>
  <c r="AC440" i="19" s="1"/>
  <c r="AB441" i="19"/>
  <c r="AC441" i="19" s="1"/>
  <c r="AB442" i="19"/>
  <c r="AC442" i="19" s="1"/>
  <c r="AB443" i="19"/>
  <c r="AC443" i="19" s="1"/>
  <c r="AB444" i="19"/>
  <c r="AC444" i="19" s="1"/>
  <c r="AB445" i="19"/>
  <c r="AC445" i="19" s="1"/>
  <c r="AB446" i="19"/>
  <c r="AC446" i="19" s="1"/>
  <c r="AB447" i="19"/>
  <c r="AC447" i="19" s="1"/>
  <c r="AB448" i="19"/>
  <c r="AC448" i="19" s="1"/>
  <c r="AB449" i="19"/>
  <c r="AC449" i="19" s="1"/>
  <c r="AB450" i="19"/>
  <c r="AC450" i="19" s="1"/>
  <c r="AB451" i="19"/>
  <c r="AC451" i="19" s="1"/>
  <c r="AB452" i="19"/>
  <c r="AC452" i="19" s="1"/>
  <c r="AB453" i="19"/>
  <c r="AC453" i="19" s="1"/>
  <c r="AB454" i="19"/>
  <c r="AC454" i="19" s="1"/>
  <c r="AB455" i="19"/>
  <c r="AC455" i="19" s="1"/>
  <c r="AB456" i="19"/>
  <c r="AC456" i="19" s="1"/>
  <c r="AB457" i="19"/>
  <c r="AC457" i="19" s="1"/>
  <c r="AB458" i="19"/>
  <c r="AC458" i="19" s="1"/>
  <c r="AB459" i="19"/>
  <c r="AC459" i="19" s="1"/>
  <c r="AB460" i="19"/>
  <c r="AC460" i="19" s="1"/>
  <c r="AB461" i="19"/>
  <c r="AC461" i="19" s="1"/>
  <c r="AB462" i="19"/>
  <c r="AC462" i="19" s="1"/>
  <c r="AB463" i="19"/>
  <c r="AC463" i="19" s="1"/>
  <c r="AB464" i="19"/>
  <c r="AC464" i="19" s="1"/>
  <c r="AB465" i="19"/>
  <c r="AC465" i="19" s="1"/>
  <c r="AB466" i="19"/>
  <c r="AC466" i="19" s="1"/>
  <c r="AB467" i="19"/>
  <c r="AC467" i="19" s="1"/>
  <c r="AB468" i="19"/>
  <c r="AC468" i="19" s="1"/>
  <c r="AB469" i="19"/>
  <c r="AC469" i="19" s="1"/>
  <c r="AB470" i="19"/>
  <c r="AC470" i="19" s="1"/>
  <c r="AB471" i="19"/>
  <c r="AC471" i="19" s="1"/>
  <c r="AB472" i="19"/>
  <c r="AC472" i="19" s="1"/>
  <c r="AB473" i="19"/>
  <c r="AC473" i="19" s="1"/>
  <c r="AB474" i="19"/>
  <c r="AC474" i="19" s="1"/>
  <c r="AB475" i="19"/>
  <c r="AC475" i="19" s="1"/>
  <c r="AB476" i="19"/>
  <c r="AC476" i="19" s="1"/>
  <c r="AB477" i="19"/>
  <c r="AC477" i="19" s="1"/>
  <c r="AB478" i="19"/>
  <c r="AC478" i="19" s="1"/>
  <c r="AB479" i="19"/>
  <c r="AC479" i="19" s="1"/>
  <c r="AB480" i="19"/>
  <c r="AC480" i="19" s="1"/>
  <c r="AB481" i="19"/>
  <c r="AC481" i="19" s="1"/>
  <c r="AB482" i="19"/>
  <c r="AC482" i="19" s="1"/>
  <c r="AB483" i="19"/>
  <c r="AC483" i="19" s="1"/>
  <c r="AB484" i="19"/>
  <c r="AC484" i="19" s="1"/>
  <c r="AB485" i="19"/>
  <c r="AC485" i="19" s="1"/>
  <c r="AB486" i="19"/>
  <c r="AC486" i="19" s="1"/>
  <c r="AB487" i="19"/>
  <c r="AC487" i="19" s="1"/>
  <c r="AB488" i="19"/>
  <c r="AC488" i="19" s="1"/>
  <c r="AB489" i="19"/>
  <c r="AC489" i="19" s="1"/>
  <c r="AB490" i="19"/>
  <c r="AC490" i="19" s="1"/>
  <c r="AB491" i="19"/>
  <c r="AC491" i="19" s="1"/>
  <c r="AB492" i="19"/>
  <c r="AC492" i="19" s="1"/>
  <c r="AB493" i="19"/>
  <c r="AC493" i="19" s="1"/>
  <c r="AB494" i="19"/>
  <c r="AC494" i="19" s="1"/>
  <c r="AB495" i="19"/>
  <c r="AC495" i="19" s="1"/>
  <c r="AB496" i="19"/>
  <c r="AC496" i="19" s="1"/>
  <c r="AB497" i="19"/>
  <c r="AC497" i="19" s="1"/>
  <c r="AB498" i="19"/>
  <c r="AC498" i="19" s="1"/>
  <c r="AB499" i="19"/>
  <c r="AC499" i="19" s="1"/>
  <c r="AB500" i="19"/>
  <c r="AC500" i="19" s="1"/>
  <c r="AB501" i="19"/>
  <c r="AC501" i="19" s="1"/>
  <c r="AB502" i="19"/>
  <c r="AC502" i="19" s="1"/>
  <c r="AB503" i="19"/>
  <c r="AC503" i="19" s="1"/>
  <c r="AB504" i="19"/>
  <c r="AC504" i="19" s="1"/>
  <c r="AB505" i="19"/>
  <c r="AC505" i="19" s="1"/>
  <c r="AB506" i="19"/>
  <c r="AC506" i="19" s="1"/>
  <c r="AB507" i="19"/>
  <c r="AC507" i="19" s="1"/>
  <c r="AB508" i="19"/>
  <c r="AC508" i="19" s="1"/>
  <c r="AB509" i="19"/>
  <c r="AC509" i="19" s="1"/>
  <c r="AB510" i="19"/>
  <c r="AC510" i="19" s="1"/>
  <c r="AB511" i="19"/>
  <c r="AC511" i="19" s="1"/>
  <c r="AB512" i="19"/>
  <c r="AC512" i="19" s="1"/>
  <c r="AB513" i="19"/>
  <c r="AC513" i="19" s="1"/>
  <c r="AB514" i="19"/>
  <c r="AC514" i="19" s="1"/>
  <c r="AB515" i="19"/>
  <c r="AC515" i="19" s="1"/>
  <c r="AB516" i="19"/>
  <c r="AC516" i="19" s="1"/>
  <c r="AB517" i="19"/>
  <c r="AC517" i="19" s="1"/>
  <c r="AB518" i="19"/>
  <c r="AC518" i="19" s="1"/>
  <c r="AB519" i="19"/>
  <c r="AC519" i="19" s="1"/>
  <c r="AB520" i="19"/>
  <c r="AC520" i="19" s="1"/>
  <c r="AB521" i="19"/>
  <c r="AC521" i="19" s="1"/>
  <c r="AB522" i="19"/>
  <c r="AC522" i="19" s="1"/>
  <c r="AB523" i="19"/>
  <c r="AC523" i="19" s="1"/>
  <c r="AB524" i="19"/>
  <c r="AC524" i="19" s="1"/>
  <c r="AB525" i="19"/>
  <c r="AC525" i="19" s="1"/>
  <c r="AB526" i="19"/>
  <c r="AC526" i="19" s="1"/>
  <c r="AB527" i="19"/>
  <c r="AC527" i="19" s="1"/>
  <c r="AB528" i="19"/>
  <c r="AC528" i="19" s="1"/>
  <c r="AB529" i="19"/>
  <c r="AC529" i="19" s="1"/>
  <c r="AB530" i="19"/>
  <c r="AC530" i="19" s="1"/>
  <c r="AB531" i="19"/>
  <c r="AC531" i="19" s="1"/>
  <c r="AB532" i="19"/>
  <c r="AC532" i="19" s="1"/>
  <c r="AB533" i="19"/>
  <c r="AC533" i="19" s="1"/>
  <c r="AB534" i="19"/>
  <c r="AC534" i="19" s="1"/>
  <c r="AB535" i="19"/>
  <c r="AC535" i="19" s="1"/>
  <c r="AB536" i="19"/>
  <c r="AC536" i="19" s="1"/>
  <c r="AB537" i="19"/>
  <c r="AC537" i="19" s="1"/>
  <c r="AB538" i="19"/>
  <c r="AC538" i="19" s="1"/>
  <c r="AB539" i="19"/>
  <c r="AC539" i="19" s="1"/>
  <c r="AB540" i="19"/>
  <c r="AC540" i="19" s="1"/>
  <c r="AB541" i="19"/>
  <c r="AC541" i="19" s="1"/>
  <c r="AB542" i="19"/>
  <c r="AC542" i="19" s="1"/>
  <c r="AB543" i="19"/>
  <c r="AC543" i="19" s="1"/>
  <c r="AB544" i="19"/>
  <c r="AC544" i="19" s="1"/>
  <c r="AB545" i="19"/>
  <c r="AC545" i="19" s="1"/>
  <c r="AB546" i="19"/>
  <c r="AC546" i="19" s="1"/>
  <c r="AB547" i="19"/>
  <c r="AC547" i="19" s="1"/>
  <c r="AB548" i="19"/>
  <c r="AC548" i="19" s="1"/>
  <c r="AB549" i="19"/>
  <c r="AC549" i="19" s="1"/>
  <c r="AB550" i="19"/>
  <c r="AC550" i="19" s="1"/>
  <c r="AB551" i="19"/>
  <c r="AC551" i="19" s="1"/>
  <c r="AB552" i="19"/>
  <c r="AC552" i="19" s="1"/>
  <c r="AB553" i="19"/>
  <c r="AC553" i="19" s="1"/>
  <c r="AB554" i="19"/>
  <c r="AC554" i="19" s="1"/>
  <c r="AB555" i="19"/>
  <c r="AC555" i="19" s="1"/>
  <c r="AB556" i="19"/>
  <c r="AC556" i="19" s="1"/>
  <c r="AB557" i="19"/>
  <c r="AC557" i="19" s="1"/>
  <c r="AB558" i="19"/>
  <c r="AC558" i="19" s="1"/>
  <c r="AB559" i="19"/>
  <c r="AC559" i="19" s="1"/>
  <c r="AB560" i="19"/>
  <c r="AC560" i="19" s="1"/>
  <c r="AB561" i="19"/>
  <c r="AC561" i="19" s="1"/>
  <c r="AB562" i="19"/>
  <c r="AC562" i="19" s="1"/>
  <c r="AB563" i="19"/>
  <c r="AC563" i="19" s="1"/>
  <c r="AB564" i="19"/>
  <c r="AC564" i="19" s="1"/>
  <c r="AB565" i="19"/>
  <c r="AC565" i="19" s="1"/>
  <c r="AB566" i="19"/>
  <c r="AC566" i="19" s="1"/>
  <c r="AB567" i="19"/>
  <c r="AC567" i="19" s="1"/>
  <c r="AB568" i="19"/>
  <c r="AC568" i="19" s="1"/>
  <c r="AB569" i="19"/>
  <c r="AC569" i="19" s="1"/>
  <c r="AB570" i="19"/>
  <c r="AC570" i="19" s="1"/>
  <c r="AB571" i="19"/>
  <c r="AC571" i="19" s="1"/>
  <c r="AB572" i="19"/>
  <c r="AC572" i="19" s="1"/>
  <c r="AB573" i="19"/>
  <c r="AC573" i="19" s="1"/>
  <c r="AB574" i="19"/>
  <c r="AC574" i="19" s="1"/>
  <c r="AB575" i="19"/>
  <c r="AC575" i="19" s="1"/>
  <c r="AB576" i="19"/>
  <c r="AC576" i="19" s="1"/>
  <c r="AB577" i="19"/>
  <c r="AC577" i="19" s="1"/>
  <c r="AB578" i="19"/>
  <c r="AC578" i="19" s="1"/>
  <c r="AB579" i="19"/>
  <c r="AC579" i="19" s="1"/>
  <c r="AB580" i="19"/>
  <c r="AC580" i="19" s="1"/>
  <c r="AB581" i="19"/>
  <c r="AC581" i="19" s="1"/>
  <c r="AB582" i="19"/>
  <c r="AC582" i="19" s="1"/>
  <c r="AB583" i="19"/>
  <c r="AC583" i="19" s="1"/>
  <c r="AB584" i="19"/>
  <c r="AC584" i="19" s="1"/>
  <c r="AB585" i="19"/>
  <c r="AC585" i="19" s="1"/>
  <c r="AB586" i="19"/>
  <c r="AC586" i="19" s="1"/>
  <c r="AB587" i="19"/>
  <c r="AC587" i="19" s="1"/>
  <c r="AB588" i="19"/>
  <c r="AC588" i="19" s="1"/>
  <c r="AB589" i="19"/>
  <c r="AC589" i="19" s="1"/>
  <c r="AB590" i="19"/>
  <c r="AC590" i="19" s="1"/>
  <c r="AB591" i="19"/>
  <c r="AC591" i="19" s="1"/>
  <c r="AB592" i="19"/>
  <c r="AC592" i="19" s="1"/>
  <c r="AB593" i="19"/>
  <c r="AC593" i="19" s="1"/>
  <c r="AB594" i="19"/>
  <c r="AC594" i="19" s="1"/>
  <c r="AB595" i="19"/>
  <c r="AC595" i="19" s="1"/>
  <c r="AB596" i="19"/>
  <c r="AC596" i="19" s="1"/>
  <c r="AB597" i="19"/>
  <c r="AC597" i="19" s="1"/>
  <c r="AB598" i="19"/>
  <c r="AC598" i="19" s="1"/>
  <c r="AB599" i="19"/>
  <c r="AC599" i="19" s="1"/>
  <c r="AB600" i="19"/>
  <c r="AC600" i="19" s="1"/>
  <c r="AB601" i="19"/>
  <c r="AC601" i="19" s="1"/>
  <c r="AB602" i="19"/>
  <c r="AC602" i="19" s="1"/>
  <c r="AB603" i="19"/>
  <c r="AC603" i="19" s="1"/>
  <c r="AB604" i="19"/>
  <c r="AC604" i="19" s="1"/>
  <c r="AB605" i="19"/>
  <c r="AC605" i="19" s="1"/>
  <c r="AB606" i="19"/>
  <c r="AC606" i="19" s="1"/>
  <c r="AB607" i="19"/>
  <c r="AC607" i="19" s="1"/>
  <c r="AB608" i="19"/>
  <c r="AC608" i="19" s="1"/>
  <c r="AB609" i="19"/>
  <c r="AC609" i="19" s="1"/>
  <c r="AB610" i="19"/>
  <c r="AC610" i="19" s="1"/>
  <c r="AB611" i="19"/>
  <c r="AC611" i="19" s="1"/>
  <c r="AB612" i="19"/>
  <c r="AC612" i="19" s="1"/>
  <c r="AB613" i="19"/>
  <c r="AC613" i="19" s="1"/>
  <c r="AB614" i="19"/>
  <c r="AC614" i="19" s="1"/>
  <c r="AB615" i="19"/>
  <c r="AC615" i="19" s="1"/>
  <c r="AB616" i="19"/>
  <c r="AC616" i="19" s="1"/>
  <c r="AB617" i="19"/>
  <c r="AC617" i="19" s="1"/>
  <c r="AB618" i="19"/>
  <c r="AC618" i="19" s="1"/>
  <c r="AB619" i="19"/>
  <c r="AC619" i="19" s="1"/>
  <c r="AB620" i="19"/>
  <c r="AC620" i="19" s="1"/>
  <c r="AB621" i="19"/>
  <c r="AC621" i="19" s="1"/>
  <c r="AB622" i="19"/>
  <c r="AC622" i="19" s="1"/>
  <c r="AB623" i="19"/>
  <c r="AC623" i="19" s="1"/>
  <c r="AB624" i="19"/>
  <c r="AC624" i="19" s="1"/>
  <c r="AB625" i="19"/>
  <c r="AC625" i="19" s="1"/>
  <c r="AB626" i="19"/>
  <c r="AC626" i="19" s="1"/>
  <c r="AB627" i="19"/>
  <c r="AC627" i="19" s="1"/>
  <c r="AB628" i="19"/>
  <c r="AC628" i="19" s="1"/>
  <c r="AB629" i="19"/>
  <c r="AC629" i="19" s="1"/>
  <c r="AB630" i="19"/>
  <c r="AC630" i="19" s="1"/>
  <c r="AB631" i="19"/>
  <c r="AC631" i="19" s="1"/>
  <c r="AB632" i="19"/>
  <c r="AC632" i="19" s="1"/>
  <c r="AB633" i="19"/>
  <c r="AC633" i="19" s="1"/>
  <c r="AB634" i="19"/>
  <c r="AC634" i="19" s="1"/>
  <c r="AB635" i="19"/>
  <c r="AC635" i="19" s="1"/>
  <c r="AB636" i="19"/>
  <c r="AC636" i="19" s="1"/>
  <c r="AB637" i="19"/>
  <c r="AC637" i="19" s="1"/>
  <c r="AB638" i="19"/>
  <c r="AC638" i="19" s="1"/>
  <c r="AB639" i="19"/>
  <c r="AC639" i="19" s="1"/>
  <c r="AB640" i="19"/>
  <c r="AC640" i="19" s="1"/>
  <c r="AB641" i="19"/>
  <c r="AC641" i="19" s="1"/>
  <c r="AB642" i="19"/>
  <c r="AC642" i="19" s="1"/>
  <c r="AB643" i="19"/>
  <c r="AC643" i="19" s="1"/>
  <c r="AB644" i="19"/>
  <c r="AC644" i="19" s="1"/>
  <c r="AB645" i="19"/>
  <c r="AC645" i="19" s="1"/>
  <c r="AB646" i="19"/>
  <c r="AC646" i="19" s="1"/>
  <c r="AB647" i="19"/>
  <c r="AC647" i="19" s="1"/>
  <c r="AB648" i="19"/>
  <c r="AC648" i="19" s="1"/>
  <c r="AB649" i="19"/>
  <c r="AC649" i="19" s="1"/>
  <c r="AB650" i="19"/>
  <c r="AC650" i="19" s="1"/>
  <c r="AB651" i="19"/>
  <c r="AC651" i="19" s="1"/>
  <c r="AB652" i="19"/>
  <c r="AC652" i="19" s="1"/>
  <c r="AB653" i="19"/>
  <c r="AC653" i="19" s="1"/>
  <c r="AB654" i="19"/>
  <c r="AC654" i="19" s="1"/>
  <c r="AB655" i="19"/>
  <c r="AC655" i="19" s="1"/>
  <c r="AB656" i="19"/>
  <c r="AC656" i="19" s="1"/>
  <c r="AB657" i="19"/>
  <c r="AC657" i="19" s="1"/>
  <c r="AB658" i="19"/>
  <c r="AC658" i="19" s="1"/>
  <c r="AB659" i="19"/>
  <c r="AC659" i="19" s="1"/>
  <c r="AB660" i="19"/>
  <c r="AC660" i="19" s="1"/>
  <c r="AB661" i="19"/>
  <c r="AC661" i="19" s="1"/>
  <c r="AB662" i="19"/>
  <c r="AC662" i="19" s="1"/>
  <c r="AB663" i="19"/>
  <c r="AC663" i="19" s="1"/>
  <c r="AB664" i="19"/>
  <c r="AC664" i="19" s="1"/>
  <c r="AB665" i="19"/>
  <c r="AC665" i="19" s="1"/>
  <c r="AB666" i="19"/>
  <c r="AC666" i="19" s="1"/>
  <c r="AB667" i="19"/>
  <c r="AC667" i="19" s="1"/>
  <c r="AB668" i="19"/>
  <c r="AC668" i="19" s="1"/>
  <c r="AB669" i="19"/>
  <c r="AC669" i="19" s="1"/>
  <c r="AB670" i="19"/>
  <c r="AC670" i="19" s="1"/>
  <c r="AB671" i="19"/>
  <c r="AC671" i="19" s="1"/>
  <c r="AB672" i="19"/>
  <c r="AC672" i="19" s="1"/>
  <c r="AB673" i="19"/>
  <c r="AC673" i="19" s="1"/>
  <c r="AB674" i="19"/>
  <c r="AC674" i="19" s="1"/>
  <c r="AB675" i="19"/>
  <c r="AC675" i="19" s="1"/>
  <c r="AB676" i="19"/>
  <c r="AC676" i="19" s="1"/>
  <c r="AB677" i="19"/>
  <c r="AC677" i="19" s="1"/>
  <c r="AB678" i="19"/>
  <c r="AC678" i="19" s="1"/>
  <c r="AB679" i="19"/>
  <c r="AC679" i="19" s="1"/>
  <c r="AB680" i="19"/>
  <c r="AC680" i="19" s="1"/>
  <c r="AB681" i="19"/>
  <c r="AC681" i="19" s="1"/>
  <c r="AB682" i="19"/>
  <c r="AC682" i="19" s="1"/>
  <c r="AB683" i="19"/>
  <c r="AC683" i="19" s="1"/>
  <c r="AB684" i="19"/>
  <c r="AC684" i="19" s="1"/>
  <c r="AB685" i="19"/>
  <c r="AC685" i="19" s="1"/>
  <c r="AB686" i="19"/>
  <c r="AC686" i="19" s="1"/>
  <c r="AB687" i="19"/>
  <c r="AC687" i="19" s="1"/>
  <c r="AB688" i="19"/>
  <c r="AC688" i="19" s="1"/>
  <c r="AB689" i="19"/>
  <c r="AC689" i="19" s="1"/>
  <c r="AB690" i="19"/>
  <c r="AC690" i="19" s="1"/>
  <c r="AB691" i="19"/>
  <c r="AC691" i="19" s="1"/>
  <c r="AB692" i="19"/>
  <c r="AC692" i="19" s="1"/>
  <c r="AB693" i="19"/>
  <c r="AC693" i="19" s="1"/>
  <c r="AB694" i="19"/>
  <c r="AC694" i="19" s="1"/>
  <c r="AB695" i="19"/>
  <c r="AC695" i="19" s="1"/>
  <c r="AB696" i="19"/>
  <c r="AC696" i="19" s="1"/>
  <c r="AB697" i="19"/>
  <c r="AC697" i="19" s="1"/>
  <c r="AB698" i="19"/>
  <c r="AC698" i="19" s="1"/>
  <c r="AB699" i="19"/>
  <c r="AC699" i="19" s="1"/>
  <c r="AB700" i="19"/>
  <c r="AC700" i="19" s="1"/>
  <c r="AB701" i="19"/>
  <c r="AC701" i="19" s="1"/>
  <c r="AB702" i="19"/>
  <c r="AC702" i="19" s="1"/>
  <c r="AB703" i="19"/>
  <c r="AC703" i="19" s="1"/>
  <c r="AB704" i="19"/>
  <c r="AC704" i="19" s="1"/>
  <c r="AB705" i="19"/>
  <c r="AC705" i="19" s="1"/>
  <c r="AB706" i="19"/>
  <c r="AC706" i="19" s="1"/>
  <c r="AB707" i="19"/>
  <c r="AC707" i="19" s="1"/>
  <c r="AB708" i="19"/>
  <c r="AC708" i="19" s="1"/>
  <c r="AB709" i="19"/>
  <c r="AC709" i="19" s="1"/>
  <c r="AB710" i="19"/>
  <c r="AC710" i="19" s="1"/>
  <c r="AB711" i="19"/>
  <c r="AC711" i="19" s="1"/>
  <c r="AB712" i="19"/>
  <c r="AC712" i="19" s="1"/>
  <c r="AB713" i="19"/>
  <c r="AC713" i="19" s="1"/>
  <c r="AB714" i="19"/>
  <c r="AC714" i="19" s="1"/>
  <c r="AB715" i="19"/>
  <c r="AC715" i="19" s="1"/>
  <c r="AB716" i="19"/>
  <c r="AC716" i="19" s="1"/>
  <c r="AB717" i="19"/>
  <c r="AC717" i="19" s="1"/>
  <c r="AB718" i="19"/>
  <c r="AC718" i="19" s="1"/>
  <c r="AB719" i="19"/>
  <c r="AC719" i="19" s="1"/>
  <c r="AB720" i="19"/>
  <c r="AC720" i="19" s="1"/>
  <c r="AB721" i="19"/>
  <c r="AC721" i="19" s="1"/>
  <c r="AB722" i="19"/>
  <c r="AC722" i="19" s="1"/>
  <c r="AB723" i="19"/>
  <c r="AC723" i="19" s="1"/>
  <c r="AB724" i="19"/>
  <c r="AC724" i="19" s="1"/>
  <c r="AB725" i="19"/>
  <c r="AC725" i="19" s="1"/>
  <c r="AB726" i="19"/>
  <c r="AC726" i="19" s="1"/>
  <c r="AB727" i="19"/>
  <c r="AC727" i="19" s="1"/>
  <c r="AB728" i="19"/>
  <c r="AC728" i="19" s="1"/>
  <c r="AB729" i="19"/>
  <c r="AC729" i="19" s="1"/>
  <c r="AB730" i="19"/>
  <c r="AC730" i="19" s="1"/>
  <c r="AB731" i="19"/>
  <c r="AC731" i="19" s="1"/>
  <c r="AB732" i="19"/>
  <c r="AC732" i="19" s="1"/>
  <c r="AB733" i="19"/>
  <c r="AC733" i="19" s="1"/>
  <c r="AB734" i="19"/>
  <c r="AC734" i="19" s="1"/>
  <c r="AB735" i="19"/>
  <c r="AC735" i="19" s="1"/>
  <c r="AB736" i="19"/>
  <c r="AC736" i="19" s="1"/>
  <c r="AB737" i="19"/>
  <c r="AC737" i="19" s="1"/>
  <c r="AB738" i="19"/>
  <c r="AC738" i="19" s="1"/>
  <c r="AB739" i="19"/>
  <c r="AC739" i="19" s="1"/>
  <c r="AB740" i="19"/>
  <c r="AC740" i="19" s="1"/>
  <c r="AB741" i="19"/>
  <c r="AC741" i="19" s="1"/>
  <c r="AB742" i="19"/>
  <c r="AC742" i="19" s="1"/>
  <c r="AB743" i="19"/>
  <c r="AC743" i="19" s="1"/>
  <c r="AB744" i="19"/>
  <c r="AC744" i="19" s="1"/>
  <c r="AB745" i="19"/>
  <c r="AC745" i="19" s="1"/>
  <c r="AB746" i="19"/>
  <c r="AC746" i="19" s="1"/>
  <c r="AB747" i="19"/>
  <c r="AC747" i="19" s="1"/>
  <c r="AB748" i="19"/>
  <c r="AC748" i="19" s="1"/>
  <c r="AB749" i="19"/>
  <c r="AC749" i="19" s="1"/>
  <c r="AB750" i="19"/>
  <c r="AC750" i="19" s="1"/>
  <c r="AB751" i="19"/>
  <c r="AC751" i="19" s="1"/>
  <c r="AB752" i="19"/>
  <c r="AC752" i="19" s="1"/>
  <c r="AB753" i="19"/>
  <c r="AC753" i="19" s="1"/>
  <c r="AB754" i="19"/>
  <c r="AC754" i="19" s="1"/>
  <c r="AB755" i="19"/>
  <c r="AC755" i="19" s="1"/>
  <c r="AB756" i="19"/>
  <c r="AC756" i="19" s="1"/>
  <c r="AB757" i="19"/>
  <c r="AC757" i="19" s="1"/>
  <c r="AB758" i="19"/>
  <c r="AC758" i="19" s="1"/>
  <c r="AB759" i="19"/>
  <c r="AC759" i="19" s="1"/>
  <c r="AB760" i="19"/>
  <c r="AC760" i="19" s="1"/>
  <c r="AB761" i="19"/>
  <c r="AC761" i="19" s="1"/>
  <c r="AB762" i="19"/>
  <c r="AC762" i="19" s="1"/>
  <c r="AB763" i="19"/>
  <c r="AC763" i="19" s="1"/>
  <c r="AB764" i="19"/>
  <c r="AC764" i="19" s="1"/>
  <c r="AB765" i="19"/>
  <c r="AC765" i="19" s="1"/>
  <c r="AB766" i="19"/>
  <c r="AC766" i="19" s="1"/>
  <c r="AB767" i="19"/>
  <c r="AC767" i="19" s="1"/>
  <c r="AB768" i="19"/>
  <c r="AC768" i="19" s="1"/>
  <c r="AB769" i="19"/>
  <c r="AC769" i="19" s="1"/>
  <c r="AB770" i="19"/>
  <c r="AC770" i="19" s="1"/>
  <c r="AB771" i="19"/>
  <c r="AC771" i="19" s="1"/>
  <c r="AB772" i="19"/>
  <c r="AC772" i="19" s="1"/>
  <c r="AB773" i="19"/>
  <c r="AC773" i="19" s="1"/>
  <c r="AB774" i="19"/>
  <c r="AC774" i="19" s="1"/>
  <c r="AB775" i="19"/>
  <c r="AC775" i="19" s="1"/>
  <c r="AB776" i="19"/>
  <c r="AC776" i="19" s="1"/>
  <c r="AB777" i="19"/>
  <c r="AC777" i="19" s="1"/>
  <c r="AB778" i="19"/>
  <c r="AC778" i="19" s="1"/>
  <c r="AB779" i="19"/>
  <c r="AC779" i="19" s="1"/>
  <c r="AB780" i="19"/>
  <c r="AC780" i="19" s="1"/>
  <c r="AB781" i="19"/>
  <c r="AC781" i="19" s="1"/>
  <c r="AB782" i="19"/>
  <c r="AC782" i="19" s="1"/>
  <c r="AB783" i="19"/>
  <c r="AC783" i="19" s="1"/>
  <c r="AB784" i="19"/>
  <c r="AC784" i="19" s="1"/>
  <c r="AB785" i="19"/>
  <c r="AC785" i="19" s="1"/>
  <c r="AB786" i="19"/>
  <c r="AC786" i="19" s="1"/>
  <c r="AB787" i="19"/>
  <c r="AC787" i="19" s="1"/>
  <c r="AB788" i="19"/>
  <c r="AC788" i="19" s="1"/>
  <c r="AB789" i="19"/>
  <c r="AC789" i="19" s="1"/>
  <c r="AB790" i="19"/>
  <c r="AC790" i="19" s="1"/>
  <c r="AB791" i="19"/>
  <c r="AC791" i="19" s="1"/>
  <c r="AB792" i="19"/>
  <c r="AC792" i="19" s="1"/>
  <c r="AB793" i="19"/>
  <c r="AC793" i="19" s="1"/>
  <c r="AB794" i="19"/>
  <c r="AC794" i="19" s="1"/>
  <c r="AB795" i="19"/>
  <c r="AC795" i="19" s="1"/>
  <c r="AB796" i="19"/>
  <c r="AC796" i="19" s="1"/>
  <c r="AB797" i="19"/>
  <c r="AC797" i="19" s="1"/>
  <c r="AB798" i="19"/>
  <c r="AC798" i="19" s="1"/>
  <c r="AB799" i="19"/>
  <c r="AC799" i="19" s="1"/>
  <c r="AB800" i="19"/>
  <c r="AC800" i="19" s="1"/>
  <c r="AB801" i="19"/>
  <c r="AC801" i="19" s="1"/>
  <c r="AB802" i="19"/>
  <c r="AC802" i="19" s="1"/>
  <c r="AB803" i="19"/>
  <c r="AC803" i="19" s="1"/>
  <c r="AB804" i="19"/>
  <c r="AC804" i="19" s="1"/>
  <c r="AB805" i="19"/>
  <c r="AC805" i="19" s="1"/>
  <c r="AB806" i="19"/>
  <c r="AC806" i="19" s="1"/>
  <c r="AB807" i="19"/>
  <c r="AC807" i="19" s="1"/>
  <c r="AB808" i="19"/>
  <c r="AC808" i="19" s="1"/>
  <c r="AB809" i="19"/>
  <c r="AC809" i="19" s="1"/>
  <c r="AB810" i="19"/>
  <c r="AC810" i="19" s="1"/>
  <c r="AB811" i="19"/>
  <c r="AC811" i="19" s="1"/>
  <c r="AB812" i="19"/>
  <c r="AC812" i="19" s="1"/>
  <c r="AB813" i="19"/>
  <c r="AC813" i="19" s="1"/>
  <c r="AB814" i="19"/>
  <c r="AC814" i="19" s="1"/>
  <c r="AB815" i="19"/>
  <c r="AC815" i="19" s="1"/>
  <c r="AB816" i="19"/>
  <c r="AC816" i="19" s="1"/>
  <c r="AB817" i="19"/>
  <c r="AC817" i="19" s="1"/>
  <c r="AB818" i="19"/>
  <c r="AC818" i="19" s="1"/>
  <c r="AB819" i="19"/>
  <c r="AC819" i="19" s="1"/>
  <c r="AB820" i="19"/>
  <c r="AC820" i="19" s="1"/>
  <c r="AB821" i="19"/>
  <c r="AC821" i="19" s="1"/>
  <c r="AB822" i="19"/>
  <c r="AC822" i="19" s="1"/>
  <c r="AB823" i="19"/>
  <c r="AC823" i="19" s="1"/>
  <c r="AB824" i="19"/>
  <c r="AC824" i="19" s="1"/>
  <c r="AB825" i="19"/>
  <c r="AC825" i="19" s="1"/>
  <c r="AB826" i="19"/>
  <c r="AC826" i="19" s="1"/>
  <c r="AB827" i="19"/>
  <c r="AC827" i="19" s="1"/>
  <c r="AB828" i="19"/>
  <c r="AC828" i="19" s="1"/>
  <c r="AB829" i="19"/>
  <c r="AC829" i="19" s="1"/>
  <c r="AB830" i="19"/>
  <c r="AC830" i="19" s="1"/>
  <c r="AB831" i="19"/>
  <c r="AC831" i="19" s="1"/>
  <c r="AB832" i="19"/>
  <c r="AC832" i="19" s="1"/>
  <c r="AB833" i="19"/>
  <c r="AC833" i="19" s="1"/>
  <c r="AB834" i="19"/>
  <c r="AC834" i="19" s="1"/>
  <c r="AB835" i="19"/>
  <c r="AC835" i="19" s="1"/>
  <c r="AB836" i="19"/>
  <c r="AC836" i="19" s="1"/>
  <c r="AB837" i="19"/>
  <c r="AC837" i="19" s="1"/>
  <c r="AB838" i="19"/>
  <c r="AC838" i="19" s="1"/>
  <c r="AB839" i="19"/>
  <c r="AC839" i="19" s="1"/>
  <c r="AB840" i="19"/>
  <c r="AC840" i="19" s="1"/>
  <c r="AB841" i="19"/>
  <c r="AC841" i="19" s="1"/>
  <c r="AB842" i="19"/>
  <c r="AC842" i="19" s="1"/>
  <c r="AB843" i="19"/>
  <c r="AC843" i="19" s="1"/>
  <c r="AB844" i="19"/>
  <c r="AC844" i="19" s="1"/>
  <c r="AB845" i="19"/>
  <c r="AC845" i="19" s="1"/>
  <c r="AB846" i="19"/>
  <c r="AC846" i="19" s="1"/>
  <c r="AB847" i="19"/>
  <c r="AC847" i="19" s="1"/>
  <c r="AB848" i="19"/>
  <c r="AC848" i="19" s="1"/>
  <c r="AB849" i="19"/>
  <c r="AC849" i="19" s="1"/>
  <c r="AB850" i="19"/>
  <c r="AC850" i="19" s="1"/>
  <c r="AB851" i="19"/>
  <c r="AC851" i="19" s="1"/>
  <c r="AB852" i="19"/>
  <c r="AC852" i="19" s="1"/>
  <c r="AB853" i="19"/>
  <c r="AC853" i="19" s="1"/>
  <c r="AB854" i="19"/>
  <c r="AC854" i="19" s="1"/>
  <c r="AB855" i="19"/>
  <c r="AC855" i="19" s="1"/>
  <c r="AB856" i="19"/>
  <c r="AC856" i="19" s="1"/>
  <c r="AB857" i="19"/>
  <c r="AC857" i="19" s="1"/>
  <c r="AB858" i="19"/>
  <c r="AC858" i="19" s="1"/>
  <c r="AB859" i="19"/>
  <c r="AC859" i="19" s="1"/>
  <c r="AB860" i="19"/>
  <c r="AC860" i="19" s="1"/>
  <c r="AB861" i="19"/>
  <c r="AC861" i="19" s="1"/>
  <c r="AB862" i="19"/>
  <c r="AC862" i="19" s="1"/>
  <c r="AB863" i="19"/>
  <c r="AC863" i="19" s="1"/>
  <c r="AB864" i="19"/>
  <c r="AC864" i="19" s="1"/>
  <c r="AB865" i="19"/>
  <c r="AC865" i="19" s="1"/>
  <c r="AB866" i="19"/>
  <c r="AC866" i="19" s="1"/>
  <c r="AB867" i="19"/>
  <c r="AC867" i="19" s="1"/>
  <c r="AB868" i="19"/>
  <c r="AC868" i="19" s="1"/>
  <c r="AB869" i="19"/>
  <c r="AC869" i="19" s="1"/>
  <c r="AB870" i="19"/>
  <c r="AC870" i="19" s="1"/>
  <c r="AB871" i="19"/>
  <c r="AC871" i="19" s="1"/>
  <c r="AB872" i="19"/>
  <c r="AC872" i="19" s="1"/>
  <c r="AB873" i="19"/>
  <c r="AC873" i="19" s="1"/>
  <c r="AB874" i="19"/>
  <c r="AC874" i="19" s="1"/>
  <c r="AB875" i="19"/>
  <c r="AC875" i="19" s="1"/>
  <c r="AB876" i="19"/>
  <c r="AC876" i="19" s="1"/>
  <c r="AB877" i="19"/>
  <c r="AC877" i="19" s="1"/>
  <c r="AB878" i="19"/>
  <c r="AC878" i="19" s="1"/>
  <c r="AB879" i="19"/>
  <c r="AC879" i="19" s="1"/>
  <c r="AB880" i="19"/>
  <c r="AC880" i="19" s="1"/>
  <c r="AB881" i="19"/>
  <c r="AC881" i="19" s="1"/>
  <c r="AB882" i="19"/>
  <c r="AC882" i="19" s="1"/>
  <c r="AB883" i="19"/>
  <c r="AC883" i="19" s="1"/>
  <c r="AB884" i="19"/>
  <c r="AC884" i="19" s="1"/>
  <c r="AB885" i="19"/>
  <c r="AC885" i="19" s="1"/>
  <c r="AB886" i="19"/>
  <c r="AC886" i="19" s="1"/>
  <c r="AB887" i="19"/>
  <c r="AC887" i="19" s="1"/>
  <c r="AB888" i="19"/>
  <c r="AC888" i="19" s="1"/>
  <c r="AB889" i="19"/>
  <c r="AC889" i="19" s="1"/>
  <c r="AB890" i="19"/>
  <c r="AC890" i="19" s="1"/>
  <c r="AB891" i="19"/>
  <c r="AC891" i="19" s="1"/>
  <c r="AB892" i="19"/>
  <c r="AC892" i="19" s="1"/>
  <c r="AB893" i="19"/>
  <c r="AC893" i="19" s="1"/>
  <c r="AB894" i="19"/>
  <c r="AC894" i="19" s="1"/>
  <c r="AB895" i="19"/>
  <c r="AC895" i="19" s="1"/>
  <c r="AB896" i="19"/>
  <c r="AC896" i="19" s="1"/>
  <c r="AB897" i="19"/>
  <c r="AC897" i="19" s="1"/>
  <c r="AB898" i="19"/>
  <c r="AC898" i="19" s="1"/>
  <c r="AB899" i="19"/>
  <c r="AC899" i="19" s="1"/>
  <c r="AB900" i="19"/>
  <c r="AC900" i="19" s="1"/>
  <c r="AB901" i="19"/>
  <c r="AC901" i="19" s="1"/>
  <c r="AB902" i="19"/>
  <c r="AC902" i="19" s="1"/>
  <c r="AB903" i="19"/>
  <c r="AC903" i="19" s="1"/>
  <c r="AB904" i="19"/>
  <c r="AC904" i="19" s="1"/>
  <c r="AB905" i="19"/>
  <c r="AC905" i="19" s="1"/>
  <c r="AB906" i="19"/>
  <c r="AC906" i="19" s="1"/>
  <c r="AB907" i="19"/>
  <c r="AC907" i="19" s="1"/>
  <c r="AB908" i="19"/>
  <c r="AC908" i="19" s="1"/>
  <c r="AB909" i="19"/>
  <c r="AC909" i="19" s="1"/>
  <c r="AB910" i="19"/>
  <c r="AC910" i="19" s="1"/>
  <c r="AB911" i="19"/>
  <c r="AC911" i="19" s="1"/>
  <c r="AB912" i="19"/>
  <c r="AC912" i="19" s="1"/>
  <c r="AB913" i="19"/>
  <c r="AC913" i="19" s="1"/>
  <c r="AB914" i="19"/>
  <c r="AC914" i="19" s="1"/>
  <c r="AB915" i="19"/>
  <c r="AC915" i="19" s="1"/>
  <c r="AB916" i="19"/>
  <c r="AC916" i="19" s="1"/>
  <c r="AB917" i="19"/>
  <c r="AC917" i="19" s="1"/>
  <c r="AB918" i="19"/>
  <c r="AC918" i="19" s="1"/>
  <c r="AB919" i="19"/>
  <c r="AC919" i="19" s="1"/>
  <c r="AB920" i="19"/>
  <c r="AC920" i="19" s="1"/>
  <c r="AB921" i="19"/>
  <c r="AC921" i="19" s="1"/>
  <c r="AB922" i="19"/>
  <c r="AC922" i="19" s="1"/>
  <c r="AB923" i="19"/>
  <c r="AC923" i="19" s="1"/>
  <c r="AB924" i="19"/>
  <c r="AC924" i="19" s="1"/>
  <c r="AB925" i="19"/>
  <c r="AC925" i="19" s="1"/>
  <c r="AB926" i="19"/>
  <c r="AC926" i="19" s="1"/>
  <c r="AB927" i="19"/>
  <c r="AC927" i="19" s="1"/>
  <c r="AB928" i="19"/>
  <c r="AC928" i="19" s="1"/>
  <c r="AB929" i="19"/>
  <c r="AC929" i="19" s="1"/>
  <c r="AB930" i="19"/>
  <c r="AC930" i="19" s="1"/>
  <c r="AB931" i="19"/>
  <c r="AC931" i="19" s="1"/>
  <c r="AB932" i="19"/>
  <c r="AC932" i="19" s="1"/>
  <c r="AB933" i="19"/>
  <c r="AC933" i="19" s="1"/>
  <c r="AB934" i="19"/>
  <c r="AC934" i="19" s="1"/>
  <c r="AB935" i="19"/>
  <c r="AC935" i="19" s="1"/>
  <c r="AB936" i="19"/>
  <c r="AC936" i="19" s="1"/>
  <c r="AB937" i="19"/>
  <c r="AC937" i="19" s="1"/>
  <c r="AB938" i="19"/>
  <c r="AC938" i="19" s="1"/>
  <c r="AB939" i="19"/>
  <c r="AC939" i="19" s="1"/>
  <c r="AB940" i="19"/>
  <c r="AC940" i="19" s="1"/>
  <c r="AB941" i="19"/>
  <c r="AC941" i="19" s="1"/>
  <c r="AB942" i="19"/>
  <c r="AC942" i="19" s="1"/>
  <c r="AB943" i="19"/>
  <c r="AC943" i="19" s="1"/>
  <c r="AB944" i="19"/>
  <c r="AC944" i="19" s="1"/>
  <c r="AB945" i="19"/>
  <c r="AC945" i="19" s="1"/>
  <c r="AB946" i="19"/>
  <c r="AC946" i="19" s="1"/>
  <c r="AB947" i="19"/>
  <c r="AC947" i="19" s="1"/>
  <c r="AB948" i="19"/>
  <c r="AC948" i="19" s="1"/>
  <c r="AB949" i="19"/>
  <c r="AC949" i="19" s="1"/>
  <c r="AB950" i="19"/>
  <c r="AC950" i="19" s="1"/>
  <c r="AB951" i="19"/>
  <c r="AC951" i="19" s="1"/>
  <c r="AB952" i="19"/>
  <c r="AC952" i="19" s="1"/>
  <c r="AB953" i="19"/>
  <c r="AC953" i="19" s="1"/>
  <c r="AB954" i="19"/>
  <c r="AC954" i="19" s="1"/>
  <c r="AB955" i="19"/>
  <c r="AC955" i="19" s="1"/>
  <c r="AB956" i="19"/>
  <c r="AC956" i="19" s="1"/>
  <c r="AB957" i="19"/>
  <c r="AC957" i="19" s="1"/>
  <c r="AB958" i="19"/>
  <c r="AC958" i="19" s="1"/>
  <c r="AB959" i="19"/>
  <c r="AC959" i="19" s="1"/>
  <c r="AB960" i="19"/>
  <c r="AC960" i="19" s="1"/>
  <c r="AB961" i="19"/>
  <c r="AC961" i="19" s="1"/>
  <c r="AB962" i="19"/>
  <c r="AC962" i="19" s="1"/>
  <c r="AB963" i="19"/>
  <c r="AC963" i="19" s="1"/>
  <c r="AB964" i="19"/>
  <c r="AC964" i="19" s="1"/>
  <c r="AB965" i="19"/>
  <c r="AC965" i="19" s="1"/>
  <c r="AB966" i="19"/>
  <c r="AC966" i="19" s="1"/>
  <c r="AB967" i="19"/>
  <c r="AC967" i="19" s="1"/>
  <c r="AB968" i="19"/>
  <c r="AC968" i="19" s="1"/>
  <c r="AB969" i="19"/>
  <c r="AC969" i="19" s="1"/>
  <c r="AB970" i="19"/>
  <c r="AC970" i="19" s="1"/>
  <c r="AB971" i="19"/>
  <c r="AC971" i="19" s="1"/>
  <c r="AB972" i="19"/>
  <c r="AC972" i="19" s="1"/>
  <c r="AB973" i="19"/>
  <c r="AC973" i="19" s="1"/>
  <c r="AB974" i="19"/>
  <c r="AC974" i="19" s="1"/>
  <c r="AB975" i="19"/>
  <c r="AC975" i="19" s="1"/>
  <c r="AB976" i="19"/>
  <c r="AC976" i="19" s="1"/>
  <c r="AB977" i="19"/>
  <c r="AC977" i="19" s="1"/>
  <c r="AB978" i="19"/>
  <c r="AC978" i="19" s="1"/>
  <c r="AB979" i="19"/>
  <c r="AC979" i="19" s="1"/>
  <c r="AB980" i="19"/>
  <c r="AC980" i="19" s="1"/>
  <c r="AB981" i="19"/>
  <c r="AC981" i="19" s="1"/>
  <c r="AB982" i="19"/>
  <c r="AC982" i="19" s="1"/>
  <c r="AB983" i="19"/>
  <c r="AC983" i="19" s="1"/>
  <c r="AB984" i="19"/>
  <c r="AC984" i="19" s="1"/>
  <c r="AB985" i="19"/>
  <c r="AC985" i="19" s="1"/>
  <c r="AB986" i="19"/>
  <c r="AC986" i="19" s="1"/>
  <c r="AB987" i="19"/>
  <c r="AC987" i="19" s="1"/>
  <c r="AB988" i="19"/>
  <c r="AC988" i="19" s="1"/>
  <c r="AB989" i="19"/>
  <c r="AC989" i="19" s="1"/>
  <c r="AB990" i="19"/>
  <c r="AC990" i="19" s="1"/>
  <c r="AB991" i="19"/>
  <c r="AC991" i="19" s="1"/>
  <c r="AB992" i="19"/>
  <c r="AC992" i="19" s="1"/>
  <c r="AB993" i="19"/>
  <c r="AC993" i="19" s="1"/>
  <c r="AB994" i="19"/>
  <c r="AC994" i="19" s="1"/>
  <c r="AB995" i="19"/>
  <c r="AC995" i="19" s="1"/>
  <c r="AB996" i="19"/>
  <c r="AC996" i="19" s="1"/>
  <c r="AB997" i="19"/>
  <c r="AC997" i="19" s="1"/>
  <c r="AB998" i="19"/>
  <c r="AC998" i="19" s="1"/>
  <c r="AB999" i="19"/>
  <c r="AC999" i="19" s="1"/>
  <c r="AB1000" i="19"/>
  <c r="AC1000" i="19" s="1"/>
  <c r="AB1001" i="19"/>
  <c r="AC1001" i="19" s="1"/>
  <c r="AB1002" i="19"/>
  <c r="AC1002" i="19" s="1"/>
  <c r="AB1003" i="19"/>
  <c r="AC1003" i="19" s="1"/>
  <c r="AB1004" i="19"/>
  <c r="AC1004" i="19" s="1"/>
  <c r="AB1005" i="19"/>
  <c r="AC1005" i="19" s="1"/>
  <c r="AB1006" i="19"/>
  <c r="AC1006" i="19" s="1"/>
  <c r="AB1007" i="19"/>
  <c r="AC1007" i="19" s="1"/>
  <c r="AB1008" i="19"/>
  <c r="AC1008" i="19" s="1"/>
  <c r="AB1009" i="19"/>
  <c r="AC1009" i="19" s="1"/>
  <c r="AB1010" i="19"/>
  <c r="AC1010" i="19" s="1"/>
  <c r="AB1011" i="19"/>
  <c r="AC1011" i="19" s="1"/>
  <c r="AB1012" i="19"/>
  <c r="AC1012" i="19" s="1"/>
  <c r="AB1013" i="19"/>
  <c r="AC1013" i="19" s="1"/>
  <c r="AB1014" i="19"/>
  <c r="AC1014" i="19" s="1"/>
  <c r="AB1015" i="19"/>
  <c r="AC1015" i="19" s="1"/>
  <c r="AB1016" i="19"/>
  <c r="AC1016" i="19" s="1"/>
  <c r="AB1017" i="19"/>
  <c r="AC1017" i="19" s="1"/>
  <c r="AB1018" i="19"/>
  <c r="AC1018" i="19" s="1"/>
  <c r="AB1019" i="19"/>
  <c r="AC1019" i="19" s="1"/>
  <c r="AB1020" i="19"/>
  <c r="AC1020" i="19" s="1"/>
  <c r="AB1021" i="19"/>
  <c r="AC1021" i="19" s="1"/>
  <c r="AB1022" i="19"/>
  <c r="AC1022" i="19" s="1"/>
  <c r="AB1023" i="19"/>
  <c r="AC1023" i="19" s="1"/>
  <c r="AB1024" i="19"/>
  <c r="AC1024" i="19" s="1"/>
  <c r="AB1025" i="19"/>
  <c r="AC1025" i="19" s="1"/>
  <c r="AB1026" i="19"/>
  <c r="AC1026" i="19" s="1"/>
  <c r="AB1027" i="19"/>
  <c r="AC1027" i="19" s="1"/>
  <c r="AB1028" i="19"/>
  <c r="AC1028" i="19" s="1"/>
  <c r="AB1029" i="19"/>
  <c r="AC1029" i="19" s="1"/>
  <c r="AB1030" i="19"/>
  <c r="AC1030" i="19" s="1"/>
  <c r="AB1031" i="19"/>
  <c r="AC1031" i="19" s="1"/>
  <c r="AB1032" i="19"/>
  <c r="AC1032" i="19" s="1"/>
  <c r="AB1033" i="19"/>
  <c r="AC1033" i="19" s="1"/>
  <c r="AB1034" i="19"/>
  <c r="AC1034" i="19" s="1"/>
  <c r="AB1035" i="19"/>
  <c r="AC1035" i="19" s="1"/>
  <c r="AB1036" i="19"/>
  <c r="AC1036" i="19" s="1"/>
  <c r="AB1037" i="19"/>
  <c r="AC1037" i="19" s="1"/>
  <c r="AB1038" i="19"/>
  <c r="AC1038" i="19" s="1"/>
  <c r="AB1039" i="19"/>
  <c r="AC1039" i="19" s="1"/>
  <c r="AB1040" i="19"/>
  <c r="AC1040" i="19" s="1"/>
  <c r="AB1041" i="19"/>
  <c r="AC1041" i="19" s="1"/>
  <c r="AB1042" i="19"/>
  <c r="AC1042" i="19" s="1"/>
  <c r="AB1043" i="19"/>
  <c r="AC1043" i="19" s="1"/>
  <c r="AB1044" i="19"/>
  <c r="AC1044" i="19" s="1"/>
  <c r="AB1045" i="19"/>
  <c r="AC1045" i="19" s="1"/>
  <c r="AB1046" i="19"/>
  <c r="AC1046" i="19" s="1"/>
  <c r="AB1047" i="19"/>
  <c r="AC1047" i="19" s="1"/>
  <c r="AB1048" i="19"/>
  <c r="AC1048" i="19" s="1"/>
  <c r="AB1049" i="19"/>
  <c r="AC1049" i="19" s="1"/>
  <c r="AB1050" i="19"/>
  <c r="AC1050" i="19" s="1"/>
  <c r="AB1051" i="19"/>
  <c r="AC1051" i="19" s="1"/>
  <c r="AB1052" i="19"/>
  <c r="AC1052" i="19" s="1"/>
  <c r="AB1053" i="19"/>
  <c r="AC1053" i="19" s="1"/>
  <c r="AB1054" i="19"/>
  <c r="AC1054" i="19" s="1"/>
  <c r="AB1055" i="19"/>
  <c r="AC1055" i="19" s="1"/>
  <c r="AB1056" i="19"/>
  <c r="AC1056" i="19" s="1"/>
  <c r="AB1057" i="19"/>
  <c r="AC1057" i="19" s="1"/>
  <c r="AB1058" i="19"/>
  <c r="AC1058" i="19" s="1"/>
  <c r="AB1059" i="19"/>
  <c r="AC1059" i="19" s="1"/>
  <c r="AB1060" i="19"/>
  <c r="AC1060" i="19" s="1"/>
  <c r="AB1061" i="19"/>
  <c r="AC1061" i="19" s="1"/>
  <c r="AB1062" i="19"/>
  <c r="AC1062" i="19" s="1"/>
  <c r="AB1063" i="19"/>
  <c r="AC1063" i="19" s="1"/>
  <c r="AB1064" i="19"/>
  <c r="AC1064" i="19" s="1"/>
  <c r="AB1065" i="19"/>
  <c r="AC1065" i="19" s="1"/>
  <c r="AB1066" i="19"/>
  <c r="AC1066" i="19" s="1"/>
  <c r="AB1067" i="19"/>
  <c r="AC1067" i="19" s="1"/>
  <c r="AB1068" i="19"/>
  <c r="AC1068" i="19" s="1"/>
  <c r="AB1069" i="19"/>
  <c r="AC1069" i="19" s="1"/>
  <c r="AB1070" i="19"/>
  <c r="AC1070" i="19" s="1"/>
  <c r="AB1071" i="19"/>
  <c r="AC1071" i="19" s="1"/>
  <c r="AB1072" i="19"/>
  <c r="AC1072" i="19" s="1"/>
  <c r="AB1073" i="19"/>
  <c r="AC1073" i="19" s="1"/>
  <c r="AB1074" i="19"/>
  <c r="AC1074" i="19" s="1"/>
  <c r="AB1075" i="19"/>
  <c r="AC1075" i="19" s="1"/>
  <c r="AB1076" i="19"/>
  <c r="AC1076" i="19" s="1"/>
  <c r="AB1077" i="19"/>
  <c r="AC1077" i="19" s="1"/>
  <c r="AB1078" i="19"/>
  <c r="AC1078" i="19" s="1"/>
  <c r="AB1079" i="19"/>
  <c r="AC1079" i="19" s="1"/>
  <c r="AB1080" i="19"/>
  <c r="AC1080" i="19" s="1"/>
  <c r="AB1081" i="19"/>
  <c r="AC1081" i="19" s="1"/>
  <c r="AB1082" i="19"/>
  <c r="AC1082" i="19" s="1"/>
  <c r="AB1083" i="19"/>
  <c r="AC1083" i="19" s="1"/>
  <c r="AB1084" i="19"/>
  <c r="AC1084" i="19" s="1"/>
  <c r="AB1085" i="19"/>
  <c r="AC1085" i="19" s="1"/>
  <c r="AB1086" i="19"/>
  <c r="AC1086" i="19" s="1"/>
  <c r="AB1087" i="19"/>
  <c r="AC1087" i="19" s="1"/>
  <c r="AB1088" i="19"/>
  <c r="AC1088" i="19" s="1"/>
  <c r="AB1089" i="19"/>
  <c r="AC1089" i="19" s="1"/>
  <c r="AB1090" i="19"/>
  <c r="AC1090" i="19" s="1"/>
  <c r="AB1091" i="19"/>
  <c r="AC1091" i="19" s="1"/>
  <c r="AB1092" i="19"/>
  <c r="AC1092" i="19" s="1"/>
  <c r="AB1093" i="19"/>
  <c r="AC1093" i="19" s="1"/>
  <c r="AB1094" i="19"/>
  <c r="AC1094" i="19" s="1"/>
  <c r="AB1095" i="19"/>
  <c r="AC1095" i="19" s="1"/>
  <c r="AB1096" i="19"/>
  <c r="AC1096" i="19" s="1"/>
  <c r="AB1097" i="19"/>
  <c r="AC1097" i="19" s="1"/>
  <c r="AB1098" i="19"/>
  <c r="AC1098" i="19" s="1"/>
  <c r="AB1099" i="19"/>
  <c r="AC1099" i="19" s="1"/>
  <c r="AB1100" i="19"/>
  <c r="AC1100" i="19" s="1"/>
  <c r="AB1101" i="19"/>
  <c r="AC1101" i="19" s="1"/>
  <c r="AB1102" i="19"/>
  <c r="AC1102" i="19" s="1"/>
  <c r="AB1103" i="19"/>
  <c r="AC1103" i="19" s="1"/>
  <c r="AB1104" i="19"/>
  <c r="AC1104" i="19" s="1"/>
  <c r="AB1105" i="19"/>
  <c r="AC1105" i="19" s="1"/>
  <c r="AB1106" i="19"/>
  <c r="AC1106" i="19" s="1"/>
  <c r="AB1107" i="19"/>
  <c r="AC1107" i="19" s="1"/>
  <c r="AB1108" i="19"/>
  <c r="AC1108" i="19" s="1"/>
  <c r="AB1109" i="19"/>
  <c r="AC1109" i="19" s="1"/>
  <c r="AB1110" i="19"/>
  <c r="AC1110" i="19" s="1"/>
  <c r="AB1111" i="19"/>
  <c r="AC1111" i="19" s="1"/>
  <c r="AB1112" i="19"/>
  <c r="AC1112" i="19" s="1"/>
  <c r="AB1113" i="19"/>
  <c r="AC1113" i="19" s="1"/>
  <c r="AB1114" i="19"/>
  <c r="AC1114" i="19" s="1"/>
  <c r="AB1115" i="19"/>
  <c r="AC1115" i="19" s="1"/>
  <c r="AB1116" i="19"/>
  <c r="AC1116" i="19" s="1"/>
  <c r="AB1117" i="19"/>
  <c r="AC1117" i="19" s="1"/>
  <c r="AB1118" i="19"/>
  <c r="AC1118" i="19" s="1"/>
  <c r="AB1119" i="19"/>
  <c r="AC1119" i="19" s="1"/>
  <c r="AB1120" i="19"/>
  <c r="AC1120" i="19" s="1"/>
  <c r="AB1121" i="19"/>
  <c r="AC1121" i="19" s="1"/>
  <c r="AB1122" i="19"/>
  <c r="AC1122" i="19" s="1"/>
  <c r="AB1123" i="19"/>
  <c r="AC1123" i="19" s="1"/>
  <c r="AB1124" i="19"/>
  <c r="AC1124" i="19" s="1"/>
  <c r="AB1125" i="19"/>
  <c r="AC1125" i="19" s="1"/>
  <c r="AB1126" i="19"/>
  <c r="AC1126" i="19" s="1"/>
  <c r="AB1127" i="19"/>
  <c r="AC1127" i="19" s="1"/>
  <c r="AB1128" i="19"/>
  <c r="AC1128" i="19" s="1"/>
  <c r="AB1129" i="19"/>
  <c r="AC1129" i="19" s="1"/>
  <c r="AB1130" i="19"/>
  <c r="AC1130" i="19" s="1"/>
  <c r="AB1131" i="19"/>
  <c r="AC1131" i="19" s="1"/>
  <c r="AB1132" i="19"/>
  <c r="AC1132" i="19" s="1"/>
  <c r="AB1133" i="19"/>
  <c r="AC1133" i="19" s="1"/>
  <c r="AB1134" i="19"/>
  <c r="AC1134" i="19" s="1"/>
  <c r="AB1135" i="19"/>
  <c r="AC1135" i="19" s="1"/>
  <c r="AB1136" i="19"/>
  <c r="AC1136" i="19" s="1"/>
  <c r="AB1137" i="19"/>
  <c r="AC1137" i="19" s="1"/>
  <c r="AB1138" i="19"/>
  <c r="AC1138" i="19" s="1"/>
  <c r="AB1139" i="19"/>
  <c r="AC1139" i="19" s="1"/>
  <c r="AB1140" i="19"/>
  <c r="AC1140" i="19" s="1"/>
  <c r="AB1141" i="19"/>
  <c r="AC1141" i="19" s="1"/>
  <c r="AB1142" i="19"/>
  <c r="AC1142" i="19" s="1"/>
  <c r="AB1143" i="19"/>
  <c r="AC1143" i="19" s="1"/>
  <c r="AB1144" i="19"/>
  <c r="AC1144" i="19" s="1"/>
  <c r="AB1145" i="19"/>
  <c r="AC1145" i="19" s="1"/>
  <c r="AB1146" i="19"/>
  <c r="AC1146" i="19" s="1"/>
  <c r="AB1147" i="19"/>
  <c r="AC1147" i="19" s="1"/>
  <c r="AB1148" i="19"/>
  <c r="AC1148" i="19" s="1"/>
  <c r="AB1149" i="19"/>
  <c r="AC1149" i="19" s="1"/>
  <c r="AB1150" i="19"/>
  <c r="AC1150" i="19" s="1"/>
  <c r="AB1151" i="19"/>
  <c r="AC1151" i="19" s="1"/>
  <c r="AB1152" i="19"/>
  <c r="AC1152" i="19" s="1"/>
  <c r="AB1153" i="19"/>
  <c r="AC1153" i="19" s="1"/>
  <c r="AB1154" i="19"/>
  <c r="AC1154" i="19" s="1"/>
  <c r="AB1155" i="19"/>
  <c r="AC1155" i="19" s="1"/>
  <c r="AB1156" i="19"/>
  <c r="AC1156" i="19" s="1"/>
  <c r="AB1157" i="19"/>
  <c r="AC1157" i="19" s="1"/>
  <c r="AB1158" i="19"/>
  <c r="AC1158" i="19" s="1"/>
  <c r="AB1159" i="19"/>
  <c r="AC1159" i="19" s="1"/>
  <c r="AB1160" i="19"/>
  <c r="AC1160" i="19" s="1"/>
  <c r="AB1161" i="19"/>
  <c r="AC1161" i="19" s="1"/>
  <c r="AB1162" i="19"/>
  <c r="AC1162" i="19" s="1"/>
  <c r="AB1163" i="19"/>
  <c r="AC1163" i="19" s="1"/>
  <c r="AB1164" i="19"/>
  <c r="AC1164" i="19" s="1"/>
  <c r="AB1165" i="19"/>
  <c r="AC1165" i="19" s="1"/>
  <c r="AB1166" i="19"/>
  <c r="AC1166" i="19" s="1"/>
  <c r="AB1167" i="19"/>
  <c r="AC1167" i="19" s="1"/>
  <c r="AB1168" i="19"/>
  <c r="AC1168" i="19" s="1"/>
  <c r="AB1169" i="19"/>
  <c r="AC1169" i="19" s="1"/>
  <c r="AB1170" i="19"/>
  <c r="AC1170" i="19" s="1"/>
  <c r="AB1171" i="19"/>
  <c r="AC1171" i="19" s="1"/>
  <c r="AB1172" i="19"/>
  <c r="AC1172" i="19" s="1"/>
  <c r="AB1173" i="19"/>
  <c r="AC1173" i="19" s="1"/>
  <c r="AB1174" i="19"/>
  <c r="AC1174" i="19" s="1"/>
  <c r="AB1175" i="19"/>
  <c r="AC1175" i="19" s="1"/>
  <c r="AB1176" i="19"/>
  <c r="AC1176" i="19" s="1"/>
  <c r="AB1177" i="19"/>
  <c r="AC1177" i="19" s="1"/>
  <c r="AB1178" i="19"/>
  <c r="AC1178" i="19" s="1"/>
  <c r="AB1179" i="19"/>
  <c r="AC1179" i="19" s="1"/>
  <c r="AB1180" i="19"/>
  <c r="AC1180" i="19" s="1"/>
  <c r="AB1181" i="19"/>
  <c r="AC1181" i="19" s="1"/>
  <c r="AB1182" i="19"/>
  <c r="AC1182" i="19" s="1"/>
  <c r="AB1183" i="19"/>
  <c r="AC1183" i="19" s="1"/>
  <c r="AB1184" i="19"/>
  <c r="AC1184" i="19" s="1"/>
  <c r="AB1185" i="19"/>
  <c r="AC1185" i="19" s="1"/>
  <c r="AB1186" i="19"/>
  <c r="AC1186" i="19" s="1"/>
  <c r="AB1187" i="19"/>
  <c r="AC1187" i="19" s="1"/>
  <c r="AB1188" i="19"/>
  <c r="AC1188" i="19" s="1"/>
  <c r="AB1189" i="19"/>
  <c r="AC1189" i="19" s="1"/>
  <c r="AB1190" i="19"/>
  <c r="AC1190" i="19" s="1"/>
  <c r="AB1191" i="19"/>
  <c r="AC1191" i="19" s="1"/>
  <c r="AB1192" i="19"/>
  <c r="AC1192" i="19" s="1"/>
  <c r="AB1193" i="19"/>
  <c r="AC1193" i="19" s="1"/>
  <c r="AB1194" i="19"/>
  <c r="AC1194" i="19" s="1"/>
  <c r="AB1195" i="19"/>
  <c r="AC1195" i="19" s="1"/>
  <c r="AB1196" i="19"/>
  <c r="AC1196" i="19" s="1"/>
  <c r="AB1197" i="19"/>
  <c r="AC1197" i="19" s="1"/>
  <c r="AB1198" i="19"/>
  <c r="AC1198" i="19" s="1"/>
  <c r="AB1199" i="19"/>
  <c r="AC1199" i="19" s="1"/>
  <c r="AB1200" i="19"/>
  <c r="AC1200" i="19" s="1"/>
  <c r="AB1201" i="19"/>
  <c r="AC1201" i="19" s="1"/>
  <c r="AB1202" i="19"/>
  <c r="AC1202" i="19" s="1"/>
  <c r="AB1203" i="19"/>
  <c r="AC1203" i="19" s="1"/>
  <c r="AB1204" i="19"/>
  <c r="AC1204" i="19" s="1"/>
  <c r="AB1205" i="19"/>
  <c r="AC1205" i="19" s="1"/>
  <c r="AB1206" i="19"/>
  <c r="AC1206" i="19" s="1"/>
  <c r="AB1207" i="19"/>
  <c r="AC1207" i="19" s="1"/>
  <c r="AB1208" i="19"/>
  <c r="AC1208" i="19" s="1"/>
  <c r="AB1209" i="19"/>
  <c r="AC1209" i="19" s="1"/>
  <c r="AB1210" i="19"/>
  <c r="AC1210" i="19" s="1"/>
  <c r="AB1211" i="19"/>
  <c r="AC1211" i="19" s="1"/>
  <c r="AB1212" i="19"/>
  <c r="AC1212" i="19" s="1"/>
  <c r="AB1213" i="19"/>
  <c r="AC1213" i="19" s="1"/>
  <c r="AB1214" i="19"/>
  <c r="AC1214" i="19" s="1"/>
  <c r="AB1215" i="19"/>
  <c r="AC1215" i="19" s="1"/>
  <c r="AB1216" i="19"/>
  <c r="AC1216" i="19" s="1"/>
  <c r="AB1217" i="19"/>
  <c r="AC1217" i="19" s="1"/>
  <c r="AB1218" i="19"/>
  <c r="AC1218" i="19" s="1"/>
  <c r="AB1219" i="19"/>
  <c r="AC1219" i="19" s="1"/>
  <c r="AB1220" i="19"/>
  <c r="AC1220" i="19" s="1"/>
  <c r="AB1221" i="19"/>
  <c r="AC1221" i="19" s="1"/>
  <c r="AB1222" i="19"/>
  <c r="AC1222" i="19" s="1"/>
  <c r="AB1223" i="19"/>
  <c r="AC1223" i="19" s="1"/>
  <c r="AB1224" i="19"/>
  <c r="AC1224" i="19" s="1"/>
  <c r="AB1225" i="19"/>
  <c r="AC1225" i="19" s="1"/>
  <c r="AB1226" i="19"/>
  <c r="AC1226" i="19" s="1"/>
  <c r="AB1227" i="19"/>
  <c r="AC1227" i="19" s="1"/>
  <c r="AB1228" i="19"/>
  <c r="AC1228" i="19" s="1"/>
  <c r="AB1229" i="19"/>
  <c r="AC1229" i="19" s="1"/>
  <c r="AB1230" i="19"/>
  <c r="AC1230" i="19" s="1"/>
  <c r="AB1231" i="19"/>
  <c r="AC1231" i="19" s="1"/>
  <c r="AB1232" i="19"/>
  <c r="AC1232" i="19" s="1"/>
  <c r="AB1233" i="19"/>
  <c r="AC1233" i="19" s="1"/>
  <c r="AB1234" i="19"/>
  <c r="AC1234" i="19" s="1"/>
  <c r="AB1235" i="19"/>
  <c r="AC1235" i="19" s="1"/>
  <c r="AB1236" i="19"/>
  <c r="AC1236" i="19" s="1"/>
  <c r="AB1237" i="19"/>
  <c r="AC1237" i="19" s="1"/>
  <c r="AB1238" i="19"/>
  <c r="AC1238" i="19" s="1"/>
  <c r="AB1239" i="19"/>
  <c r="AC1239" i="19" s="1"/>
  <c r="AB1240" i="19"/>
  <c r="AC1240" i="19" s="1"/>
  <c r="AB1241" i="19"/>
  <c r="AC1241" i="19" s="1"/>
  <c r="AB1242" i="19"/>
  <c r="AC1242" i="19" s="1"/>
  <c r="AB1243" i="19"/>
  <c r="AC1243" i="19" s="1"/>
  <c r="AB1244" i="19"/>
  <c r="AC1244" i="19" s="1"/>
  <c r="AB1245" i="19"/>
  <c r="AC1245" i="19" s="1"/>
  <c r="AB1246" i="19"/>
  <c r="AC1246" i="19" s="1"/>
  <c r="AB1247" i="19"/>
  <c r="AC1247" i="19" s="1"/>
  <c r="AB1248" i="19"/>
  <c r="AC1248" i="19" s="1"/>
  <c r="AB1249" i="19"/>
  <c r="AC1249" i="19" s="1"/>
  <c r="AB1250" i="19"/>
  <c r="AC1250" i="19" s="1"/>
  <c r="AB1251" i="19"/>
  <c r="AC1251" i="19" s="1"/>
  <c r="AB1252" i="19"/>
  <c r="AC1252" i="19" s="1"/>
  <c r="AB1253" i="19"/>
  <c r="AC1253" i="19" s="1"/>
  <c r="AB1254" i="19"/>
  <c r="AC1254" i="19" s="1"/>
  <c r="AB1255" i="19"/>
  <c r="AC1255" i="19" s="1"/>
  <c r="AB1256" i="19"/>
  <c r="AC1256" i="19" s="1"/>
  <c r="AB1257" i="19"/>
  <c r="AC1257" i="19" s="1"/>
  <c r="AB1258" i="19"/>
  <c r="AC1258" i="19" s="1"/>
  <c r="AB1259" i="19"/>
  <c r="AC1259" i="19" s="1"/>
  <c r="AB1260" i="19"/>
  <c r="AC1260" i="19" s="1"/>
  <c r="AB1261" i="19"/>
  <c r="AC1261" i="19" s="1"/>
  <c r="AB1262" i="19"/>
  <c r="AC1262" i="19" s="1"/>
  <c r="AB1263" i="19"/>
  <c r="AC1263" i="19" s="1"/>
  <c r="AB1264" i="19"/>
  <c r="AC1264" i="19" s="1"/>
  <c r="AB1265" i="19"/>
  <c r="AC1265" i="19" s="1"/>
  <c r="AB1266" i="19"/>
  <c r="AC1266" i="19" s="1"/>
  <c r="AB1267" i="19"/>
  <c r="AC1267" i="19" s="1"/>
  <c r="AB1268" i="19"/>
  <c r="AC1268" i="19" s="1"/>
  <c r="AB1269" i="19"/>
  <c r="AC1269" i="19" s="1"/>
  <c r="AB1270" i="19"/>
  <c r="AC1270" i="19" s="1"/>
  <c r="AB1271" i="19"/>
  <c r="AC1271" i="19" s="1"/>
  <c r="AB1272" i="19"/>
  <c r="AC1272" i="19" s="1"/>
  <c r="AB1273" i="19"/>
  <c r="AC1273" i="19" s="1"/>
  <c r="AB1274" i="19"/>
  <c r="AC1274" i="19" s="1"/>
  <c r="AB1275" i="19"/>
  <c r="AC1275" i="19" s="1"/>
  <c r="AB1276" i="19"/>
  <c r="AC1276" i="19" s="1"/>
  <c r="AB1277" i="19"/>
  <c r="AC1277" i="19" s="1"/>
  <c r="AB1278" i="19"/>
  <c r="AC1278" i="19" s="1"/>
  <c r="AB1279" i="19"/>
  <c r="AC1279" i="19" s="1"/>
  <c r="AB1280" i="19"/>
  <c r="AC1280" i="19" s="1"/>
  <c r="AB1281" i="19"/>
  <c r="AC1281" i="19" s="1"/>
  <c r="AB1282" i="19"/>
  <c r="AC1282" i="19" s="1"/>
  <c r="AB1283" i="19"/>
  <c r="AC1283" i="19" s="1"/>
  <c r="AB1284" i="19"/>
  <c r="AC1284" i="19" s="1"/>
  <c r="AB1285" i="19"/>
  <c r="AC1285" i="19" s="1"/>
  <c r="AB1286" i="19"/>
  <c r="AC1286" i="19" s="1"/>
  <c r="AB1287" i="19"/>
  <c r="AC1287" i="19" s="1"/>
  <c r="AB1288" i="19"/>
  <c r="AC1288" i="19" s="1"/>
  <c r="AB1289" i="19"/>
  <c r="AC1289" i="19" s="1"/>
  <c r="AB1290" i="19"/>
  <c r="AC1290" i="19" s="1"/>
  <c r="AB1291" i="19"/>
  <c r="AC1291" i="19" s="1"/>
  <c r="AB1292" i="19"/>
  <c r="AC1292" i="19" s="1"/>
  <c r="AB1293" i="19"/>
  <c r="AC1293" i="19" s="1"/>
  <c r="AB1294" i="19"/>
  <c r="AC1294" i="19" s="1"/>
  <c r="AB1295" i="19"/>
  <c r="AC1295" i="19" s="1"/>
  <c r="AB1296" i="19"/>
  <c r="AC1296" i="19" s="1"/>
  <c r="AB1297" i="19"/>
  <c r="AC1297" i="19" s="1"/>
  <c r="AB1298" i="19"/>
  <c r="AC1298" i="19" s="1"/>
  <c r="AB1299" i="19"/>
  <c r="AC1299" i="19" s="1"/>
  <c r="AB1300" i="19"/>
  <c r="AC1300" i="19" s="1"/>
  <c r="AB1301" i="19"/>
  <c r="AC1301" i="19" s="1"/>
  <c r="AB1302" i="19"/>
  <c r="AC1302" i="19" s="1"/>
  <c r="AB1303" i="19"/>
  <c r="AC1303" i="19" s="1"/>
  <c r="AB1304" i="19"/>
  <c r="AC1304" i="19" s="1"/>
  <c r="AB1305" i="19"/>
  <c r="AC1305" i="19" s="1"/>
  <c r="AB1306" i="19"/>
  <c r="AC1306" i="19" s="1"/>
  <c r="AB1307" i="19"/>
  <c r="AC1307" i="19" s="1"/>
  <c r="AB1308" i="19"/>
  <c r="AC1308" i="19" s="1"/>
  <c r="AB1309" i="19"/>
  <c r="AC1309" i="19" s="1"/>
  <c r="AB1310" i="19"/>
  <c r="AC1310" i="19" s="1"/>
  <c r="AB1311" i="19"/>
  <c r="AC1311" i="19" s="1"/>
  <c r="AD714" i="19" l="1"/>
  <c r="AF714" i="19" s="1"/>
  <c r="AG714" i="19" s="1"/>
  <c r="AD569" i="19"/>
  <c r="AF569" i="19" s="1"/>
  <c r="AG569" i="19" s="1"/>
  <c r="AD293" i="19"/>
  <c r="AF293" i="19" s="1"/>
  <c r="AG293" i="19" s="1"/>
  <c r="AD663" i="19"/>
  <c r="AF663" i="19" s="1"/>
  <c r="AG663" i="19" s="1"/>
  <c r="AD1303" i="19"/>
  <c r="AF1303" i="19" s="1"/>
  <c r="AG1303" i="19" s="1"/>
  <c r="AD1183" i="19"/>
  <c r="AF1183" i="19" s="1"/>
  <c r="AG1183" i="19" s="1"/>
  <c r="AD1051" i="19"/>
  <c r="AF1051" i="19" s="1"/>
  <c r="AG1051" i="19" s="1"/>
  <c r="AD931" i="19"/>
  <c r="AF931" i="19" s="1"/>
  <c r="AG931" i="19" s="1"/>
  <c r="AD788" i="19"/>
  <c r="AF788" i="19" s="1"/>
  <c r="AG788" i="19" s="1"/>
  <c r="AD659" i="19"/>
  <c r="AF659" i="19" s="1"/>
  <c r="AG659" i="19" s="1"/>
  <c r="AD565" i="19"/>
  <c r="AF565" i="19" s="1"/>
  <c r="AG565" i="19" s="1"/>
  <c r="AD445" i="19"/>
  <c r="AF445" i="19" s="1"/>
  <c r="AG445" i="19" s="1"/>
  <c r="AD313" i="19"/>
  <c r="AF313" i="19" s="1"/>
  <c r="AG313" i="19" s="1"/>
  <c r="AD218" i="19"/>
  <c r="AF218" i="19" s="1"/>
  <c r="AG218" i="19" s="1"/>
  <c r="AD170" i="19"/>
  <c r="AF170" i="19" s="1"/>
  <c r="AG170" i="19" s="1"/>
  <c r="AD146" i="19"/>
  <c r="AF146" i="19" s="1"/>
  <c r="AG146" i="19" s="1"/>
  <c r="AD14" i="19"/>
  <c r="AF14" i="19" s="1"/>
  <c r="AG14" i="19" s="1"/>
  <c r="AD1302" i="19"/>
  <c r="AF1302" i="19" s="1"/>
  <c r="AG1302" i="19" s="1"/>
  <c r="AD1290" i="19"/>
  <c r="AF1290" i="19" s="1"/>
  <c r="AG1290" i="19" s="1"/>
  <c r="AD1278" i="19"/>
  <c r="AF1278" i="19" s="1"/>
  <c r="AG1278" i="19" s="1"/>
  <c r="AD1266" i="19"/>
  <c r="AF1266" i="19" s="1"/>
  <c r="AG1266" i="19" s="1"/>
  <c r="AD1254" i="19"/>
  <c r="AF1254" i="19" s="1"/>
  <c r="AG1254" i="19" s="1"/>
  <c r="AD1242" i="19"/>
  <c r="AF1242" i="19" s="1"/>
  <c r="AG1242" i="19" s="1"/>
  <c r="AD1230" i="19"/>
  <c r="AF1230" i="19" s="1"/>
  <c r="AG1230" i="19" s="1"/>
  <c r="AD1218" i="19"/>
  <c r="AF1218" i="19" s="1"/>
  <c r="AG1218" i="19" s="1"/>
  <c r="AD1206" i="19"/>
  <c r="AF1206" i="19" s="1"/>
  <c r="AG1206" i="19" s="1"/>
  <c r="AD1194" i="19"/>
  <c r="AF1194" i="19" s="1"/>
  <c r="AG1194" i="19" s="1"/>
  <c r="AD1182" i="19"/>
  <c r="AF1182" i="19" s="1"/>
  <c r="AG1182" i="19" s="1"/>
  <c r="AD1170" i="19"/>
  <c r="AF1170" i="19" s="1"/>
  <c r="AG1170" i="19" s="1"/>
  <c r="AD1158" i="19"/>
  <c r="AF1158" i="19" s="1"/>
  <c r="AG1158" i="19" s="1"/>
  <c r="AD1146" i="19"/>
  <c r="AF1146" i="19" s="1"/>
  <c r="AG1146" i="19" s="1"/>
  <c r="AD1134" i="19"/>
  <c r="AF1134" i="19" s="1"/>
  <c r="AG1134" i="19" s="1"/>
  <c r="AD1122" i="19"/>
  <c r="AF1122" i="19" s="1"/>
  <c r="AG1122" i="19" s="1"/>
  <c r="AD1110" i="19"/>
  <c r="AF1110" i="19" s="1"/>
  <c r="AG1110" i="19" s="1"/>
  <c r="AD1098" i="19"/>
  <c r="AF1098" i="19" s="1"/>
  <c r="AG1098" i="19" s="1"/>
  <c r="AD1086" i="19"/>
  <c r="AF1086" i="19" s="1"/>
  <c r="AG1086" i="19" s="1"/>
  <c r="AD1074" i="19"/>
  <c r="AF1074" i="19" s="1"/>
  <c r="AG1074" i="19" s="1"/>
  <c r="AD1062" i="19"/>
  <c r="AF1062" i="19" s="1"/>
  <c r="AG1062" i="19" s="1"/>
  <c r="AD1050" i="19"/>
  <c r="AF1050" i="19" s="1"/>
  <c r="AG1050" i="19" s="1"/>
  <c r="AD1038" i="19"/>
  <c r="AF1038" i="19" s="1"/>
  <c r="AG1038" i="19" s="1"/>
  <c r="AD1026" i="19"/>
  <c r="AF1026" i="19" s="1"/>
  <c r="AG1026" i="19" s="1"/>
  <c r="AD1014" i="19"/>
  <c r="AF1014" i="19" s="1"/>
  <c r="AG1014" i="19" s="1"/>
  <c r="AD1002" i="19"/>
  <c r="AF1002" i="19" s="1"/>
  <c r="AG1002" i="19" s="1"/>
  <c r="AD990" i="19"/>
  <c r="AF990" i="19" s="1"/>
  <c r="AG990" i="19" s="1"/>
  <c r="AD978" i="19"/>
  <c r="AF978" i="19" s="1"/>
  <c r="AG978" i="19" s="1"/>
  <c r="AD966" i="19"/>
  <c r="AF966" i="19" s="1"/>
  <c r="AG966" i="19" s="1"/>
  <c r="AD954" i="19"/>
  <c r="AF954" i="19" s="1"/>
  <c r="AG954" i="19" s="1"/>
  <c r="AD942" i="19"/>
  <c r="AF942" i="19" s="1"/>
  <c r="AG942" i="19" s="1"/>
  <c r="AD930" i="19"/>
  <c r="AF930" i="19" s="1"/>
  <c r="AG930" i="19" s="1"/>
  <c r="AD918" i="19"/>
  <c r="AF918" i="19" s="1"/>
  <c r="AG918" i="19" s="1"/>
  <c r="AD906" i="19"/>
  <c r="AF906" i="19" s="1"/>
  <c r="AG906" i="19" s="1"/>
  <c r="AD894" i="19"/>
  <c r="AF894" i="19" s="1"/>
  <c r="AG894" i="19" s="1"/>
  <c r="AD882" i="19"/>
  <c r="AF882" i="19" s="1"/>
  <c r="AG882" i="19" s="1"/>
  <c r="AD870" i="19"/>
  <c r="AF870" i="19" s="1"/>
  <c r="AG870" i="19" s="1"/>
  <c r="AD858" i="19"/>
  <c r="AF858" i="19" s="1"/>
  <c r="AG858" i="19" s="1"/>
  <c r="AD846" i="19"/>
  <c r="AF846" i="19" s="1"/>
  <c r="AG846" i="19" s="1"/>
  <c r="AD834" i="19"/>
  <c r="AF834" i="19" s="1"/>
  <c r="AG834" i="19" s="1"/>
  <c r="AD822" i="19"/>
  <c r="AF822" i="19" s="1"/>
  <c r="AG822" i="19" s="1"/>
  <c r="AD810" i="19"/>
  <c r="AF810" i="19" s="1"/>
  <c r="AG810" i="19" s="1"/>
  <c r="AD798" i="19"/>
  <c r="AF798" i="19" s="1"/>
  <c r="AG798" i="19" s="1"/>
  <c r="AD787" i="19"/>
  <c r="AF787" i="19" s="1"/>
  <c r="AG787" i="19" s="1"/>
  <c r="AD775" i="19"/>
  <c r="AF775" i="19" s="1"/>
  <c r="AG775" i="19" s="1"/>
  <c r="AD764" i="19"/>
  <c r="AF764" i="19" s="1"/>
  <c r="AG764" i="19" s="1"/>
  <c r="AD752" i="19"/>
  <c r="AF752" i="19" s="1"/>
  <c r="AG752" i="19" s="1"/>
  <c r="AD740" i="19"/>
  <c r="AF740" i="19" s="1"/>
  <c r="AG740" i="19" s="1"/>
  <c r="AD728" i="19"/>
  <c r="AF728" i="19" s="1"/>
  <c r="AG728" i="19" s="1"/>
  <c r="AD716" i="19"/>
  <c r="AF716" i="19" s="1"/>
  <c r="AG716" i="19" s="1"/>
  <c r="AD705" i="19"/>
  <c r="AF705" i="19" s="1"/>
  <c r="AG705" i="19" s="1"/>
  <c r="AD693" i="19"/>
  <c r="AF693" i="19" s="1"/>
  <c r="AG693" i="19" s="1"/>
  <c r="AD681" i="19"/>
  <c r="AF681" i="19" s="1"/>
  <c r="AG681" i="19" s="1"/>
  <c r="AD669" i="19"/>
  <c r="AF669" i="19" s="1"/>
  <c r="AG669" i="19" s="1"/>
  <c r="AD658" i="19"/>
  <c r="AF658" i="19" s="1"/>
  <c r="AG658" i="19" s="1"/>
  <c r="AD647" i="19"/>
  <c r="AF647" i="19" s="1"/>
  <c r="AG647" i="19" s="1"/>
  <c r="AD635" i="19"/>
  <c r="AF635" i="19" s="1"/>
  <c r="AG635" i="19" s="1"/>
  <c r="AD623" i="19"/>
  <c r="AF623" i="19" s="1"/>
  <c r="AG623" i="19" s="1"/>
  <c r="AD611" i="19"/>
  <c r="AF611" i="19" s="1"/>
  <c r="AG611" i="19" s="1"/>
  <c r="AD599" i="19"/>
  <c r="AF599" i="19" s="1"/>
  <c r="AG599" i="19" s="1"/>
  <c r="AD587" i="19"/>
  <c r="AF587" i="19" s="1"/>
  <c r="AG587" i="19" s="1"/>
  <c r="AD575" i="19"/>
  <c r="AF575" i="19" s="1"/>
  <c r="AG575" i="19" s="1"/>
  <c r="AD564" i="19"/>
  <c r="AF564" i="19" s="1"/>
  <c r="AG564" i="19" s="1"/>
  <c r="AD552" i="19"/>
  <c r="AF552" i="19" s="1"/>
  <c r="AG552" i="19" s="1"/>
  <c r="AD540" i="19"/>
  <c r="AF540" i="19" s="1"/>
  <c r="AG540" i="19" s="1"/>
  <c r="AD528" i="19"/>
  <c r="AF528" i="19" s="1"/>
  <c r="AG528" i="19" s="1"/>
  <c r="AD516" i="19"/>
  <c r="AF516" i="19" s="1"/>
  <c r="AG516" i="19" s="1"/>
  <c r="AD504" i="19"/>
  <c r="AF504" i="19" s="1"/>
  <c r="AG504" i="19" s="1"/>
  <c r="AD492" i="19"/>
  <c r="AF492" i="19" s="1"/>
  <c r="AG492" i="19" s="1"/>
  <c r="AD480" i="19"/>
  <c r="AF480" i="19" s="1"/>
  <c r="AG480" i="19" s="1"/>
  <c r="AD468" i="19"/>
  <c r="AF468" i="19" s="1"/>
  <c r="AG468" i="19" s="1"/>
  <c r="AD456" i="19"/>
  <c r="AF456" i="19" s="1"/>
  <c r="AG456" i="19" s="1"/>
  <c r="AD444" i="19"/>
  <c r="AF444" i="19" s="1"/>
  <c r="AG444" i="19" s="1"/>
  <c r="AD432" i="19"/>
  <c r="AF432" i="19" s="1"/>
  <c r="AG432" i="19" s="1"/>
  <c r="AD420" i="19"/>
  <c r="AF420" i="19" s="1"/>
  <c r="AG420" i="19" s="1"/>
  <c r="AD408" i="19"/>
  <c r="AF408" i="19" s="1"/>
  <c r="AG408" i="19" s="1"/>
  <c r="AD396" i="19"/>
  <c r="AF396" i="19" s="1"/>
  <c r="AG396" i="19" s="1"/>
  <c r="AD384" i="19"/>
  <c r="AF384" i="19" s="1"/>
  <c r="AG384" i="19" s="1"/>
  <c r="AD372" i="19"/>
  <c r="AF372" i="19" s="1"/>
  <c r="AG372" i="19" s="1"/>
  <c r="AD360" i="19"/>
  <c r="AF360" i="19" s="1"/>
  <c r="AG360" i="19" s="1"/>
  <c r="AD348" i="19"/>
  <c r="AF348" i="19" s="1"/>
  <c r="AG348" i="19" s="1"/>
  <c r="AD336" i="19"/>
  <c r="AF336" i="19" s="1"/>
  <c r="AG336" i="19" s="1"/>
  <c r="AD324" i="19"/>
  <c r="AF324" i="19" s="1"/>
  <c r="AG324" i="19" s="1"/>
  <c r="AD312" i="19"/>
  <c r="AF312" i="19" s="1"/>
  <c r="AG312" i="19" s="1"/>
  <c r="AD300" i="19"/>
  <c r="AF300" i="19" s="1"/>
  <c r="AG300" i="19" s="1"/>
  <c r="AD289" i="19"/>
  <c r="AF289" i="19" s="1"/>
  <c r="AG289" i="19" s="1"/>
  <c r="AD277" i="19"/>
  <c r="AF277" i="19" s="1"/>
  <c r="AG277" i="19" s="1"/>
  <c r="AD265" i="19"/>
  <c r="AF265" i="19" s="1"/>
  <c r="AG265" i="19" s="1"/>
  <c r="AD253" i="19"/>
  <c r="AF253" i="19" s="1"/>
  <c r="AG253" i="19" s="1"/>
  <c r="AD241" i="19"/>
  <c r="AF241" i="19" s="1"/>
  <c r="AG241" i="19" s="1"/>
  <c r="AD229" i="19"/>
  <c r="AF229" i="19" s="1"/>
  <c r="AG229" i="19" s="1"/>
  <c r="AD217" i="19"/>
  <c r="AF217" i="19" s="1"/>
  <c r="AG217" i="19" s="1"/>
  <c r="AD205" i="19"/>
  <c r="AF205" i="19" s="1"/>
  <c r="AG205" i="19" s="1"/>
  <c r="AD193" i="19"/>
  <c r="AF193" i="19" s="1"/>
  <c r="AG193" i="19" s="1"/>
  <c r="AD181" i="19"/>
  <c r="AF181" i="19" s="1"/>
  <c r="AG181" i="19" s="1"/>
  <c r="AD169" i="19"/>
  <c r="AF169" i="19" s="1"/>
  <c r="AG169" i="19" s="1"/>
  <c r="AD157" i="19"/>
  <c r="AF157" i="19" s="1"/>
  <c r="AG157" i="19" s="1"/>
  <c r="AD145" i="19"/>
  <c r="AF145" i="19" s="1"/>
  <c r="AG145" i="19" s="1"/>
  <c r="AD133" i="19"/>
  <c r="AF133" i="19" s="1"/>
  <c r="AG133" i="19" s="1"/>
  <c r="AD121" i="19"/>
  <c r="AF121" i="19" s="1"/>
  <c r="AG121" i="19" s="1"/>
  <c r="AD109" i="19"/>
  <c r="AF109" i="19" s="1"/>
  <c r="AG109" i="19" s="1"/>
  <c r="AD97" i="19"/>
  <c r="AF97" i="19" s="1"/>
  <c r="AG97" i="19" s="1"/>
  <c r="AD85" i="19"/>
  <c r="AF85" i="19" s="1"/>
  <c r="AG85" i="19" s="1"/>
  <c r="AD73" i="19"/>
  <c r="AF73" i="19" s="1"/>
  <c r="AG73" i="19" s="1"/>
  <c r="AD61" i="19"/>
  <c r="AF61" i="19" s="1"/>
  <c r="AG61" i="19" s="1"/>
  <c r="AD49" i="19"/>
  <c r="AF49" i="19" s="1"/>
  <c r="AG49" i="19" s="1"/>
  <c r="AD37" i="19"/>
  <c r="AF37" i="19" s="1"/>
  <c r="AG37" i="19" s="1"/>
  <c r="AD25" i="19"/>
  <c r="AF25" i="19" s="1"/>
  <c r="AG25" i="19" s="1"/>
  <c r="AD13" i="19"/>
  <c r="AF13" i="19" s="1"/>
  <c r="AG13" i="19" s="1"/>
  <c r="AD1231" i="19"/>
  <c r="AF1231" i="19" s="1"/>
  <c r="AG1231" i="19" s="1"/>
  <c r="AD1123" i="19"/>
  <c r="AF1123" i="19" s="1"/>
  <c r="AG1123" i="19" s="1"/>
  <c r="AD1003" i="19"/>
  <c r="AF1003" i="19" s="1"/>
  <c r="AG1003" i="19" s="1"/>
  <c r="AD907" i="19"/>
  <c r="AF907" i="19" s="1"/>
  <c r="AG907" i="19" s="1"/>
  <c r="AD811" i="19"/>
  <c r="AF811" i="19" s="1"/>
  <c r="AG811" i="19" s="1"/>
  <c r="AD717" i="19"/>
  <c r="AF717" i="19" s="1"/>
  <c r="AG717" i="19" s="1"/>
  <c r="AD612" i="19"/>
  <c r="AF612" i="19" s="1"/>
  <c r="AG612" i="19" s="1"/>
  <c r="AD505" i="19"/>
  <c r="AF505" i="19" s="1"/>
  <c r="AG505" i="19" s="1"/>
  <c r="AD409" i="19"/>
  <c r="AF409" i="19" s="1"/>
  <c r="AG409" i="19" s="1"/>
  <c r="AD301" i="19"/>
  <c r="AF301" i="19" s="1"/>
  <c r="AG301" i="19" s="1"/>
  <c r="AD206" i="19"/>
  <c r="AF206" i="19" s="1"/>
  <c r="AG206" i="19" s="1"/>
  <c r="AD158" i="19"/>
  <c r="AF158" i="19" s="1"/>
  <c r="AG158" i="19" s="1"/>
  <c r="AD26" i="19"/>
  <c r="AF26" i="19" s="1"/>
  <c r="AG26" i="19" s="1"/>
  <c r="AD1301" i="19"/>
  <c r="AF1301" i="19" s="1"/>
  <c r="AG1301" i="19" s="1"/>
  <c r="AD1289" i="19"/>
  <c r="AF1289" i="19" s="1"/>
  <c r="AG1289" i="19" s="1"/>
  <c r="AD1277" i="19"/>
  <c r="AF1277" i="19" s="1"/>
  <c r="AG1277" i="19" s="1"/>
  <c r="AD1265" i="19"/>
  <c r="AF1265" i="19" s="1"/>
  <c r="AG1265" i="19" s="1"/>
  <c r="AD1253" i="19"/>
  <c r="AF1253" i="19" s="1"/>
  <c r="AG1253" i="19" s="1"/>
  <c r="AD1241" i="19"/>
  <c r="AF1241" i="19" s="1"/>
  <c r="AG1241" i="19" s="1"/>
  <c r="AD1229" i="19"/>
  <c r="AF1229" i="19" s="1"/>
  <c r="AG1229" i="19" s="1"/>
  <c r="AD1217" i="19"/>
  <c r="AF1217" i="19" s="1"/>
  <c r="AG1217" i="19" s="1"/>
  <c r="AD1205" i="19"/>
  <c r="AF1205" i="19" s="1"/>
  <c r="AG1205" i="19" s="1"/>
  <c r="AD1193" i="19"/>
  <c r="AF1193" i="19" s="1"/>
  <c r="AG1193" i="19" s="1"/>
  <c r="AD1181" i="19"/>
  <c r="AF1181" i="19" s="1"/>
  <c r="AG1181" i="19" s="1"/>
  <c r="AD1169" i="19"/>
  <c r="AF1169" i="19" s="1"/>
  <c r="AG1169" i="19" s="1"/>
  <c r="AD1157" i="19"/>
  <c r="AF1157" i="19" s="1"/>
  <c r="AG1157" i="19" s="1"/>
  <c r="AD1145" i="19"/>
  <c r="AF1145" i="19" s="1"/>
  <c r="AG1145" i="19" s="1"/>
  <c r="AD1133" i="19"/>
  <c r="AF1133" i="19" s="1"/>
  <c r="AG1133" i="19" s="1"/>
  <c r="AD1121" i="19"/>
  <c r="AF1121" i="19" s="1"/>
  <c r="AG1121" i="19" s="1"/>
  <c r="AD1109" i="19"/>
  <c r="AF1109" i="19" s="1"/>
  <c r="AG1109" i="19" s="1"/>
  <c r="AD1097" i="19"/>
  <c r="AF1097" i="19" s="1"/>
  <c r="AG1097" i="19" s="1"/>
  <c r="AD1085" i="19"/>
  <c r="AF1085" i="19" s="1"/>
  <c r="AG1085" i="19" s="1"/>
  <c r="AD1073" i="19"/>
  <c r="AF1073" i="19" s="1"/>
  <c r="AG1073" i="19" s="1"/>
  <c r="AD1061" i="19"/>
  <c r="AF1061" i="19" s="1"/>
  <c r="AG1061" i="19" s="1"/>
  <c r="AD1049" i="19"/>
  <c r="AF1049" i="19" s="1"/>
  <c r="AG1049" i="19" s="1"/>
  <c r="AD1037" i="19"/>
  <c r="AF1037" i="19" s="1"/>
  <c r="AG1037" i="19" s="1"/>
  <c r="AD1025" i="19"/>
  <c r="AF1025" i="19" s="1"/>
  <c r="AG1025" i="19" s="1"/>
  <c r="AD1013" i="19"/>
  <c r="AF1013" i="19" s="1"/>
  <c r="AG1013" i="19" s="1"/>
  <c r="AD1001" i="19"/>
  <c r="AF1001" i="19" s="1"/>
  <c r="AG1001" i="19" s="1"/>
  <c r="AD989" i="19"/>
  <c r="AF989" i="19" s="1"/>
  <c r="AG989" i="19" s="1"/>
  <c r="AD977" i="19"/>
  <c r="AF977" i="19" s="1"/>
  <c r="AG977" i="19" s="1"/>
  <c r="AD965" i="19"/>
  <c r="AF965" i="19" s="1"/>
  <c r="AG965" i="19" s="1"/>
  <c r="AD953" i="19"/>
  <c r="AF953" i="19" s="1"/>
  <c r="AG953" i="19" s="1"/>
  <c r="AD941" i="19"/>
  <c r="AF941" i="19" s="1"/>
  <c r="AG941" i="19" s="1"/>
  <c r="AD929" i="19"/>
  <c r="AF929" i="19" s="1"/>
  <c r="AG929" i="19" s="1"/>
  <c r="AD917" i="19"/>
  <c r="AF917" i="19" s="1"/>
  <c r="AG917" i="19" s="1"/>
  <c r="AD905" i="19"/>
  <c r="AF905" i="19" s="1"/>
  <c r="AG905" i="19" s="1"/>
  <c r="AD893" i="19"/>
  <c r="AF893" i="19" s="1"/>
  <c r="AG893" i="19" s="1"/>
  <c r="AD881" i="19"/>
  <c r="AF881" i="19" s="1"/>
  <c r="AG881" i="19" s="1"/>
  <c r="AD869" i="19"/>
  <c r="AF869" i="19" s="1"/>
  <c r="AG869" i="19" s="1"/>
  <c r="AD857" i="19"/>
  <c r="AF857" i="19" s="1"/>
  <c r="AG857" i="19" s="1"/>
  <c r="AD845" i="19"/>
  <c r="AF845" i="19" s="1"/>
  <c r="AG845" i="19" s="1"/>
  <c r="AD833" i="19"/>
  <c r="AF833" i="19" s="1"/>
  <c r="AG833" i="19" s="1"/>
  <c r="AD821" i="19"/>
  <c r="AF821" i="19" s="1"/>
  <c r="AG821" i="19" s="1"/>
  <c r="AD809" i="19"/>
  <c r="AF809" i="19" s="1"/>
  <c r="AG809" i="19" s="1"/>
  <c r="AD797" i="19"/>
  <c r="AF797" i="19" s="1"/>
  <c r="AG797" i="19" s="1"/>
  <c r="AD786" i="19"/>
  <c r="AF786" i="19" s="1"/>
  <c r="AG786" i="19" s="1"/>
  <c r="AD774" i="19"/>
  <c r="AF774" i="19" s="1"/>
  <c r="AG774" i="19" s="1"/>
  <c r="AD763" i="19"/>
  <c r="AF763" i="19" s="1"/>
  <c r="AG763" i="19" s="1"/>
  <c r="AD751" i="19"/>
  <c r="AF751" i="19" s="1"/>
  <c r="AG751" i="19" s="1"/>
  <c r="AD739" i="19"/>
  <c r="AF739" i="19" s="1"/>
  <c r="AG739" i="19" s="1"/>
  <c r="AD727" i="19"/>
  <c r="AF727" i="19" s="1"/>
  <c r="AG727" i="19" s="1"/>
  <c r="AD715" i="19"/>
  <c r="AF715" i="19" s="1"/>
  <c r="AG715" i="19" s="1"/>
  <c r="AD704" i="19"/>
  <c r="AF704" i="19" s="1"/>
  <c r="AG704" i="19" s="1"/>
  <c r="AD692" i="19"/>
  <c r="AF692" i="19" s="1"/>
  <c r="AG692" i="19" s="1"/>
  <c r="AD680" i="19"/>
  <c r="AF680" i="19" s="1"/>
  <c r="AG680" i="19" s="1"/>
  <c r="AD668" i="19"/>
  <c r="AF668" i="19" s="1"/>
  <c r="AG668" i="19" s="1"/>
  <c r="AD657" i="19"/>
  <c r="AF657" i="19" s="1"/>
  <c r="AG657" i="19" s="1"/>
  <c r="AD646" i="19"/>
  <c r="AF646" i="19" s="1"/>
  <c r="AG646" i="19" s="1"/>
  <c r="AD634" i="19"/>
  <c r="AF634" i="19" s="1"/>
  <c r="AG634" i="19" s="1"/>
  <c r="AD622" i="19"/>
  <c r="AF622" i="19" s="1"/>
  <c r="AG622" i="19" s="1"/>
  <c r="AD610" i="19"/>
  <c r="AF610" i="19" s="1"/>
  <c r="AG610" i="19" s="1"/>
  <c r="AD598" i="19"/>
  <c r="AF598" i="19" s="1"/>
  <c r="AG598" i="19" s="1"/>
  <c r="AD586" i="19"/>
  <c r="AF586" i="19" s="1"/>
  <c r="AG586" i="19" s="1"/>
  <c r="AD574" i="19"/>
  <c r="AF574" i="19" s="1"/>
  <c r="AG574" i="19" s="1"/>
  <c r="AD563" i="19"/>
  <c r="AF563" i="19" s="1"/>
  <c r="AG563" i="19" s="1"/>
  <c r="AD551" i="19"/>
  <c r="AF551" i="19" s="1"/>
  <c r="AG551" i="19" s="1"/>
  <c r="AD539" i="19"/>
  <c r="AF539" i="19" s="1"/>
  <c r="AG539" i="19" s="1"/>
  <c r="AD527" i="19"/>
  <c r="AF527" i="19" s="1"/>
  <c r="AG527" i="19" s="1"/>
  <c r="AD515" i="19"/>
  <c r="AF515" i="19" s="1"/>
  <c r="AG515" i="19" s="1"/>
  <c r="AD503" i="19"/>
  <c r="AF503" i="19" s="1"/>
  <c r="AG503" i="19" s="1"/>
  <c r="AD491" i="19"/>
  <c r="AF491" i="19" s="1"/>
  <c r="AG491" i="19" s="1"/>
  <c r="AD479" i="19"/>
  <c r="AF479" i="19" s="1"/>
  <c r="AG479" i="19" s="1"/>
  <c r="AD467" i="19"/>
  <c r="AF467" i="19" s="1"/>
  <c r="AG467" i="19" s="1"/>
  <c r="AD455" i="19"/>
  <c r="AF455" i="19" s="1"/>
  <c r="AG455" i="19" s="1"/>
  <c r="AD443" i="19"/>
  <c r="AF443" i="19" s="1"/>
  <c r="AG443" i="19" s="1"/>
  <c r="AD431" i="19"/>
  <c r="AF431" i="19" s="1"/>
  <c r="AG431" i="19" s="1"/>
  <c r="AD419" i="19"/>
  <c r="AF419" i="19" s="1"/>
  <c r="AG419" i="19" s="1"/>
  <c r="AD407" i="19"/>
  <c r="AF407" i="19" s="1"/>
  <c r="AG407" i="19" s="1"/>
  <c r="AD395" i="19"/>
  <c r="AF395" i="19" s="1"/>
  <c r="AG395" i="19" s="1"/>
  <c r="AD383" i="19"/>
  <c r="AF383" i="19" s="1"/>
  <c r="AG383" i="19" s="1"/>
  <c r="AD371" i="19"/>
  <c r="AF371" i="19" s="1"/>
  <c r="AG371" i="19" s="1"/>
  <c r="AD359" i="19"/>
  <c r="AF359" i="19" s="1"/>
  <c r="AG359" i="19" s="1"/>
  <c r="AD347" i="19"/>
  <c r="AF347" i="19" s="1"/>
  <c r="AG347" i="19" s="1"/>
  <c r="AD335" i="19"/>
  <c r="AF335" i="19" s="1"/>
  <c r="AG335" i="19" s="1"/>
  <c r="AD323" i="19"/>
  <c r="AF323" i="19" s="1"/>
  <c r="AG323" i="19" s="1"/>
  <c r="AD311" i="19"/>
  <c r="AF311" i="19" s="1"/>
  <c r="AG311" i="19" s="1"/>
  <c r="AD299" i="19"/>
  <c r="AF299" i="19" s="1"/>
  <c r="AG299" i="19" s="1"/>
  <c r="AD288" i="19"/>
  <c r="AF288" i="19" s="1"/>
  <c r="AG288" i="19" s="1"/>
  <c r="AD276" i="19"/>
  <c r="AF276" i="19" s="1"/>
  <c r="AG276" i="19" s="1"/>
  <c r="AD264" i="19"/>
  <c r="AF264" i="19" s="1"/>
  <c r="AG264" i="19" s="1"/>
  <c r="AD252" i="19"/>
  <c r="AF252" i="19" s="1"/>
  <c r="AG252" i="19" s="1"/>
  <c r="AD240" i="19"/>
  <c r="AF240" i="19" s="1"/>
  <c r="AG240" i="19" s="1"/>
  <c r="AD228" i="19"/>
  <c r="AF228" i="19" s="1"/>
  <c r="AG228" i="19" s="1"/>
  <c r="AD216" i="19"/>
  <c r="AF216" i="19" s="1"/>
  <c r="AG216" i="19" s="1"/>
  <c r="AD204" i="19"/>
  <c r="AF204" i="19" s="1"/>
  <c r="AG204" i="19" s="1"/>
  <c r="AD192" i="19"/>
  <c r="AF192" i="19" s="1"/>
  <c r="AG192" i="19" s="1"/>
  <c r="AD180" i="19"/>
  <c r="AF180" i="19" s="1"/>
  <c r="AG180" i="19" s="1"/>
  <c r="AD168" i="19"/>
  <c r="AF168" i="19" s="1"/>
  <c r="AG168" i="19" s="1"/>
  <c r="AD156" i="19"/>
  <c r="AF156" i="19" s="1"/>
  <c r="AG156" i="19" s="1"/>
  <c r="AD144" i="19"/>
  <c r="AF144" i="19" s="1"/>
  <c r="AG144" i="19" s="1"/>
  <c r="AD132" i="19"/>
  <c r="AF132" i="19" s="1"/>
  <c r="AG132" i="19" s="1"/>
  <c r="AD120" i="19"/>
  <c r="AF120" i="19" s="1"/>
  <c r="AG120" i="19" s="1"/>
  <c r="AD108" i="19"/>
  <c r="AF108" i="19" s="1"/>
  <c r="AG108" i="19" s="1"/>
  <c r="AD96" i="19"/>
  <c r="AF96" i="19" s="1"/>
  <c r="AG96" i="19" s="1"/>
  <c r="AD84" i="19"/>
  <c r="AF84" i="19" s="1"/>
  <c r="AG84" i="19" s="1"/>
  <c r="AD72" i="19"/>
  <c r="AF72" i="19" s="1"/>
  <c r="AG72" i="19" s="1"/>
  <c r="AD60" i="19"/>
  <c r="AF60" i="19" s="1"/>
  <c r="AG60" i="19" s="1"/>
  <c r="AD48" i="19"/>
  <c r="AF48" i="19" s="1"/>
  <c r="AG48" i="19" s="1"/>
  <c r="AD36" i="19"/>
  <c r="AF36" i="19" s="1"/>
  <c r="AG36" i="19" s="1"/>
  <c r="AD24" i="19"/>
  <c r="AF24" i="19" s="1"/>
  <c r="AG24" i="19" s="1"/>
  <c r="AD12" i="19"/>
  <c r="AF12" i="19" s="1"/>
  <c r="AG12" i="19" s="1"/>
  <c r="AD1219" i="19"/>
  <c r="AF1219" i="19" s="1"/>
  <c r="AG1219" i="19" s="1"/>
  <c r="AD1099" i="19"/>
  <c r="AF1099" i="19" s="1"/>
  <c r="AG1099" i="19" s="1"/>
  <c r="AD967" i="19"/>
  <c r="AF967" i="19" s="1"/>
  <c r="AG967" i="19" s="1"/>
  <c r="AD847" i="19"/>
  <c r="AF847" i="19" s="1"/>
  <c r="AG847" i="19" s="1"/>
  <c r="AD682" i="19"/>
  <c r="AF682" i="19" s="1"/>
  <c r="AG682" i="19" s="1"/>
  <c r="AD517" i="19"/>
  <c r="AF517" i="19" s="1"/>
  <c r="AG517" i="19" s="1"/>
  <c r="AD373" i="19"/>
  <c r="AF373" i="19" s="1"/>
  <c r="AG373" i="19" s="1"/>
  <c r="AD266" i="19"/>
  <c r="AF266" i="19" s="1"/>
  <c r="AG266" i="19" s="1"/>
  <c r="AD38" i="19"/>
  <c r="AF38" i="19" s="1"/>
  <c r="AG38" i="19" s="1"/>
  <c r="AD1300" i="19"/>
  <c r="AF1300" i="19" s="1"/>
  <c r="AG1300" i="19" s="1"/>
  <c r="AD1288" i="19"/>
  <c r="AF1288" i="19" s="1"/>
  <c r="AG1288" i="19" s="1"/>
  <c r="AD1276" i="19"/>
  <c r="AF1276" i="19" s="1"/>
  <c r="AG1276" i="19" s="1"/>
  <c r="AD1264" i="19"/>
  <c r="AF1264" i="19" s="1"/>
  <c r="AG1264" i="19" s="1"/>
  <c r="AD1252" i="19"/>
  <c r="AF1252" i="19" s="1"/>
  <c r="AG1252" i="19" s="1"/>
  <c r="AD1240" i="19"/>
  <c r="AF1240" i="19" s="1"/>
  <c r="AG1240" i="19" s="1"/>
  <c r="AD1228" i="19"/>
  <c r="AF1228" i="19" s="1"/>
  <c r="AG1228" i="19" s="1"/>
  <c r="AD1216" i="19"/>
  <c r="AF1216" i="19" s="1"/>
  <c r="AG1216" i="19" s="1"/>
  <c r="AD1204" i="19"/>
  <c r="AF1204" i="19" s="1"/>
  <c r="AG1204" i="19" s="1"/>
  <c r="AD1192" i="19"/>
  <c r="AF1192" i="19" s="1"/>
  <c r="AG1192" i="19" s="1"/>
  <c r="AD1180" i="19"/>
  <c r="AF1180" i="19" s="1"/>
  <c r="AG1180" i="19" s="1"/>
  <c r="AD1168" i="19"/>
  <c r="AF1168" i="19" s="1"/>
  <c r="AG1168" i="19" s="1"/>
  <c r="AD1156" i="19"/>
  <c r="AF1156" i="19" s="1"/>
  <c r="AG1156" i="19" s="1"/>
  <c r="AD1144" i="19"/>
  <c r="AF1144" i="19" s="1"/>
  <c r="AG1144" i="19" s="1"/>
  <c r="AD1132" i="19"/>
  <c r="AF1132" i="19" s="1"/>
  <c r="AG1132" i="19" s="1"/>
  <c r="AD1120" i="19"/>
  <c r="AF1120" i="19" s="1"/>
  <c r="AG1120" i="19" s="1"/>
  <c r="AD1108" i="19"/>
  <c r="AF1108" i="19" s="1"/>
  <c r="AG1108" i="19" s="1"/>
  <c r="AD1096" i="19"/>
  <c r="AF1096" i="19" s="1"/>
  <c r="AG1096" i="19" s="1"/>
  <c r="AD1084" i="19"/>
  <c r="AF1084" i="19" s="1"/>
  <c r="AG1084" i="19" s="1"/>
  <c r="AD1072" i="19"/>
  <c r="AF1072" i="19" s="1"/>
  <c r="AG1072" i="19" s="1"/>
  <c r="AD1060" i="19"/>
  <c r="AF1060" i="19" s="1"/>
  <c r="AG1060" i="19" s="1"/>
  <c r="AD1048" i="19"/>
  <c r="AF1048" i="19" s="1"/>
  <c r="AG1048" i="19" s="1"/>
  <c r="AD1036" i="19"/>
  <c r="AF1036" i="19" s="1"/>
  <c r="AG1036" i="19" s="1"/>
  <c r="AD1024" i="19"/>
  <c r="AF1024" i="19" s="1"/>
  <c r="AG1024" i="19" s="1"/>
  <c r="AD1012" i="19"/>
  <c r="AF1012" i="19" s="1"/>
  <c r="AG1012" i="19" s="1"/>
  <c r="AD1000" i="19"/>
  <c r="AF1000" i="19" s="1"/>
  <c r="AG1000" i="19" s="1"/>
  <c r="AD988" i="19"/>
  <c r="AF988" i="19" s="1"/>
  <c r="AG988" i="19" s="1"/>
  <c r="AD976" i="19"/>
  <c r="AF976" i="19" s="1"/>
  <c r="AG976" i="19" s="1"/>
  <c r="AD964" i="19"/>
  <c r="AF964" i="19" s="1"/>
  <c r="AG964" i="19" s="1"/>
  <c r="AD952" i="19"/>
  <c r="AF952" i="19" s="1"/>
  <c r="AG952" i="19" s="1"/>
  <c r="AD940" i="19"/>
  <c r="AF940" i="19" s="1"/>
  <c r="AG940" i="19" s="1"/>
  <c r="AD928" i="19"/>
  <c r="AF928" i="19" s="1"/>
  <c r="AG928" i="19" s="1"/>
  <c r="AD916" i="19"/>
  <c r="AF916" i="19" s="1"/>
  <c r="AG916" i="19" s="1"/>
  <c r="AD904" i="19"/>
  <c r="AF904" i="19" s="1"/>
  <c r="AG904" i="19" s="1"/>
  <c r="AD892" i="19"/>
  <c r="AF892" i="19" s="1"/>
  <c r="AG892" i="19" s="1"/>
  <c r="AD880" i="19"/>
  <c r="AF880" i="19" s="1"/>
  <c r="AG880" i="19" s="1"/>
  <c r="AD868" i="19"/>
  <c r="AF868" i="19" s="1"/>
  <c r="AG868" i="19" s="1"/>
  <c r="AD856" i="19"/>
  <c r="AF856" i="19" s="1"/>
  <c r="AG856" i="19" s="1"/>
  <c r="AD844" i="19"/>
  <c r="AF844" i="19" s="1"/>
  <c r="AG844" i="19" s="1"/>
  <c r="AD832" i="19"/>
  <c r="AF832" i="19" s="1"/>
  <c r="AG832" i="19" s="1"/>
  <c r="AD820" i="19"/>
  <c r="AF820" i="19" s="1"/>
  <c r="AG820" i="19" s="1"/>
  <c r="AD808" i="19"/>
  <c r="AF808" i="19" s="1"/>
  <c r="AG808" i="19" s="1"/>
  <c r="AD796" i="19"/>
  <c r="AF796" i="19" s="1"/>
  <c r="AG796" i="19" s="1"/>
  <c r="AD785" i="19"/>
  <c r="AF785" i="19" s="1"/>
  <c r="AG785" i="19" s="1"/>
  <c r="AD773" i="19"/>
  <c r="AF773" i="19" s="1"/>
  <c r="AG773" i="19" s="1"/>
  <c r="AD762" i="19"/>
  <c r="AF762" i="19" s="1"/>
  <c r="AG762" i="19" s="1"/>
  <c r="AD750" i="19"/>
  <c r="AF750" i="19" s="1"/>
  <c r="AG750" i="19" s="1"/>
  <c r="AD738" i="19"/>
  <c r="AF738" i="19" s="1"/>
  <c r="AG738" i="19" s="1"/>
  <c r="AD726" i="19"/>
  <c r="AF726" i="19" s="1"/>
  <c r="AG726" i="19" s="1"/>
  <c r="AD703" i="19"/>
  <c r="AF703" i="19" s="1"/>
  <c r="AG703" i="19" s="1"/>
  <c r="AD691" i="19"/>
  <c r="AF691" i="19" s="1"/>
  <c r="AG691" i="19" s="1"/>
  <c r="AD679" i="19"/>
  <c r="AF679" i="19" s="1"/>
  <c r="AG679" i="19" s="1"/>
  <c r="AD667" i="19"/>
  <c r="AF667" i="19" s="1"/>
  <c r="AG667" i="19" s="1"/>
  <c r="AD656" i="19"/>
  <c r="AF656" i="19" s="1"/>
  <c r="AG656" i="19" s="1"/>
  <c r="AD645" i="19"/>
  <c r="AF645" i="19" s="1"/>
  <c r="AG645" i="19" s="1"/>
  <c r="AD633" i="19"/>
  <c r="AF633" i="19" s="1"/>
  <c r="AG633" i="19" s="1"/>
  <c r="AD621" i="19"/>
  <c r="AF621" i="19" s="1"/>
  <c r="AG621" i="19" s="1"/>
  <c r="AD609" i="19"/>
  <c r="AF609" i="19" s="1"/>
  <c r="AG609" i="19" s="1"/>
  <c r="AD597" i="19"/>
  <c r="AF597" i="19" s="1"/>
  <c r="AG597" i="19" s="1"/>
  <c r="AD585" i="19"/>
  <c r="AF585" i="19" s="1"/>
  <c r="AG585" i="19" s="1"/>
  <c r="AD573" i="19"/>
  <c r="AF573" i="19" s="1"/>
  <c r="AG573" i="19" s="1"/>
  <c r="AD562" i="19"/>
  <c r="AF562" i="19" s="1"/>
  <c r="AG562" i="19" s="1"/>
  <c r="AD550" i="19"/>
  <c r="AF550" i="19" s="1"/>
  <c r="AG550" i="19" s="1"/>
  <c r="AD538" i="19"/>
  <c r="AF538" i="19" s="1"/>
  <c r="AG538" i="19" s="1"/>
  <c r="AD526" i="19"/>
  <c r="AF526" i="19" s="1"/>
  <c r="AG526" i="19" s="1"/>
  <c r="AD514" i="19"/>
  <c r="AF514" i="19" s="1"/>
  <c r="AG514" i="19" s="1"/>
  <c r="AD502" i="19"/>
  <c r="AF502" i="19" s="1"/>
  <c r="AG502" i="19" s="1"/>
  <c r="AD490" i="19"/>
  <c r="AF490" i="19" s="1"/>
  <c r="AG490" i="19" s="1"/>
  <c r="AD478" i="19"/>
  <c r="AF478" i="19" s="1"/>
  <c r="AG478" i="19" s="1"/>
  <c r="AD466" i="19"/>
  <c r="AF466" i="19" s="1"/>
  <c r="AG466" i="19" s="1"/>
  <c r="AD454" i="19"/>
  <c r="AF454" i="19" s="1"/>
  <c r="AG454" i="19" s="1"/>
  <c r="AD442" i="19"/>
  <c r="AF442" i="19" s="1"/>
  <c r="AG442" i="19" s="1"/>
  <c r="AD430" i="19"/>
  <c r="AF430" i="19" s="1"/>
  <c r="AG430" i="19" s="1"/>
  <c r="AD418" i="19"/>
  <c r="AF418" i="19" s="1"/>
  <c r="AG418" i="19" s="1"/>
  <c r="AD406" i="19"/>
  <c r="AF406" i="19" s="1"/>
  <c r="AG406" i="19" s="1"/>
  <c r="AD394" i="19"/>
  <c r="AF394" i="19" s="1"/>
  <c r="AG394" i="19" s="1"/>
  <c r="AD382" i="19"/>
  <c r="AF382" i="19" s="1"/>
  <c r="AG382" i="19" s="1"/>
  <c r="AD370" i="19"/>
  <c r="AF370" i="19" s="1"/>
  <c r="AG370" i="19" s="1"/>
  <c r="AD358" i="19"/>
  <c r="AF358" i="19" s="1"/>
  <c r="AG358" i="19" s="1"/>
  <c r="AD346" i="19"/>
  <c r="AF346" i="19" s="1"/>
  <c r="AG346" i="19" s="1"/>
  <c r="AD334" i="19"/>
  <c r="AF334" i="19" s="1"/>
  <c r="AG334" i="19" s="1"/>
  <c r="AD322" i="19"/>
  <c r="AF322" i="19" s="1"/>
  <c r="AG322" i="19" s="1"/>
  <c r="AD310" i="19"/>
  <c r="AF310" i="19" s="1"/>
  <c r="AG310" i="19" s="1"/>
  <c r="AD298" i="19"/>
  <c r="AF298" i="19" s="1"/>
  <c r="AG298" i="19" s="1"/>
  <c r="AD287" i="19"/>
  <c r="AF287" i="19" s="1"/>
  <c r="AG287" i="19" s="1"/>
  <c r="AD275" i="19"/>
  <c r="AF275" i="19" s="1"/>
  <c r="AG275" i="19" s="1"/>
  <c r="AD263" i="19"/>
  <c r="AF263" i="19" s="1"/>
  <c r="AG263" i="19" s="1"/>
  <c r="AD251" i="19"/>
  <c r="AF251" i="19" s="1"/>
  <c r="AG251" i="19" s="1"/>
  <c r="AD239" i="19"/>
  <c r="AF239" i="19" s="1"/>
  <c r="AG239" i="19" s="1"/>
  <c r="AD227" i="19"/>
  <c r="AF227" i="19" s="1"/>
  <c r="AG227" i="19" s="1"/>
  <c r="AD215" i="19"/>
  <c r="AF215" i="19" s="1"/>
  <c r="AG215" i="19" s="1"/>
  <c r="AD203" i="19"/>
  <c r="AF203" i="19" s="1"/>
  <c r="AG203" i="19" s="1"/>
  <c r="AD191" i="19"/>
  <c r="AF191" i="19" s="1"/>
  <c r="AG191" i="19" s="1"/>
  <c r="AD179" i="19"/>
  <c r="AF179" i="19" s="1"/>
  <c r="AG179" i="19" s="1"/>
  <c r="AD167" i="19"/>
  <c r="AF167" i="19" s="1"/>
  <c r="AG167" i="19" s="1"/>
  <c r="AD155" i="19"/>
  <c r="AF155" i="19" s="1"/>
  <c r="AG155" i="19" s="1"/>
  <c r="AD143" i="19"/>
  <c r="AF143" i="19" s="1"/>
  <c r="AG143" i="19" s="1"/>
  <c r="AD131" i="19"/>
  <c r="AF131" i="19" s="1"/>
  <c r="AG131" i="19" s="1"/>
  <c r="AD119" i="19"/>
  <c r="AF119" i="19" s="1"/>
  <c r="AG119" i="19" s="1"/>
  <c r="AD107" i="19"/>
  <c r="AF107" i="19" s="1"/>
  <c r="AG107" i="19" s="1"/>
  <c r="AD95" i="19"/>
  <c r="AF95" i="19" s="1"/>
  <c r="AG95" i="19" s="1"/>
  <c r="AD83" i="19"/>
  <c r="AF83" i="19" s="1"/>
  <c r="AG83" i="19" s="1"/>
  <c r="AD71" i="19"/>
  <c r="AF71" i="19" s="1"/>
  <c r="AG71" i="19" s="1"/>
  <c r="AD59" i="19"/>
  <c r="AF59" i="19" s="1"/>
  <c r="AG59" i="19" s="1"/>
  <c r="AD47" i="19"/>
  <c r="AF47" i="19" s="1"/>
  <c r="AG47" i="19" s="1"/>
  <c r="AD35" i="19"/>
  <c r="AF35" i="19" s="1"/>
  <c r="AG35" i="19" s="1"/>
  <c r="AD23" i="19"/>
  <c r="AF23" i="19" s="1"/>
  <c r="AG23" i="19" s="1"/>
  <c r="AD11" i="19"/>
  <c r="AF11" i="19" s="1"/>
  <c r="AG11" i="19" s="1"/>
  <c r="AD1243" i="19"/>
  <c r="AF1243" i="19" s="1"/>
  <c r="AG1243" i="19" s="1"/>
  <c r="AD1087" i="19"/>
  <c r="AF1087" i="19" s="1"/>
  <c r="AG1087" i="19" s="1"/>
  <c r="AD943" i="19"/>
  <c r="AF943" i="19" s="1"/>
  <c r="AG943" i="19" s="1"/>
  <c r="AD799" i="19"/>
  <c r="AF799" i="19" s="1"/>
  <c r="AG799" i="19" s="1"/>
  <c r="AD670" i="19"/>
  <c r="AF670" i="19" s="1"/>
  <c r="AG670" i="19" s="1"/>
  <c r="AD529" i="19"/>
  <c r="AF529" i="19" s="1"/>
  <c r="AG529" i="19" s="1"/>
  <c r="AD385" i="19"/>
  <c r="AF385" i="19" s="1"/>
  <c r="AG385" i="19" s="1"/>
  <c r="AD254" i="19"/>
  <c r="AF254" i="19" s="1"/>
  <c r="AG254" i="19" s="1"/>
  <c r="AD62" i="19"/>
  <c r="AF62" i="19" s="1"/>
  <c r="AG62" i="19" s="1"/>
  <c r="AD1299" i="19"/>
  <c r="AF1299" i="19" s="1"/>
  <c r="AG1299" i="19" s="1"/>
  <c r="AD1287" i="19"/>
  <c r="AF1287" i="19" s="1"/>
  <c r="AG1287" i="19" s="1"/>
  <c r="AD1275" i="19"/>
  <c r="AF1275" i="19" s="1"/>
  <c r="AG1275" i="19" s="1"/>
  <c r="AD1263" i="19"/>
  <c r="AF1263" i="19" s="1"/>
  <c r="AG1263" i="19" s="1"/>
  <c r="AD1251" i="19"/>
  <c r="AF1251" i="19" s="1"/>
  <c r="AG1251" i="19" s="1"/>
  <c r="AD1239" i="19"/>
  <c r="AF1239" i="19" s="1"/>
  <c r="AG1239" i="19" s="1"/>
  <c r="AD1227" i="19"/>
  <c r="AF1227" i="19" s="1"/>
  <c r="AG1227" i="19" s="1"/>
  <c r="AD1215" i="19"/>
  <c r="AF1215" i="19" s="1"/>
  <c r="AG1215" i="19" s="1"/>
  <c r="AD1203" i="19"/>
  <c r="AF1203" i="19" s="1"/>
  <c r="AG1203" i="19" s="1"/>
  <c r="AD1191" i="19"/>
  <c r="AF1191" i="19" s="1"/>
  <c r="AG1191" i="19" s="1"/>
  <c r="AD1179" i="19"/>
  <c r="AF1179" i="19" s="1"/>
  <c r="AG1179" i="19" s="1"/>
  <c r="AD1167" i="19"/>
  <c r="AF1167" i="19" s="1"/>
  <c r="AG1167" i="19" s="1"/>
  <c r="AD1155" i="19"/>
  <c r="AF1155" i="19" s="1"/>
  <c r="AG1155" i="19" s="1"/>
  <c r="AD1143" i="19"/>
  <c r="AF1143" i="19" s="1"/>
  <c r="AG1143" i="19" s="1"/>
  <c r="AD1131" i="19"/>
  <c r="AF1131" i="19" s="1"/>
  <c r="AG1131" i="19" s="1"/>
  <c r="AD1119" i="19"/>
  <c r="AF1119" i="19" s="1"/>
  <c r="AG1119" i="19" s="1"/>
  <c r="AD1107" i="19"/>
  <c r="AF1107" i="19" s="1"/>
  <c r="AG1107" i="19" s="1"/>
  <c r="AD1095" i="19"/>
  <c r="AF1095" i="19" s="1"/>
  <c r="AG1095" i="19" s="1"/>
  <c r="AD1083" i="19"/>
  <c r="AF1083" i="19" s="1"/>
  <c r="AG1083" i="19" s="1"/>
  <c r="AD1071" i="19"/>
  <c r="AF1071" i="19" s="1"/>
  <c r="AG1071" i="19" s="1"/>
  <c r="AD1059" i="19"/>
  <c r="AF1059" i="19" s="1"/>
  <c r="AG1059" i="19" s="1"/>
  <c r="AD1047" i="19"/>
  <c r="AF1047" i="19" s="1"/>
  <c r="AG1047" i="19" s="1"/>
  <c r="AD1035" i="19"/>
  <c r="AF1035" i="19" s="1"/>
  <c r="AG1035" i="19" s="1"/>
  <c r="AD1023" i="19"/>
  <c r="AF1023" i="19" s="1"/>
  <c r="AG1023" i="19" s="1"/>
  <c r="AD1011" i="19"/>
  <c r="AF1011" i="19" s="1"/>
  <c r="AG1011" i="19" s="1"/>
  <c r="AD999" i="19"/>
  <c r="AF999" i="19" s="1"/>
  <c r="AG999" i="19" s="1"/>
  <c r="AD987" i="19"/>
  <c r="AF987" i="19" s="1"/>
  <c r="AG987" i="19" s="1"/>
  <c r="AD975" i="19"/>
  <c r="AF975" i="19" s="1"/>
  <c r="AG975" i="19" s="1"/>
  <c r="AD963" i="19"/>
  <c r="AF963" i="19" s="1"/>
  <c r="AG963" i="19" s="1"/>
  <c r="AD951" i="19"/>
  <c r="AF951" i="19" s="1"/>
  <c r="AG951" i="19" s="1"/>
  <c r="AD939" i="19"/>
  <c r="AF939" i="19" s="1"/>
  <c r="AG939" i="19" s="1"/>
  <c r="AD927" i="19"/>
  <c r="AF927" i="19" s="1"/>
  <c r="AG927" i="19" s="1"/>
  <c r="AD915" i="19"/>
  <c r="AF915" i="19" s="1"/>
  <c r="AG915" i="19" s="1"/>
  <c r="AD903" i="19"/>
  <c r="AF903" i="19" s="1"/>
  <c r="AG903" i="19" s="1"/>
  <c r="AD891" i="19"/>
  <c r="AF891" i="19" s="1"/>
  <c r="AG891" i="19" s="1"/>
  <c r="AD879" i="19"/>
  <c r="AF879" i="19" s="1"/>
  <c r="AG879" i="19" s="1"/>
  <c r="AD867" i="19"/>
  <c r="AF867" i="19" s="1"/>
  <c r="AG867" i="19" s="1"/>
  <c r="AD855" i="19"/>
  <c r="AF855" i="19" s="1"/>
  <c r="AG855" i="19" s="1"/>
  <c r="AD843" i="19"/>
  <c r="AF843" i="19" s="1"/>
  <c r="AG843" i="19" s="1"/>
  <c r="AD831" i="19"/>
  <c r="AF831" i="19" s="1"/>
  <c r="AG831" i="19" s="1"/>
  <c r="AD819" i="19"/>
  <c r="AF819" i="19" s="1"/>
  <c r="AG819" i="19" s="1"/>
  <c r="AD807" i="19"/>
  <c r="AF807" i="19" s="1"/>
  <c r="AG807" i="19" s="1"/>
  <c r="AD795" i="19"/>
  <c r="AF795" i="19" s="1"/>
  <c r="AG795" i="19" s="1"/>
  <c r="AD784" i="19"/>
  <c r="AF784" i="19" s="1"/>
  <c r="AG784" i="19" s="1"/>
  <c r="AD772" i="19"/>
  <c r="AF772" i="19" s="1"/>
  <c r="AG772" i="19" s="1"/>
  <c r="AD761" i="19"/>
  <c r="AF761" i="19" s="1"/>
  <c r="AG761" i="19" s="1"/>
  <c r="AD749" i="19"/>
  <c r="AF749" i="19" s="1"/>
  <c r="AG749" i="19" s="1"/>
  <c r="AD737" i="19"/>
  <c r="AF737" i="19" s="1"/>
  <c r="AG737" i="19" s="1"/>
  <c r="AD725" i="19"/>
  <c r="AF725" i="19" s="1"/>
  <c r="AG725" i="19" s="1"/>
  <c r="AD702" i="19"/>
  <c r="AF702" i="19" s="1"/>
  <c r="AG702" i="19" s="1"/>
  <c r="AD690" i="19"/>
  <c r="AF690" i="19" s="1"/>
  <c r="AG690" i="19" s="1"/>
  <c r="AD678" i="19"/>
  <c r="AF678" i="19" s="1"/>
  <c r="AG678" i="19" s="1"/>
  <c r="AD666" i="19"/>
  <c r="AF666" i="19" s="1"/>
  <c r="AG666" i="19" s="1"/>
  <c r="AD655" i="19"/>
  <c r="AF655" i="19" s="1"/>
  <c r="AG655" i="19" s="1"/>
  <c r="AD644" i="19"/>
  <c r="AF644" i="19" s="1"/>
  <c r="AG644" i="19" s="1"/>
  <c r="AD632" i="19"/>
  <c r="AF632" i="19" s="1"/>
  <c r="AG632" i="19" s="1"/>
  <c r="AD620" i="19"/>
  <c r="AF620" i="19" s="1"/>
  <c r="AG620" i="19" s="1"/>
  <c r="AD608" i="19"/>
  <c r="AF608" i="19" s="1"/>
  <c r="AG608" i="19" s="1"/>
  <c r="AD596" i="19"/>
  <c r="AF596" i="19" s="1"/>
  <c r="AG596" i="19" s="1"/>
  <c r="AD584" i="19"/>
  <c r="AF584" i="19" s="1"/>
  <c r="AG584" i="19" s="1"/>
  <c r="AD572" i="19"/>
  <c r="AF572" i="19" s="1"/>
  <c r="AG572" i="19" s="1"/>
  <c r="AD561" i="19"/>
  <c r="AF561" i="19" s="1"/>
  <c r="AG561" i="19" s="1"/>
  <c r="AD549" i="19"/>
  <c r="AF549" i="19" s="1"/>
  <c r="AG549" i="19" s="1"/>
  <c r="AD537" i="19"/>
  <c r="AF537" i="19" s="1"/>
  <c r="AG537" i="19" s="1"/>
  <c r="AD525" i="19"/>
  <c r="AF525" i="19" s="1"/>
  <c r="AG525" i="19" s="1"/>
  <c r="AD513" i="19"/>
  <c r="AF513" i="19" s="1"/>
  <c r="AG513" i="19" s="1"/>
  <c r="AD501" i="19"/>
  <c r="AF501" i="19" s="1"/>
  <c r="AG501" i="19" s="1"/>
  <c r="AD489" i="19"/>
  <c r="AF489" i="19" s="1"/>
  <c r="AG489" i="19" s="1"/>
  <c r="AD477" i="19"/>
  <c r="AF477" i="19" s="1"/>
  <c r="AG477" i="19" s="1"/>
  <c r="AD465" i="19"/>
  <c r="AF465" i="19" s="1"/>
  <c r="AG465" i="19" s="1"/>
  <c r="AD453" i="19"/>
  <c r="AF453" i="19" s="1"/>
  <c r="AG453" i="19" s="1"/>
  <c r="AD441" i="19"/>
  <c r="AF441" i="19" s="1"/>
  <c r="AG441" i="19" s="1"/>
  <c r="AD429" i="19"/>
  <c r="AF429" i="19" s="1"/>
  <c r="AG429" i="19" s="1"/>
  <c r="AD417" i="19"/>
  <c r="AF417" i="19" s="1"/>
  <c r="AG417" i="19" s="1"/>
  <c r="AD405" i="19"/>
  <c r="AF405" i="19" s="1"/>
  <c r="AG405" i="19" s="1"/>
  <c r="AD393" i="19"/>
  <c r="AF393" i="19" s="1"/>
  <c r="AG393" i="19" s="1"/>
  <c r="AD381" i="19"/>
  <c r="AF381" i="19" s="1"/>
  <c r="AG381" i="19" s="1"/>
  <c r="AD369" i="19"/>
  <c r="AF369" i="19" s="1"/>
  <c r="AG369" i="19" s="1"/>
  <c r="AD357" i="19"/>
  <c r="AF357" i="19" s="1"/>
  <c r="AG357" i="19" s="1"/>
  <c r="AD345" i="19"/>
  <c r="AF345" i="19" s="1"/>
  <c r="AG345" i="19" s="1"/>
  <c r="AD333" i="19"/>
  <c r="AF333" i="19" s="1"/>
  <c r="AG333" i="19" s="1"/>
  <c r="AD321" i="19"/>
  <c r="AF321" i="19" s="1"/>
  <c r="AG321" i="19" s="1"/>
  <c r="AD309" i="19"/>
  <c r="AF309" i="19" s="1"/>
  <c r="AG309" i="19" s="1"/>
  <c r="AD297" i="19"/>
  <c r="AF297" i="19" s="1"/>
  <c r="AG297" i="19" s="1"/>
  <c r="AD286" i="19"/>
  <c r="AF286" i="19" s="1"/>
  <c r="AG286" i="19" s="1"/>
  <c r="AD274" i="19"/>
  <c r="AF274" i="19" s="1"/>
  <c r="AG274" i="19" s="1"/>
  <c r="AD262" i="19"/>
  <c r="AF262" i="19" s="1"/>
  <c r="AG262" i="19" s="1"/>
  <c r="AD250" i="19"/>
  <c r="AF250" i="19" s="1"/>
  <c r="AG250" i="19" s="1"/>
  <c r="AD238" i="19"/>
  <c r="AF238" i="19" s="1"/>
  <c r="AG238" i="19" s="1"/>
  <c r="AD226" i="19"/>
  <c r="AF226" i="19" s="1"/>
  <c r="AG226" i="19" s="1"/>
  <c r="AD214" i="19"/>
  <c r="AF214" i="19" s="1"/>
  <c r="AG214" i="19" s="1"/>
  <c r="AD202" i="19"/>
  <c r="AF202" i="19" s="1"/>
  <c r="AG202" i="19" s="1"/>
  <c r="AD190" i="19"/>
  <c r="AF190" i="19" s="1"/>
  <c r="AG190" i="19" s="1"/>
  <c r="AD178" i="19"/>
  <c r="AF178" i="19" s="1"/>
  <c r="AG178" i="19" s="1"/>
  <c r="AD166" i="19"/>
  <c r="AF166" i="19" s="1"/>
  <c r="AG166" i="19" s="1"/>
  <c r="AD154" i="19"/>
  <c r="AF154" i="19" s="1"/>
  <c r="AG154" i="19" s="1"/>
  <c r="AD142" i="19"/>
  <c r="AF142" i="19" s="1"/>
  <c r="AG142" i="19" s="1"/>
  <c r="AD130" i="19"/>
  <c r="AF130" i="19" s="1"/>
  <c r="AG130" i="19" s="1"/>
  <c r="AD118" i="19"/>
  <c r="AF118" i="19" s="1"/>
  <c r="AG118" i="19" s="1"/>
  <c r="AD106" i="19"/>
  <c r="AF106" i="19" s="1"/>
  <c r="AG106" i="19" s="1"/>
  <c r="AD94" i="19"/>
  <c r="AF94" i="19" s="1"/>
  <c r="AG94" i="19" s="1"/>
  <c r="AD82" i="19"/>
  <c r="AF82" i="19" s="1"/>
  <c r="AG82" i="19" s="1"/>
  <c r="AD70" i="19"/>
  <c r="AF70" i="19" s="1"/>
  <c r="AG70" i="19" s="1"/>
  <c r="AD58" i="19"/>
  <c r="AF58" i="19" s="1"/>
  <c r="AG58" i="19" s="1"/>
  <c r="AD46" i="19"/>
  <c r="AF46" i="19" s="1"/>
  <c r="AG46" i="19" s="1"/>
  <c r="AD34" i="19"/>
  <c r="AF34" i="19" s="1"/>
  <c r="AG34" i="19" s="1"/>
  <c r="AD22" i="19"/>
  <c r="AF22" i="19" s="1"/>
  <c r="AG22" i="19" s="1"/>
  <c r="AD10" i="19"/>
  <c r="AF10" i="19" s="1"/>
  <c r="AG10" i="19" s="1"/>
  <c r="AD1207" i="19"/>
  <c r="AF1207" i="19" s="1"/>
  <c r="AG1207" i="19" s="1"/>
  <c r="AD1075" i="19"/>
  <c r="AF1075" i="19" s="1"/>
  <c r="AG1075" i="19" s="1"/>
  <c r="AD895" i="19"/>
  <c r="AF895" i="19" s="1"/>
  <c r="AG895" i="19" s="1"/>
  <c r="AD765" i="19"/>
  <c r="AF765" i="19" s="1"/>
  <c r="AG765" i="19" s="1"/>
  <c r="AD648" i="19"/>
  <c r="AF648" i="19" s="1"/>
  <c r="AG648" i="19" s="1"/>
  <c r="AD553" i="19"/>
  <c r="AF553" i="19" s="1"/>
  <c r="AG553" i="19" s="1"/>
  <c r="AD421" i="19"/>
  <c r="AF421" i="19" s="1"/>
  <c r="AG421" i="19" s="1"/>
  <c r="AD290" i="19"/>
  <c r="AF290" i="19" s="1"/>
  <c r="AG290" i="19" s="1"/>
  <c r="AD182" i="19"/>
  <c r="AF182" i="19" s="1"/>
  <c r="AG182" i="19" s="1"/>
  <c r="AD50" i="19"/>
  <c r="AF50" i="19" s="1"/>
  <c r="AG50" i="19" s="1"/>
  <c r="AD1311" i="19"/>
  <c r="AF1311" i="19" s="1"/>
  <c r="AG1311" i="19" s="1"/>
  <c r="AD1310" i="19"/>
  <c r="AF1310" i="19" s="1"/>
  <c r="AG1310" i="19" s="1"/>
  <c r="AD1298" i="19"/>
  <c r="AF1298" i="19" s="1"/>
  <c r="AG1298" i="19" s="1"/>
  <c r="AD1286" i="19"/>
  <c r="AF1286" i="19" s="1"/>
  <c r="AG1286" i="19" s="1"/>
  <c r="AD1274" i="19"/>
  <c r="AF1274" i="19" s="1"/>
  <c r="AG1274" i="19" s="1"/>
  <c r="AD1262" i="19"/>
  <c r="AF1262" i="19" s="1"/>
  <c r="AG1262" i="19" s="1"/>
  <c r="AD1250" i="19"/>
  <c r="AF1250" i="19" s="1"/>
  <c r="AG1250" i="19" s="1"/>
  <c r="AD1238" i="19"/>
  <c r="AF1238" i="19" s="1"/>
  <c r="AG1238" i="19" s="1"/>
  <c r="AD1226" i="19"/>
  <c r="AF1226" i="19" s="1"/>
  <c r="AG1226" i="19" s="1"/>
  <c r="AD1214" i="19"/>
  <c r="AF1214" i="19" s="1"/>
  <c r="AG1214" i="19" s="1"/>
  <c r="AD1202" i="19"/>
  <c r="AF1202" i="19" s="1"/>
  <c r="AG1202" i="19" s="1"/>
  <c r="AD1190" i="19"/>
  <c r="AF1190" i="19" s="1"/>
  <c r="AG1190" i="19" s="1"/>
  <c r="AD1178" i="19"/>
  <c r="AF1178" i="19" s="1"/>
  <c r="AG1178" i="19" s="1"/>
  <c r="AD1166" i="19"/>
  <c r="AF1166" i="19" s="1"/>
  <c r="AG1166" i="19" s="1"/>
  <c r="AD1154" i="19"/>
  <c r="AF1154" i="19" s="1"/>
  <c r="AG1154" i="19" s="1"/>
  <c r="AD1142" i="19"/>
  <c r="AF1142" i="19" s="1"/>
  <c r="AG1142" i="19" s="1"/>
  <c r="AD1130" i="19"/>
  <c r="AF1130" i="19" s="1"/>
  <c r="AG1130" i="19" s="1"/>
  <c r="AD1118" i="19"/>
  <c r="AF1118" i="19" s="1"/>
  <c r="AG1118" i="19" s="1"/>
  <c r="AD1106" i="19"/>
  <c r="AF1106" i="19" s="1"/>
  <c r="AG1106" i="19" s="1"/>
  <c r="AD1094" i="19"/>
  <c r="AF1094" i="19" s="1"/>
  <c r="AG1094" i="19" s="1"/>
  <c r="AD1082" i="19"/>
  <c r="AF1082" i="19" s="1"/>
  <c r="AG1082" i="19" s="1"/>
  <c r="AD1070" i="19"/>
  <c r="AF1070" i="19" s="1"/>
  <c r="AG1070" i="19" s="1"/>
  <c r="AD1058" i="19"/>
  <c r="AF1058" i="19" s="1"/>
  <c r="AG1058" i="19" s="1"/>
  <c r="AD1046" i="19"/>
  <c r="AF1046" i="19" s="1"/>
  <c r="AG1046" i="19" s="1"/>
  <c r="AD1034" i="19"/>
  <c r="AF1034" i="19" s="1"/>
  <c r="AG1034" i="19" s="1"/>
  <c r="AD1022" i="19"/>
  <c r="AF1022" i="19" s="1"/>
  <c r="AG1022" i="19" s="1"/>
  <c r="AD1010" i="19"/>
  <c r="AF1010" i="19" s="1"/>
  <c r="AG1010" i="19" s="1"/>
  <c r="AD998" i="19"/>
  <c r="AF998" i="19" s="1"/>
  <c r="AG998" i="19" s="1"/>
  <c r="AD986" i="19"/>
  <c r="AF986" i="19" s="1"/>
  <c r="AG986" i="19" s="1"/>
  <c r="AD974" i="19"/>
  <c r="AF974" i="19" s="1"/>
  <c r="AG974" i="19" s="1"/>
  <c r="AD962" i="19"/>
  <c r="AF962" i="19" s="1"/>
  <c r="AG962" i="19" s="1"/>
  <c r="AD950" i="19"/>
  <c r="AF950" i="19" s="1"/>
  <c r="AG950" i="19" s="1"/>
  <c r="AD938" i="19"/>
  <c r="AF938" i="19" s="1"/>
  <c r="AG938" i="19" s="1"/>
  <c r="AD926" i="19"/>
  <c r="AF926" i="19" s="1"/>
  <c r="AG926" i="19" s="1"/>
  <c r="AD914" i="19"/>
  <c r="AF914" i="19" s="1"/>
  <c r="AG914" i="19" s="1"/>
  <c r="AD902" i="19"/>
  <c r="AF902" i="19" s="1"/>
  <c r="AG902" i="19" s="1"/>
  <c r="AD890" i="19"/>
  <c r="AF890" i="19" s="1"/>
  <c r="AG890" i="19" s="1"/>
  <c r="AD878" i="19"/>
  <c r="AF878" i="19" s="1"/>
  <c r="AG878" i="19" s="1"/>
  <c r="AD866" i="19"/>
  <c r="AF866" i="19" s="1"/>
  <c r="AG866" i="19" s="1"/>
  <c r="AD854" i="19"/>
  <c r="AF854" i="19" s="1"/>
  <c r="AG854" i="19" s="1"/>
  <c r="AD842" i="19"/>
  <c r="AF842" i="19" s="1"/>
  <c r="AG842" i="19" s="1"/>
  <c r="AD830" i="19"/>
  <c r="AF830" i="19" s="1"/>
  <c r="AG830" i="19" s="1"/>
  <c r="AD818" i="19"/>
  <c r="AF818" i="19" s="1"/>
  <c r="AG818" i="19" s="1"/>
  <c r="AD806" i="19"/>
  <c r="AF806" i="19" s="1"/>
  <c r="AG806" i="19" s="1"/>
  <c r="AD783" i="19"/>
  <c r="AF783" i="19" s="1"/>
  <c r="AG783" i="19" s="1"/>
  <c r="AD760" i="19"/>
  <c r="AF760" i="19" s="1"/>
  <c r="AG760" i="19" s="1"/>
  <c r="AD748" i="19"/>
  <c r="AF748" i="19" s="1"/>
  <c r="AG748" i="19" s="1"/>
  <c r="AD736" i="19"/>
  <c r="AF736" i="19" s="1"/>
  <c r="AG736" i="19" s="1"/>
  <c r="AD724" i="19"/>
  <c r="AF724" i="19" s="1"/>
  <c r="AG724" i="19" s="1"/>
  <c r="AD713" i="19"/>
  <c r="AF713" i="19" s="1"/>
  <c r="AG713" i="19" s="1"/>
  <c r="AD701" i="19"/>
  <c r="AF701" i="19" s="1"/>
  <c r="AG701" i="19" s="1"/>
  <c r="AD689" i="19"/>
  <c r="AF689" i="19" s="1"/>
  <c r="AG689" i="19" s="1"/>
  <c r="AD677" i="19"/>
  <c r="AF677" i="19" s="1"/>
  <c r="AG677" i="19" s="1"/>
  <c r="AD665" i="19"/>
  <c r="AF665" i="19" s="1"/>
  <c r="AG665" i="19" s="1"/>
  <c r="AD654" i="19"/>
  <c r="AF654" i="19" s="1"/>
  <c r="AG654" i="19" s="1"/>
  <c r="AD643" i="19"/>
  <c r="AF643" i="19" s="1"/>
  <c r="AG643" i="19" s="1"/>
  <c r="AD631" i="19"/>
  <c r="AF631" i="19" s="1"/>
  <c r="AG631" i="19" s="1"/>
  <c r="AD619" i="19"/>
  <c r="AF619" i="19" s="1"/>
  <c r="AG619" i="19" s="1"/>
  <c r="AD607" i="19"/>
  <c r="AF607" i="19" s="1"/>
  <c r="AG607" i="19" s="1"/>
  <c r="AD595" i="19"/>
  <c r="AF595" i="19" s="1"/>
  <c r="AG595" i="19" s="1"/>
  <c r="AD583" i="19"/>
  <c r="AF583" i="19" s="1"/>
  <c r="AG583" i="19" s="1"/>
  <c r="AD571" i="19"/>
  <c r="AF571" i="19" s="1"/>
  <c r="AG571" i="19" s="1"/>
  <c r="AD560" i="19"/>
  <c r="AF560" i="19" s="1"/>
  <c r="AG560" i="19" s="1"/>
  <c r="AD548" i="19"/>
  <c r="AF548" i="19" s="1"/>
  <c r="AG548" i="19" s="1"/>
  <c r="AD536" i="19"/>
  <c r="AF536" i="19" s="1"/>
  <c r="AG536" i="19" s="1"/>
  <c r="AD524" i="19"/>
  <c r="AF524" i="19" s="1"/>
  <c r="AG524" i="19" s="1"/>
  <c r="AD512" i="19"/>
  <c r="AF512" i="19" s="1"/>
  <c r="AG512" i="19" s="1"/>
  <c r="AD500" i="19"/>
  <c r="AF500" i="19" s="1"/>
  <c r="AG500" i="19" s="1"/>
  <c r="AD488" i="19"/>
  <c r="AF488" i="19" s="1"/>
  <c r="AG488" i="19" s="1"/>
  <c r="AD476" i="19"/>
  <c r="AF476" i="19" s="1"/>
  <c r="AG476" i="19" s="1"/>
  <c r="AD464" i="19"/>
  <c r="AF464" i="19" s="1"/>
  <c r="AG464" i="19" s="1"/>
  <c r="AD452" i="19"/>
  <c r="AF452" i="19" s="1"/>
  <c r="AG452" i="19" s="1"/>
  <c r="AD440" i="19"/>
  <c r="AF440" i="19" s="1"/>
  <c r="AG440" i="19" s="1"/>
  <c r="AD428" i="19"/>
  <c r="AF428" i="19" s="1"/>
  <c r="AG428" i="19" s="1"/>
  <c r="AD416" i="19"/>
  <c r="AF416" i="19" s="1"/>
  <c r="AG416" i="19" s="1"/>
  <c r="AD404" i="19"/>
  <c r="AF404" i="19" s="1"/>
  <c r="AG404" i="19" s="1"/>
  <c r="AD392" i="19"/>
  <c r="AF392" i="19" s="1"/>
  <c r="AG392" i="19" s="1"/>
  <c r="AD380" i="19"/>
  <c r="AF380" i="19" s="1"/>
  <c r="AG380" i="19" s="1"/>
  <c r="AD368" i="19"/>
  <c r="AF368" i="19" s="1"/>
  <c r="AG368" i="19" s="1"/>
  <c r="AD356" i="19"/>
  <c r="AF356" i="19" s="1"/>
  <c r="AG356" i="19" s="1"/>
  <c r="AD344" i="19"/>
  <c r="AF344" i="19" s="1"/>
  <c r="AG344" i="19" s="1"/>
  <c r="AD332" i="19"/>
  <c r="AF332" i="19" s="1"/>
  <c r="AG332" i="19" s="1"/>
  <c r="AD320" i="19"/>
  <c r="AF320" i="19" s="1"/>
  <c r="AG320" i="19" s="1"/>
  <c r="AD308" i="19"/>
  <c r="AF308" i="19" s="1"/>
  <c r="AG308" i="19" s="1"/>
  <c r="AD296" i="19"/>
  <c r="AF296" i="19" s="1"/>
  <c r="AG296" i="19" s="1"/>
  <c r="AD285" i="19"/>
  <c r="AF285" i="19" s="1"/>
  <c r="AG285" i="19" s="1"/>
  <c r="AD273" i="19"/>
  <c r="AF273" i="19" s="1"/>
  <c r="AG273" i="19" s="1"/>
  <c r="AD261" i="19"/>
  <c r="AF261" i="19" s="1"/>
  <c r="AG261" i="19" s="1"/>
  <c r="AD249" i="19"/>
  <c r="AF249" i="19" s="1"/>
  <c r="AG249" i="19" s="1"/>
  <c r="AD237" i="19"/>
  <c r="AF237" i="19" s="1"/>
  <c r="AG237" i="19" s="1"/>
  <c r="AD225" i="19"/>
  <c r="AF225" i="19" s="1"/>
  <c r="AG225" i="19" s="1"/>
  <c r="AD213" i="19"/>
  <c r="AF213" i="19" s="1"/>
  <c r="AG213" i="19" s="1"/>
  <c r="AD201" i="19"/>
  <c r="AF201" i="19" s="1"/>
  <c r="AG201" i="19" s="1"/>
  <c r="AD189" i="19"/>
  <c r="AF189" i="19" s="1"/>
  <c r="AG189" i="19" s="1"/>
  <c r="AD177" i="19"/>
  <c r="AF177" i="19" s="1"/>
  <c r="AG177" i="19" s="1"/>
  <c r="AD165" i="19"/>
  <c r="AF165" i="19" s="1"/>
  <c r="AG165" i="19" s="1"/>
  <c r="AD153" i="19"/>
  <c r="AF153" i="19" s="1"/>
  <c r="AG153" i="19" s="1"/>
  <c r="AD141" i="19"/>
  <c r="AF141" i="19" s="1"/>
  <c r="AG141" i="19" s="1"/>
  <c r="AD129" i="19"/>
  <c r="AF129" i="19" s="1"/>
  <c r="AG129" i="19" s="1"/>
  <c r="AD117" i="19"/>
  <c r="AF117" i="19" s="1"/>
  <c r="AG117" i="19" s="1"/>
  <c r="AD105" i="19"/>
  <c r="AF105" i="19" s="1"/>
  <c r="AG105" i="19" s="1"/>
  <c r="AD93" i="19"/>
  <c r="AF93" i="19" s="1"/>
  <c r="AG93" i="19" s="1"/>
  <c r="AD81" i="19"/>
  <c r="AF81" i="19" s="1"/>
  <c r="AG81" i="19" s="1"/>
  <c r="AD69" i="19"/>
  <c r="AF69" i="19" s="1"/>
  <c r="AG69" i="19" s="1"/>
  <c r="AD57" i="19"/>
  <c r="AF57" i="19" s="1"/>
  <c r="AG57" i="19" s="1"/>
  <c r="AD45" i="19"/>
  <c r="AF45" i="19" s="1"/>
  <c r="AG45" i="19" s="1"/>
  <c r="AD33" i="19"/>
  <c r="AF33" i="19" s="1"/>
  <c r="AG33" i="19" s="1"/>
  <c r="AD21" i="19"/>
  <c r="AF21" i="19" s="1"/>
  <c r="AG21" i="19" s="1"/>
  <c r="AD9" i="19"/>
  <c r="AF9" i="19" s="1"/>
  <c r="AG9" i="19" s="1"/>
  <c r="AD1147" i="19"/>
  <c r="AF1147" i="19" s="1"/>
  <c r="AG1147" i="19" s="1"/>
  <c r="AD955" i="19"/>
  <c r="AF955" i="19" s="1"/>
  <c r="AG955" i="19" s="1"/>
  <c r="AD823" i="19"/>
  <c r="AF823" i="19" s="1"/>
  <c r="AG823" i="19" s="1"/>
  <c r="AD694" i="19"/>
  <c r="AF694" i="19" s="1"/>
  <c r="AG694" i="19" s="1"/>
  <c r="AD576" i="19"/>
  <c r="AF576" i="19" s="1"/>
  <c r="AG576" i="19" s="1"/>
  <c r="AD433" i="19"/>
  <c r="AF433" i="19" s="1"/>
  <c r="AG433" i="19" s="1"/>
  <c r="AD134" i="19"/>
  <c r="AF134" i="19" s="1"/>
  <c r="AG134" i="19" s="1"/>
  <c r="AD1297" i="19"/>
  <c r="AF1297" i="19" s="1"/>
  <c r="AG1297" i="19" s="1"/>
  <c r="AD1225" i="19"/>
  <c r="AF1225" i="19" s="1"/>
  <c r="AG1225" i="19" s="1"/>
  <c r="AD1213" i="19"/>
  <c r="AF1213" i="19" s="1"/>
  <c r="AG1213" i="19" s="1"/>
  <c r="AD1201" i="19"/>
  <c r="AF1201" i="19" s="1"/>
  <c r="AG1201" i="19" s="1"/>
  <c r="AD1189" i="19"/>
  <c r="AF1189" i="19" s="1"/>
  <c r="AG1189" i="19" s="1"/>
  <c r="AD1177" i="19"/>
  <c r="AF1177" i="19" s="1"/>
  <c r="AG1177" i="19" s="1"/>
  <c r="AD1165" i="19"/>
  <c r="AF1165" i="19" s="1"/>
  <c r="AG1165" i="19" s="1"/>
  <c r="AD1153" i="19"/>
  <c r="AF1153" i="19" s="1"/>
  <c r="AG1153" i="19" s="1"/>
  <c r="AD1141" i="19"/>
  <c r="AF1141" i="19" s="1"/>
  <c r="AG1141" i="19" s="1"/>
  <c r="AD1129" i="19"/>
  <c r="AF1129" i="19" s="1"/>
  <c r="AG1129" i="19" s="1"/>
  <c r="AD1117" i="19"/>
  <c r="AF1117" i="19" s="1"/>
  <c r="AG1117" i="19" s="1"/>
  <c r="AD1105" i="19"/>
  <c r="AF1105" i="19" s="1"/>
  <c r="AG1105" i="19" s="1"/>
  <c r="AD1093" i="19"/>
  <c r="AF1093" i="19" s="1"/>
  <c r="AG1093" i="19" s="1"/>
  <c r="AD1081" i="19"/>
  <c r="AF1081" i="19" s="1"/>
  <c r="AG1081" i="19" s="1"/>
  <c r="AD1069" i="19"/>
  <c r="AF1069" i="19" s="1"/>
  <c r="AG1069" i="19" s="1"/>
  <c r="AD1057" i="19"/>
  <c r="AF1057" i="19" s="1"/>
  <c r="AG1057" i="19" s="1"/>
  <c r="AD1045" i="19"/>
  <c r="AF1045" i="19" s="1"/>
  <c r="AG1045" i="19" s="1"/>
  <c r="AD1033" i="19"/>
  <c r="AF1033" i="19" s="1"/>
  <c r="AG1033" i="19" s="1"/>
  <c r="AD1021" i="19"/>
  <c r="AF1021" i="19" s="1"/>
  <c r="AG1021" i="19" s="1"/>
  <c r="AD1009" i="19"/>
  <c r="AF1009" i="19" s="1"/>
  <c r="AG1009" i="19" s="1"/>
  <c r="AD997" i="19"/>
  <c r="AF997" i="19" s="1"/>
  <c r="AG997" i="19" s="1"/>
  <c r="AD985" i="19"/>
  <c r="AF985" i="19" s="1"/>
  <c r="AG985" i="19" s="1"/>
  <c r="AD973" i="19"/>
  <c r="AF973" i="19" s="1"/>
  <c r="AG973" i="19" s="1"/>
  <c r="AD961" i="19"/>
  <c r="AF961" i="19" s="1"/>
  <c r="AG961" i="19" s="1"/>
  <c r="AD949" i="19"/>
  <c r="AF949" i="19" s="1"/>
  <c r="AG949" i="19" s="1"/>
  <c r="AD937" i="19"/>
  <c r="AF937" i="19" s="1"/>
  <c r="AG937" i="19" s="1"/>
  <c r="AD925" i="19"/>
  <c r="AF925" i="19" s="1"/>
  <c r="AG925" i="19" s="1"/>
  <c r="AD913" i="19"/>
  <c r="AF913" i="19" s="1"/>
  <c r="AG913" i="19" s="1"/>
  <c r="AD901" i="19"/>
  <c r="AF901" i="19" s="1"/>
  <c r="AG901" i="19" s="1"/>
  <c r="AD889" i="19"/>
  <c r="AF889" i="19" s="1"/>
  <c r="AG889" i="19" s="1"/>
  <c r="AD877" i="19"/>
  <c r="AF877" i="19" s="1"/>
  <c r="AG877" i="19" s="1"/>
  <c r="AD865" i="19"/>
  <c r="AF865" i="19" s="1"/>
  <c r="AG865" i="19" s="1"/>
  <c r="AD853" i="19"/>
  <c r="AF853" i="19" s="1"/>
  <c r="AG853" i="19" s="1"/>
  <c r="AD841" i="19"/>
  <c r="AF841" i="19" s="1"/>
  <c r="AG841" i="19" s="1"/>
  <c r="AD829" i="19"/>
  <c r="AF829" i="19" s="1"/>
  <c r="AG829" i="19" s="1"/>
  <c r="AD817" i="19"/>
  <c r="AF817" i="19" s="1"/>
  <c r="AG817" i="19" s="1"/>
  <c r="AD805" i="19"/>
  <c r="AF805" i="19" s="1"/>
  <c r="AG805" i="19" s="1"/>
  <c r="AD794" i="19"/>
  <c r="AF794" i="19" s="1"/>
  <c r="AG794" i="19" s="1"/>
  <c r="AD782" i="19"/>
  <c r="AF782" i="19" s="1"/>
  <c r="AG782" i="19" s="1"/>
  <c r="AD771" i="19"/>
  <c r="AF771" i="19" s="1"/>
  <c r="AG771" i="19" s="1"/>
  <c r="AD759" i="19"/>
  <c r="AF759" i="19" s="1"/>
  <c r="AG759" i="19" s="1"/>
  <c r="AD747" i="19"/>
  <c r="AF747" i="19" s="1"/>
  <c r="AG747" i="19" s="1"/>
  <c r="AD735" i="19"/>
  <c r="AF735" i="19" s="1"/>
  <c r="AG735" i="19" s="1"/>
  <c r="AD723" i="19"/>
  <c r="AF723" i="19" s="1"/>
  <c r="AG723" i="19" s="1"/>
  <c r="AD712" i="19"/>
  <c r="AF712" i="19" s="1"/>
  <c r="AG712" i="19" s="1"/>
  <c r="AD700" i="19"/>
  <c r="AF700" i="19" s="1"/>
  <c r="AG700" i="19" s="1"/>
  <c r="AD688" i="19"/>
  <c r="AF688" i="19" s="1"/>
  <c r="AG688" i="19" s="1"/>
  <c r="AD676" i="19"/>
  <c r="AF676" i="19" s="1"/>
  <c r="AG676" i="19" s="1"/>
  <c r="AD664" i="19"/>
  <c r="AF664" i="19" s="1"/>
  <c r="AG664" i="19" s="1"/>
  <c r="AD653" i="19"/>
  <c r="AF653" i="19" s="1"/>
  <c r="AG653" i="19" s="1"/>
  <c r="AD642" i="19"/>
  <c r="AF642" i="19" s="1"/>
  <c r="AG642" i="19" s="1"/>
  <c r="AD630" i="19"/>
  <c r="AF630" i="19" s="1"/>
  <c r="AG630" i="19" s="1"/>
  <c r="AD618" i="19"/>
  <c r="AF618" i="19" s="1"/>
  <c r="AG618" i="19" s="1"/>
  <c r="AD606" i="19"/>
  <c r="AF606" i="19" s="1"/>
  <c r="AG606" i="19" s="1"/>
  <c r="AD594" i="19"/>
  <c r="AF594" i="19" s="1"/>
  <c r="AG594" i="19" s="1"/>
  <c r="AD582" i="19"/>
  <c r="AF582" i="19" s="1"/>
  <c r="AG582" i="19" s="1"/>
  <c r="AD570" i="19"/>
  <c r="AF570" i="19" s="1"/>
  <c r="AG570" i="19" s="1"/>
  <c r="AD559" i="19"/>
  <c r="AF559" i="19" s="1"/>
  <c r="AG559" i="19" s="1"/>
  <c r="AD547" i="19"/>
  <c r="AF547" i="19" s="1"/>
  <c r="AG547" i="19" s="1"/>
  <c r="AD535" i="19"/>
  <c r="AF535" i="19" s="1"/>
  <c r="AG535" i="19" s="1"/>
  <c r="AD523" i="19"/>
  <c r="AF523" i="19" s="1"/>
  <c r="AG523" i="19" s="1"/>
  <c r="AD511" i="19"/>
  <c r="AF511" i="19" s="1"/>
  <c r="AG511" i="19" s="1"/>
  <c r="AD499" i="19"/>
  <c r="AF499" i="19" s="1"/>
  <c r="AG499" i="19" s="1"/>
  <c r="AD487" i="19"/>
  <c r="AF487" i="19" s="1"/>
  <c r="AG487" i="19" s="1"/>
  <c r="AD475" i="19"/>
  <c r="AF475" i="19" s="1"/>
  <c r="AG475" i="19" s="1"/>
  <c r="AD463" i="19"/>
  <c r="AF463" i="19" s="1"/>
  <c r="AG463" i="19" s="1"/>
  <c r="AD451" i="19"/>
  <c r="AF451" i="19" s="1"/>
  <c r="AG451" i="19" s="1"/>
  <c r="AD439" i="19"/>
  <c r="AF439" i="19" s="1"/>
  <c r="AG439" i="19" s="1"/>
  <c r="AD427" i="19"/>
  <c r="AF427" i="19" s="1"/>
  <c r="AG427" i="19" s="1"/>
  <c r="AD415" i="19"/>
  <c r="AF415" i="19" s="1"/>
  <c r="AG415" i="19" s="1"/>
  <c r="AD403" i="19"/>
  <c r="AF403" i="19" s="1"/>
  <c r="AG403" i="19" s="1"/>
  <c r="AD391" i="19"/>
  <c r="AF391" i="19" s="1"/>
  <c r="AG391" i="19" s="1"/>
  <c r="AD379" i="19"/>
  <c r="AF379" i="19" s="1"/>
  <c r="AG379" i="19" s="1"/>
  <c r="AD367" i="19"/>
  <c r="AF367" i="19" s="1"/>
  <c r="AG367" i="19" s="1"/>
  <c r="AD355" i="19"/>
  <c r="AF355" i="19" s="1"/>
  <c r="AG355" i="19" s="1"/>
  <c r="AD343" i="19"/>
  <c r="AF343" i="19" s="1"/>
  <c r="AG343" i="19" s="1"/>
  <c r="AD331" i="19"/>
  <c r="AF331" i="19" s="1"/>
  <c r="AG331" i="19" s="1"/>
  <c r="AD319" i="19"/>
  <c r="AF319" i="19" s="1"/>
  <c r="AG319" i="19" s="1"/>
  <c r="AD307" i="19"/>
  <c r="AF307" i="19" s="1"/>
  <c r="AG307" i="19" s="1"/>
  <c r="AD295" i="19"/>
  <c r="AF295" i="19" s="1"/>
  <c r="AG295" i="19" s="1"/>
  <c r="AD284" i="19"/>
  <c r="AF284" i="19" s="1"/>
  <c r="AG284" i="19" s="1"/>
  <c r="AD272" i="19"/>
  <c r="AF272" i="19" s="1"/>
  <c r="AG272" i="19" s="1"/>
  <c r="AD260" i="19"/>
  <c r="AF260" i="19" s="1"/>
  <c r="AG260" i="19" s="1"/>
  <c r="AD248" i="19"/>
  <c r="AF248" i="19" s="1"/>
  <c r="AG248" i="19" s="1"/>
  <c r="AD236" i="19"/>
  <c r="AF236" i="19" s="1"/>
  <c r="AG236" i="19" s="1"/>
  <c r="AD224" i="19"/>
  <c r="AF224" i="19" s="1"/>
  <c r="AG224" i="19" s="1"/>
  <c r="AD212" i="19"/>
  <c r="AF212" i="19" s="1"/>
  <c r="AG212" i="19" s="1"/>
  <c r="AD200" i="19"/>
  <c r="AF200" i="19" s="1"/>
  <c r="AG200" i="19" s="1"/>
  <c r="AD188" i="19"/>
  <c r="AF188" i="19" s="1"/>
  <c r="AG188" i="19" s="1"/>
  <c r="AD176" i="19"/>
  <c r="AF176" i="19" s="1"/>
  <c r="AG176" i="19" s="1"/>
  <c r="AD164" i="19"/>
  <c r="AF164" i="19" s="1"/>
  <c r="AG164" i="19" s="1"/>
  <c r="AD152" i="19"/>
  <c r="AF152" i="19" s="1"/>
  <c r="AG152" i="19" s="1"/>
  <c r="AD140" i="19"/>
  <c r="AF140" i="19" s="1"/>
  <c r="AG140" i="19" s="1"/>
  <c r="AD128" i="19"/>
  <c r="AF128" i="19" s="1"/>
  <c r="AG128" i="19" s="1"/>
  <c r="AD116" i="19"/>
  <c r="AF116" i="19" s="1"/>
  <c r="AG116" i="19" s="1"/>
  <c r="AD104" i="19"/>
  <c r="AF104" i="19" s="1"/>
  <c r="AG104" i="19" s="1"/>
  <c r="AD92" i="19"/>
  <c r="AF92" i="19" s="1"/>
  <c r="AG92" i="19" s="1"/>
  <c r="AD80" i="19"/>
  <c r="AF80" i="19" s="1"/>
  <c r="AG80" i="19" s="1"/>
  <c r="AD68" i="19"/>
  <c r="AF68" i="19" s="1"/>
  <c r="AG68" i="19" s="1"/>
  <c r="AD56" i="19"/>
  <c r="AF56" i="19" s="1"/>
  <c r="AG56" i="19" s="1"/>
  <c r="AD44" i="19"/>
  <c r="AF44" i="19" s="1"/>
  <c r="AG44" i="19" s="1"/>
  <c r="AD32" i="19"/>
  <c r="AF32" i="19" s="1"/>
  <c r="AG32" i="19" s="1"/>
  <c r="AD20" i="19"/>
  <c r="AF20" i="19" s="1"/>
  <c r="AG20" i="19" s="1"/>
  <c r="AD8" i="19"/>
  <c r="AF8" i="19" s="1"/>
  <c r="AG8" i="19" s="1"/>
  <c r="AD1279" i="19"/>
  <c r="AF1279" i="19" s="1"/>
  <c r="AG1279" i="19" s="1"/>
  <c r="AD1159" i="19"/>
  <c r="AF1159" i="19" s="1"/>
  <c r="AG1159" i="19" s="1"/>
  <c r="AD1027" i="19"/>
  <c r="AF1027" i="19" s="1"/>
  <c r="AG1027" i="19" s="1"/>
  <c r="AD919" i="19"/>
  <c r="AF919" i="19" s="1"/>
  <c r="AG919" i="19" s="1"/>
  <c r="AD776" i="19"/>
  <c r="AF776" i="19" s="1"/>
  <c r="AG776" i="19" s="1"/>
  <c r="AD624" i="19"/>
  <c r="AF624" i="19" s="1"/>
  <c r="AG624" i="19" s="1"/>
  <c r="AD481" i="19"/>
  <c r="AF481" i="19" s="1"/>
  <c r="AG481" i="19" s="1"/>
  <c r="AD325" i="19"/>
  <c r="AF325" i="19" s="1"/>
  <c r="AG325" i="19" s="1"/>
  <c r="AD110" i="19"/>
  <c r="AF110" i="19" s="1"/>
  <c r="AG110" i="19" s="1"/>
  <c r="AD1237" i="19"/>
  <c r="AF1237" i="19" s="1"/>
  <c r="AG1237" i="19" s="1"/>
  <c r="AD1308" i="19"/>
  <c r="AF1308" i="19" s="1"/>
  <c r="AG1308" i="19" s="1"/>
  <c r="AD1296" i="19"/>
  <c r="AF1296" i="19" s="1"/>
  <c r="AG1296" i="19" s="1"/>
  <c r="AD1284" i="19"/>
  <c r="AF1284" i="19" s="1"/>
  <c r="AG1284" i="19" s="1"/>
  <c r="AD1272" i="19"/>
  <c r="AF1272" i="19" s="1"/>
  <c r="AG1272" i="19" s="1"/>
  <c r="AD1260" i="19"/>
  <c r="AF1260" i="19" s="1"/>
  <c r="AG1260" i="19" s="1"/>
  <c r="AD1248" i="19"/>
  <c r="AF1248" i="19" s="1"/>
  <c r="AG1248" i="19" s="1"/>
  <c r="AD1236" i="19"/>
  <c r="AF1236" i="19" s="1"/>
  <c r="AG1236" i="19" s="1"/>
  <c r="AD1224" i="19"/>
  <c r="AF1224" i="19" s="1"/>
  <c r="AG1224" i="19" s="1"/>
  <c r="AD1212" i="19"/>
  <c r="AF1212" i="19" s="1"/>
  <c r="AG1212" i="19" s="1"/>
  <c r="AD1200" i="19"/>
  <c r="AF1200" i="19" s="1"/>
  <c r="AG1200" i="19" s="1"/>
  <c r="AD1188" i="19"/>
  <c r="AF1188" i="19" s="1"/>
  <c r="AG1188" i="19" s="1"/>
  <c r="AD1176" i="19"/>
  <c r="AF1176" i="19" s="1"/>
  <c r="AG1176" i="19" s="1"/>
  <c r="AD1164" i="19"/>
  <c r="AF1164" i="19" s="1"/>
  <c r="AG1164" i="19" s="1"/>
  <c r="AD1152" i="19"/>
  <c r="AF1152" i="19" s="1"/>
  <c r="AG1152" i="19" s="1"/>
  <c r="AD1140" i="19"/>
  <c r="AF1140" i="19" s="1"/>
  <c r="AG1140" i="19" s="1"/>
  <c r="AD1128" i="19"/>
  <c r="AF1128" i="19" s="1"/>
  <c r="AG1128" i="19" s="1"/>
  <c r="AD1116" i="19"/>
  <c r="AF1116" i="19" s="1"/>
  <c r="AG1116" i="19" s="1"/>
  <c r="AD1104" i="19"/>
  <c r="AF1104" i="19" s="1"/>
  <c r="AG1104" i="19" s="1"/>
  <c r="AD1092" i="19"/>
  <c r="AF1092" i="19" s="1"/>
  <c r="AG1092" i="19" s="1"/>
  <c r="AD1080" i="19"/>
  <c r="AF1080" i="19" s="1"/>
  <c r="AG1080" i="19" s="1"/>
  <c r="AD1068" i="19"/>
  <c r="AF1068" i="19" s="1"/>
  <c r="AG1068" i="19" s="1"/>
  <c r="AD1056" i="19"/>
  <c r="AF1056" i="19" s="1"/>
  <c r="AG1056" i="19" s="1"/>
  <c r="AD1044" i="19"/>
  <c r="AF1044" i="19" s="1"/>
  <c r="AG1044" i="19" s="1"/>
  <c r="AD1032" i="19"/>
  <c r="AF1032" i="19" s="1"/>
  <c r="AG1032" i="19" s="1"/>
  <c r="AD1020" i="19"/>
  <c r="AF1020" i="19" s="1"/>
  <c r="AG1020" i="19" s="1"/>
  <c r="AD1008" i="19"/>
  <c r="AF1008" i="19" s="1"/>
  <c r="AG1008" i="19" s="1"/>
  <c r="AD996" i="19"/>
  <c r="AF996" i="19" s="1"/>
  <c r="AG996" i="19" s="1"/>
  <c r="AD984" i="19"/>
  <c r="AF984" i="19" s="1"/>
  <c r="AG984" i="19" s="1"/>
  <c r="AD972" i="19"/>
  <c r="AF972" i="19" s="1"/>
  <c r="AG972" i="19" s="1"/>
  <c r="AD960" i="19"/>
  <c r="AF960" i="19" s="1"/>
  <c r="AG960" i="19" s="1"/>
  <c r="AD948" i="19"/>
  <c r="AF948" i="19" s="1"/>
  <c r="AG948" i="19" s="1"/>
  <c r="AD936" i="19"/>
  <c r="AF936" i="19" s="1"/>
  <c r="AG936" i="19" s="1"/>
  <c r="AD924" i="19"/>
  <c r="AF924" i="19" s="1"/>
  <c r="AG924" i="19" s="1"/>
  <c r="AD912" i="19"/>
  <c r="AF912" i="19" s="1"/>
  <c r="AG912" i="19" s="1"/>
  <c r="AD900" i="19"/>
  <c r="AF900" i="19" s="1"/>
  <c r="AG900" i="19" s="1"/>
  <c r="AD888" i="19"/>
  <c r="AF888" i="19" s="1"/>
  <c r="AG888" i="19" s="1"/>
  <c r="AD876" i="19"/>
  <c r="AF876" i="19" s="1"/>
  <c r="AG876" i="19" s="1"/>
  <c r="AD864" i="19"/>
  <c r="AF864" i="19" s="1"/>
  <c r="AG864" i="19" s="1"/>
  <c r="AD852" i="19"/>
  <c r="AF852" i="19" s="1"/>
  <c r="AG852" i="19" s="1"/>
  <c r="AD840" i="19"/>
  <c r="AF840" i="19" s="1"/>
  <c r="AG840" i="19" s="1"/>
  <c r="AD828" i="19"/>
  <c r="AF828" i="19" s="1"/>
  <c r="AG828" i="19" s="1"/>
  <c r="AD816" i="19"/>
  <c r="AF816" i="19" s="1"/>
  <c r="AG816" i="19" s="1"/>
  <c r="AD804" i="19"/>
  <c r="AF804" i="19" s="1"/>
  <c r="AG804" i="19" s="1"/>
  <c r="AD793" i="19"/>
  <c r="AD781" i="19"/>
  <c r="AF781" i="19" s="1"/>
  <c r="AG781" i="19" s="1"/>
  <c r="AD770" i="19"/>
  <c r="AF770" i="19" s="1"/>
  <c r="AG770" i="19" s="1"/>
  <c r="AD758" i="19"/>
  <c r="AF758" i="19" s="1"/>
  <c r="AG758" i="19" s="1"/>
  <c r="AD746" i="19"/>
  <c r="AF746" i="19" s="1"/>
  <c r="AG746" i="19" s="1"/>
  <c r="AD734" i="19"/>
  <c r="AF734" i="19" s="1"/>
  <c r="AG734" i="19" s="1"/>
  <c r="AD722" i="19"/>
  <c r="AF722" i="19" s="1"/>
  <c r="AG722" i="19" s="1"/>
  <c r="AD711" i="19"/>
  <c r="AF711" i="19" s="1"/>
  <c r="AG711" i="19" s="1"/>
  <c r="AD699" i="19"/>
  <c r="AF699" i="19" s="1"/>
  <c r="AG699" i="19" s="1"/>
  <c r="AD687" i="19"/>
  <c r="AF687" i="19" s="1"/>
  <c r="AG687" i="19" s="1"/>
  <c r="AD675" i="19"/>
  <c r="AF675" i="19" s="1"/>
  <c r="AG675" i="19" s="1"/>
  <c r="AD652" i="19"/>
  <c r="AF652" i="19" s="1"/>
  <c r="AG652" i="19" s="1"/>
  <c r="AD641" i="19"/>
  <c r="AF641" i="19" s="1"/>
  <c r="AG641" i="19" s="1"/>
  <c r="AD629" i="19"/>
  <c r="AF629" i="19" s="1"/>
  <c r="AG629" i="19" s="1"/>
  <c r="AD617" i="19"/>
  <c r="AF617" i="19" s="1"/>
  <c r="AG617" i="19" s="1"/>
  <c r="AD605" i="19"/>
  <c r="AF605" i="19" s="1"/>
  <c r="AG605" i="19" s="1"/>
  <c r="AD593" i="19"/>
  <c r="AF593" i="19" s="1"/>
  <c r="AG593" i="19" s="1"/>
  <c r="AD581" i="19"/>
  <c r="AF581" i="19" s="1"/>
  <c r="AG581" i="19" s="1"/>
  <c r="AD558" i="19"/>
  <c r="AF558" i="19" s="1"/>
  <c r="AG558" i="19" s="1"/>
  <c r="AD546" i="19"/>
  <c r="AF546" i="19" s="1"/>
  <c r="AG546" i="19" s="1"/>
  <c r="AD534" i="19"/>
  <c r="AF534" i="19" s="1"/>
  <c r="AG534" i="19" s="1"/>
  <c r="AD522" i="19"/>
  <c r="AF522" i="19" s="1"/>
  <c r="AG522" i="19" s="1"/>
  <c r="AD510" i="19"/>
  <c r="AF510" i="19" s="1"/>
  <c r="AG510" i="19" s="1"/>
  <c r="AD498" i="19"/>
  <c r="AF498" i="19" s="1"/>
  <c r="AG498" i="19" s="1"/>
  <c r="AD486" i="19"/>
  <c r="AF486" i="19" s="1"/>
  <c r="AG486" i="19" s="1"/>
  <c r="AD474" i="19"/>
  <c r="AF474" i="19" s="1"/>
  <c r="AG474" i="19" s="1"/>
  <c r="AD462" i="19"/>
  <c r="AF462" i="19" s="1"/>
  <c r="AG462" i="19" s="1"/>
  <c r="AD450" i="19"/>
  <c r="AF450" i="19" s="1"/>
  <c r="AG450" i="19" s="1"/>
  <c r="AD438" i="19"/>
  <c r="AF438" i="19" s="1"/>
  <c r="AG438" i="19" s="1"/>
  <c r="AD426" i="19"/>
  <c r="AF426" i="19" s="1"/>
  <c r="AG426" i="19" s="1"/>
  <c r="AD414" i="19"/>
  <c r="AF414" i="19" s="1"/>
  <c r="AG414" i="19" s="1"/>
  <c r="AD402" i="19"/>
  <c r="AF402" i="19" s="1"/>
  <c r="AG402" i="19" s="1"/>
  <c r="AD390" i="19"/>
  <c r="AF390" i="19" s="1"/>
  <c r="AG390" i="19" s="1"/>
  <c r="AD378" i="19"/>
  <c r="AF378" i="19" s="1"/>
  <c r="AG378" i="19" s="1"/>
  <c r="AD366" i="19"/>
  <c r="AF366" i="19" s="1"/>
  <c r="AG366" i="19" s="1"/>
  <c r="AD354" i="19"/>
  <c r="AF354" i="19" s="1"/>
  <c r="AG354" i="19" s="1"/>
  <c r="AD342" i="19"/>
  <c r="AF342" i="19" s="1"/>
  <c r="AG342" i="19" s="1"/>
  <c r="AD330" i="19"/>
  <c r="AF330" i="19" s="1"/>
  <c r="AG330" i="19" s="1"/>
  <c r="AD318" i="19"/>
  <c r="AF318" i="19" s="1"/>
  <c r="AG318" i="19" s="1"/>
  <c r="AD306" i="19"/>
  <c r="AF306" i="19" s="1"/>
  <c r="AG306" i="19" s="1"/>
  <c r="AD294" i="19"/>
  <c r="AF294" i="19" s="1"/>
  <c r="AG294" i="19" s="1"/>
  <c r="AD283" i="19"/>
  <c r="AF283" i="19" s="1"/>
  <c r="AG283" i="19" s="1"/>
  <c r="AD271" i="19"/>
  <c r="AF271" i="19" s="1"/>
  <c r="AG271" i="19" s="1"/>
  <c r="AD259" i="19"/>
  <c r="AF259" i="19" s="1"/>
  <c r="AG259" i="19" s="1"/>
  <c r="AD247" i="19"/>
  <c r="AF247" i="19" s="1"/>
  <c r="AG247" i="19" s="1"/>
  <c r="AD235" i="19"/>
  <c r="AF235" i="19" s="1"/>
  <c r="AG235" i="19" s="1"/>
  <c r="AD223" i="19"/>
  <c r="AF223" i="19" s="1"/>
  <c r="AG223" i="19" s="1"/>
  <c r="AD211" i="19"/>
  <c r="AF211" i="19" s="1"/>
  <c r="AG211" i="19" s="1"/>
  <c r="AD199" i="19"/>
  <c r="AF199" i="19" s="1"/>
  <c r="AG199" i="19" s="1"/>
  <c r="AD187" i="19"/>
  <c r="AF187" i="19" s="1"/>
  <c r="AG187" i="19" s="1"/>
  <c r="AD175" i="19"/>
  <c r="AF175" i="19" s="1"/>
  <c r="AG175" i="19" s="1"/>
  <c r="AD163" i="19"/>
  <c r="AF163" i="19" s="1"/>
  <c r="AG163" i="19" s="1"/>
  <c r="AD151" i="19"/>
  <c r="AF151" i="19" s="1"/>
  <c r="AG151" i="19" s="1"/>
  <c r="AD139" i="19"/>
  <c r="AF139" i="19" s="1"/>
  <c r="AG139" i="19" s="1"/>
  <c r="AD127" i="19"/>
  <c r="AF127" i="19" s="1"/>
  <c r="AG127" i="19" s="1"/>
  <c r="AD115" i="19"/>
  <c r="AF115" i="19" s="1"/>
  <c r="AG115" i="19" s="1"/>
  <c r="AD103" i="19"/>
  <c r="AF103" i="19" s="1"/>
  <c r="AG103" i="19" s="1"/>
  <c r="AD91" i="19"/>
  <c r="AF91" i="19" s="1"/>
  <c r="AG91" i="19" s="1"/>
  <c r="AD79" i="19"/>
  <c r="AF79" i="19" s="1"/>
  <c r="AG79" i="19" s="1"/>
  <c r="AD67" i="19"/>
  <c r="AF67" i="19" s="1"/>
  <c r="AG67" i="19" s="1"/>
  <c r="AD55" i="19"/>
  <c r="AF55" i="19" s="1"/>
  <c r="AG55" i="19" s="1"/>
  <c r="AD43" i="19"/>
  <c r="AF43" i="19" s="1"/>
  <c r="AG43" i="19" s="1"/>
  <c r="AD31" i="19"/>
  <c r="AF31" i="19" s="1"/>
  <c r="AG31" i="19" s="1"/>
  <c r="AD19" i="19"/>
  <c r="AF19" i="19" s="1"/>
  <c r="AG19" i="19" s="1"/>
  <c r="AD7" i="19"/>
  <c r="AF7" i="19" s="1"/>
  <c r="AG7" i="19" s="1"/>
  <c r="AD1291" i="19"/>
  <c r="AF1291" i="19" s="1"/>
  <c r="AG1291" i="19" s="1"/>
  <c r="AD1171" i="19"/>
  <c r="AF1171" i="19" s="1"/>
  <c r="AG1171" i="19" s="1"/>
  <c r="AD1039" i="19"/>
  <c r="AF1039" i="19" s="1"/>
  <c r="AG1039" i="19" s="1"/>
  <c r="AD871" i="19"/>
  <c r="AF871" i="19" s="1"/>
  <c r="AG871" i="19" s="1"/>
  <c r="AD729" i="19"/>
  <c r="AF729" i="19" s="1"/>
  <c r="AG729" i="19" s="1"/>
  <c r="AD600" i="19"/>
  <c r="AF600" i="19" s="1"/>
  <c r="AG600" i="19" s="1"/>
  <c r="AD469" i="19"/>
  <c r="AF469" i="19" s="1"/>
  <c r="AG469" i="19" s="1"/>
  <c r="AD349" i="19"/>
  <c r="AF349" i="19" s="1"/>
  <c r="AG349" i="19" s="1"/>
  <c r="AD278" i="19"/>
  <c r="AF278" i="19" s="1"/>
  <c r="AG278" i="19" s="1"/>
  <c r="AD194" i="19"/>
  <c r="AF194" i="19" s="1"/>
  <c r="AG194" i="19" s="1"/>
  <c r="AD74" i="19"/>
  <c r="AF74" i="19" s="1"/>
  <c r="AG74" i="19" s="1"/>
  <c r="AD1273" i="19"/>
  <c r="AF1273" i="19" s="1"/>
  <c r="AG1273" i="19" s="1"/>
  <c r="AD1307" i="19"/>
  <c r="AF1307" i="19" s="1"/>
  <c r="AG1307" i="19" s="1"/>
  <c r="AD1295" i="19"/>
  <c r="AF1295" i="19" s="1"/>
  <c r="AG1295" i="19" s="1"/>
  <c r="AD1283" i="19"/>
  <c r="AF1283" i="19" s="1"/>
  <c r="AG1283" i="19" s="1"/>
  <c r="AD1271" i="19"/>
  <c r="AF1271" i="19" s="1"/>
  <c r="AG1271" i="19" s="1"/>
  <c r="AD1259" i="19"/>
  <c r="AF1259" i="19" s="1"/>
  <c r="AG1259" i="19" s="1"/>
  <c r="AD1247" i="19"/>
  <c r="AF1247" i="19" s="1"/>
  <c r="AG1247" i="19" s="1"/>
  <c r="AD1235" i="19"/>
  <c r="AF1235" i="19" s="1"/>
  <c r="AG1235" i="19" s="1"/>
  <c r="AD1223" i="19"/>
  <c r="AF1223" i="19" s="1"/>
  <c r="AG1223" i="19" s="1"/>
  <c r="AD1211" i="19"/>
  <c r="AF1211" i="19" s="1"/>
  <c r="AG1211" i="19" s="1"/>
  <c r="AD1199" i="19"/>
  <c r="AF1199" i="19" s="1"/>
  <c r="AG1199" i="19" s="1"/>
  <c r="AD1187" i="19"/>
  <c r="AF1187" i="19" s="1"/>
  <c r="AG1187" i="19" s="1"/>
  <c r="AD1175" i="19"/>
  <c r="AF1175" i="19" s="1"/>
  <c r="AG1175" i="19" s="1"/>
  <c r="AD1163" i="19"/>
  <c r="AF1163" i="19" s="1"/>
  <c r="AG1163" i="19" s="1"/>
  <c r="AD1151" i="19"/>
  <c r="AF1151" i="19" s="1"/>
  <c r="AG1151" i="19" s="1"/>
  <c r="AD1139" i="19"/>
  <c r="AF1139" i="19" s="1"/>
  <c r="AG1139" i="19" s="1"/>
  <c r="AD1127" i="19"/>
  <c r="AF1127" i="19" s="1"/>
  <c r="AG1127" i="19" s="1"/>
  <c r="AD1115" i="19"/>
  <c r="AF1115" i="19" s="1"/>
  <c r="AG1115" i="19" s="1"/>
  <c r="AD1103" i="19"/>
  <c r="AF1103" i="19" s="1"/>
  <c r="AG1103" i="19" s="1"/>
  <c r="AD1091" i="19"/>
  <c r="AF1091" i="19" s="1"/>
  <c r="AG1091" i="19" s="1"/>
  <c r="AD1079" i="19"/>
  <c r="AF1079" i="19" s="1"/>
  <c r="AG1079" i="19" s="1"/>
  <c r="AD1067" i="19"/>
  <c r="AF1067" i="19" s="1"/>
  <c r="AG1067" i="19" s="1"/>
  <c r="AD1055" i="19"/>
  <c r="AF1055" i="19" s="1"/>
  <c r="AG1055" i="19" s="1"/>
  <c r="AD1043" i="19"/>
  <c r="AF1043" i="19" s="1"/>
  <c r="AG1043" i="19" s="1"/>
  <c r="AD1031" i="19"/>
  <c r="AF1031" i="19" s="1"/>
  <c r="AG1031" i="19" s="1"/>
  <c r="AD1019" i="19"/>
  <c r="AF1019" i="19" s="1"/>
  <c r="AG1019" i="19" s="1"/>
  <c r="AD1007" i="19"/>
  <c r="AF1007" i="19" s="1"/>
  <c r="AG1007" i="19" s="1"/>
  <c r="AD995" i="19"/>
  <c r="AF995" i="19" s="1"/>
  <c r="AG995" i="19" s="1"/>
  <c r="AD983" i="19"/>
  <c r="AF983" i="19" s="1"/>
  <c r="AG983" i="19" s="1"/>
  <c r="AD971" i="19"/>
  <c r="AF971" i="19" s="1"/>
  <c r="AG971" i="19" s="1"/>
  <c r="AD959" i="19"/>
  <c r="AF959" i="19" s="1"/>
  <c r="AG959" i="19" s="1"/>
  <c r="AD947" i="19"/>
  <c r="AF947" i="19" s="1"/>
  <c r="AG947" i="19" s="1"/>
  <c r="AD935" i="19"/>
  <c r="AF935" i="19" s="1"/>
  <c r="AG935" i="19" s="1"/>
  <c r="AD923" i="19"/>
  <c r="AF923" i="19" s="1"/>
  <c r="AG923" i="19" s="1"/>
  <c r="AD911" i="19"/>
  <c r="AF911" i="19" s="1"/>
  <c r="AG911" i="19" s="1"/>
  <c r="AD899" i="19"/>
  <c r="AF899" i="19" s="1"/>
  <c r="AG899" i="19" s="1"/>
  <c r="AD887" i="19"/>
  <c r="AF887" i="19" s="1"/>
  <c r="AG887" i="19" s="1"/>
  <c r="AD875" i="19"/>
  <c r="AF875" i="19" s="1"/>
  <c r="AG875" i="19" s="1"/>
  <c r="AD863" i="19"/>
  <c r="AF863" i="19" s="1"/>
  <c r="AG863" i="19" s="1"/>
  <c r="AD851" i="19"/>
  <c r="AF851" i="19" s="1"/>
  <c r="AG851" i="19" s="1"/>
  <c r="AD839" i="19"/>
  <c r="AF839" i="19" s="1"/>
  <c r="AG839" i="19" s="1"/>
  <c r="AD827" i="19"/>
  <c r="AF827" i="19" s="1"/>
  <c r="AG827" i="19" s="1"/>
  <c r="AD815" i="19"/>
  <c r="AF815" i="19" s="1"/>
  <c r="AG815" i="19" s="1"/>
  <c r="AD803" i="19"/>
  <c r="AF803" i="19" s="1"/>
  <c r="AG803" i="19" s="1"/>
  <c r="AD792" i="19"/>
  <c r="AF792" i="19" s="1"/>
  <c r="AG792" i="19" s="1"/>
  <c r="AD780" i="19"/>
  <c r="AF780" i="19" s="1"/>
  <c r="AG780" i="19" s="1"/>
  <c r="AD769" i="19"/>
  <c r="AF769" i="19" s="1"/>
  <c r="AG769" i="19" s="1"/>
  <c r="AD757" i="19"/>
  <c r="AF757" i="19" s="1"/>
  <c r="AG757" i="19" s="1"/>
  <c r="AD745" i="19"/>
  <c r="AF745" i="19" s="1"/>
  <c r="AG745" i="19" s="1"/>
  <c r="AD733" i="19"/>
  <c r="AF733" i="19" s="1"/>
  <c r="AG733" i="19" s="1"/>
  <c r="AD721" i="19"/>
  <c r="AF721" i="19" s="1"/>
  <c r="AG721" i="19" s="1"/>
  <c r="AD710" i="19"/>
  <c r="AF710" i="19" s="1"/>
  <c r="AG710" i="19" s="1"/>
  <c r="AD698" i="19"/>
  <c r="AF698" i="19" s="1"/>
  <c r="AG698" i="19" s="1"/>
  <c r="AD686" i="19"/>
  <c r="AF686" i="19" s="1"/>
  <c r="AG686" i="19" s="1"/>
  <c r="AD674" i="19"/>
  <c r="AF674" i="19" s="1"/>
  <c r="AG674" i="19" s="1"/>
  <c r="AD651" i="19"/>
  <c r="AF651" i="19" s="1"/>
  <c r="AG651" i="19" s="1"/>
  <c r="AD640" i="19"/>
  <c r="AF640" i="19" s="1"/>
  <c r="AG640" i="19" s="1"/>
  <c r="AD628" i="19"/>
  <c r="AF628" i="19" s="1"/>
  <c r="AG628" i="19" s="1"/>
  <c r="AD616" i="19"/>
  <c r="AF616" i="19" s="1"/>
  <c r="AG616" i="19" s="1"/>
  <c r="AD604" i="19"/>
  <c r="AF604" i="19" s="1"/>
  <c r="AG604" i="19" s="1"/>
  <c r="AD592" i="19"/>
  <c r="AF592" i="19" s="1"/>
  <c r="AG592" i="19" s="1"/>
  <c r="AD580" i="19"/>
  <c r="AF580" i="19" s="1"/>
  <c r="AG580" i="19" s="1"/>
  <c r="AD557" i="19"/>
  <c r="AF557" i="19" s="1"/>
  <c r="AG557" i="19" s="1"/>
  <c r="AD545" i="19"/>
  <c r="AF545" i="19" s="1"/>
  <c r="AG545" i="19" s="1"/>
  <c r="AD533" i="19"/>
  <c r="AF533" i="19" s="1"/>
  <c r="AG533" i="19" s="1"/>
  <c r="AD521" i="19"/>
  <c r="AF521" i="19" s="1"/>
  <c r="AG521" i="19" s="1"/>
  <c r="AD509" i="19"/>
  <c r="AF509" i="19" s="1"/>
  <c r="AG509" i="19" s="1"/>
  <c r="AD497" i="19"/>
  <c r="AF497" i="19" s="1"/>
  <c r="AG497" i="19" s="1"/>
  <c r="AD485" i="19"/>
  <c r="AF485" i="19" s="1"/>
  <c r="AG485" i="19" s="1"/>
  <c r="AD473" i="19"/>
  <c r="AF473" i="19" s="1"/>
  <c r="AG473" i="19" s="1"/>
  <c r="AD461" i="19"/>
  <c r="AF461" i="19" s="1"/>
  <c r="AG461" i="19" s="1"/>
  <c r="AD449" i="19"/>
  <c r="AF449" i="19" s="1"/>
  <c r="AG449" i="19" s="1"/>
  <c r="AD437" i="19"/>
  <c r="AF437" i="19" s="1"/>
  <c r="AG437" i="19" s="1"/>
  <c r="AD425" i="19"/>
  <c r="AF425" i="19" s="1"/>
  <c r="AG425" i="19" s="1"/>
  <c r="AD413" i="19"/>
  <c r="AF413" i="19" s="1"/>
  <c r="AG413" i="19" s="1"/>
  <c r="AD401" i="19"/>
  <c r="AF401" i="19" s="1"/>
  <c r="AG401" i="19" s="1"/>
  <c r="AD389" i="19"/>
  <c r="AF389" i="19" s="1"/>
  <c r="AG389" i="19" s="1"/>
  <c r="AD377" i="19"/>
  <c r="AF377" i="19" s="1"/>
  <c r="AG377" i="19" s="1"/>
  <c r="AD365" i="19"/>
  <c r="AF365" i="19" s="1"/>
  <c r="AG365" i="19" s="1"/>
  <c r="AD353" i="19"/>
  <c r="AF353" i="19" s="1"/>
  <c r="AG353" i="19" s="1"/>
  <c r="AD341" i="19"/>
  <c r="AF341" i="19" s="1"/>
  <c r="AG341" i="19" s="1"/>
  <c r="AD329" i="19"/>
  <c r="AF329" i="19" s="1"/>
  <c r="AG329" i="19" s="1"/>
  <c r="AD317" i="19"/>
  <c r="AF317" i="19" s="1"/>
  <c r="AG317" i="19" s="1"/>
  <c r="AD305" i="19"/>
  <c r="AF305" i="19" s="1"/>
  <c r="AG305" i="19" s="1"/>
  <c r="AD282" i="19"/>
  <c r="AF282" i="19" s="1"/>
  <c r="AG282" i="19" s="1"/>
  <c r="AD270" i="19"/>
  <c r="AF270" i="19" s="1"/>
  <c r="AG270" i="19" s="1"/>
  <c r="AD258" i="19"/>
  <c r="AF258" i="19" s="1"/>
  <c r="AG258" i="19" s="1"/>
  <c r="AD246" i="19"/>
  <c r="AF246" i="19" s="1"/>
  <c r="AG246" i="19" s="1"/>
  <c r="AD234" i="19"/>
  <c r="AF234" i="19" s="1"/>
  <c r="AG234" i="19" s="1"/>
  <c r="AD222" i="19"/>
  <c r="AF222" i="19" s="1"/>
  <c r="AG222" i="19" s="1"/>
  <c r="AD210" i="19"/>
  <c r="AF210" i="19" s="1"/>
  <c r="AG210" i="19" s="1"/>
  <c r="AD198" i="19"/>
  <c r="AF198" i="19" s="1"/>
  <c r="AG198" i="19" s="1"/>
  <c r="AD186" i="19"/>
  <c r="AF186" i="19" s="1"/>
  <c r="AG186" i="19" s="1"/>
  <c r="AD174" i="19"/>
  <c r="AF174" i="19" s="1"/>
  <c r="AG174" i="19" s="1"/>
  <c r="AD162" i="19"/>
  <c r="AF162" i="19" s="1"/>
  <c r="AG162" i="19" s="1"/>
  <c r="AD150" i="19"/>
  <c r="AF150" i="19" s="1"/>
  <c r="AG150" i="19" s="1"/>
  <c r="AD138" i="19"/>
  <c r="AF138" i="19" s="1"/>
  <c r="AG138" i="19" s="1"/>
  <c r="AD126" i="19"/>
  <c r="AF126" i="19" s="1"/>
  <c r="AG126" i="19" s="1"/>
  <c r="AD114" i="19"/>
  <c r="AF114" i="19" s="1"/>
  <c r="AG114" i="19" s="1"/>
  <c r="AD102" i="19"/>
  <c r="AF102" i="19" s="1"/>
  <c r="AG102" i="19" s="1"/>
  <c r="AD90" i="19"/>
  <c r="AF90" i="19" s="1"/>
  <c r="AG90" i="19" s="1"/>
  <c r="AD78" i="19"/>
  <c r="AF78" i="19" s="1"/>
  <c r="AG78" i="19" s="1"/>
  <c r="AD66" i="19"/>
  <c r="AF66" i="19" s="1"/>
  <c r="AG66" i="19" s="1"/>
  <c r="AD54" i="19"/>
  <c r="AF54" i="19" s="1"/>
  <c r="AG54" i="19" s="1"/>
  <c r="AD42" i="19"/>
  <c r="AF42" i="19" s="1"/>
  <c r="AG42" i="19" s="1"/>
  <c r="AD30" i="19"/>
  <c r="AF30" i="19" s="1"/>
  <c r="AG30" i="19" s="1"/>
  <c r="AD18" i="19"/>
  <c r="AF18" i="19" s="1"/>
  <c r="AG18" i="19" s="1"/>
  <c r="AD6" i="19"/>
  <c r="AF6" i="19" s="1"/>
  <c r="AG6" i="19" s="1"/>
  <c r="AD1195" i="19"/>
  <c r="AF1195" i="19" s="1"/>
  <c r="AG1195" i="19" s="1"/>
  <c r="AD1063" i="19"/>
  <c r="AF1063" i="19" s="1"/>
  <c r="AG1063" i="19" s="1"/>
  <c r="AD979" i="19"/>
  <c r="AF979" i="19" s="1"/>
  <c r="AG979" i="19" s="1"/>
  <c r="AD835" i="19"/>
  <c r="AF835" i="19" s="1"/>
  <c r="AG835" i="19" s="1"/>
  <c r="AD706" i="19"/>
  <c r="AF706" i="19" s="1"/>
  <c r="AG706" i="19" s="1"/>
  <c r="AD541" i="19"/>
  <c r="AF541" i="19" s="1"/>
  <c r="AG541" i="19" s="1"/>
  <c r="AD397" i="19"/>
  <c r="AF397" i="19" s="1"/>
  <c r="AG397" i="19" s="1"/>
  <c r="AD242" i="19"/>
  <c r="AF242" i="19" s="1"/>
  <c r="AG242" i="19" s="1"/>
  <c r="AD86" i="19"/>
  <c r="AF86" i="19" s="1"/>
  <c r="AG86" i="19" s="1"/>
  <c r="AD1285" i="19"/>
  <c r="AF1285" i="19" s="1"/>
  <c r="AG1285" i="19" s="1"/>
  <c r="AD1306" i="19"/>
  <c r="AF1306" i="19" s="1"/>
  <c r="AG1306" i="19" s="1"/>
  <c r="AD1294" i="19"/>
  <c r="AF1294" i="19" s="1"/>
  <c r="AG1294" i="19" s="1"/>
  <c r="AD1282" i="19"/>
  <c r="AF1282" i="19" s="1"/>
  <c r="AG1282" i="19" s="1"/>
  <c r="AD1270" i="19"/>
  <c r="AF1270" i="19" s="1"/>
  <c r="AG1270" i="19" s="1"/>
  <c r="AD1258" i="19"/>
  <c r="AF1258" i="19" s="1"/>
  <c r="AG1258" i="19" s="1"/>
  <c r="AD1246" i="19"/>
  <c r="AF1246" i="19" s="1"/>
  <c r="AG1246" i="19" s="1"/>
  <c r="AD1234" i="19"/>
  <c r="AF1234" i="19" s="1"/>
  <c r="AG1234" i="19" s="1"/>
  <c r="AD1222" i="19"/>
  <c r="AF1222" i="19" s="1"/>
  <c r="AG1222" i="19" s="1"/>
  <c r="AD1210" i="19"/>
  <c r="AF1210" i="19" s="1"/>
  <c r="AG1210" i="19" s="1"/>
  <c r="AD1198" i="19"/>
  <c r="AF1198" i="19" s="1"/>
  <c r="AG1198" i="19" s="1"/>
  <c r="AD1186" i="19"/>
  <c r="AF1186" i="19" s="1"/>
  <c r="AG1186" i="19" s="1"/>
  <c r="AD1174" i="19"/>
  <c r="AF1174" i="19" s="1"/>
  <c r="AG1174" i="19" s="1"/>
  <c r="AD1162" i="19"/>
  <c r="AF1162" i="19" s="1"/>
  <c r="AG1162" i="19" s="1"/>
  <c r="AD1150" i="19"/>
  <c r="AF1150" i="19" s="1"/>
  <c r="AG1150" i="19" s="1"/>
  <c r="AD1138" i="19"/>
  <c r="AF1138" i="19" s="1"/>
  <c r="AG1138" i="19" s="1"/>
  <c r="AD1126" i="19"/>
  <c r="AF1126" i="19" s="1"/>
  <c r="AG1126" i="19" s="1"/>
  <c r="AD1114" i="19"/>
  <c r="AF1114" i="19" s="1"/>
  <c r="AG1114" i="19" s="1"/>
  <c r="AD1102" i="19"/>
  <c r="AF1102" i="19" s="1"/>
  <c r="AG1102" i="19" s="1"/>
  <c r="AD1090" i="19"/>
  <c r="AF1090" i="19" s="1"/>
  <c r="AG1090" i="19" s="1"/>
  <c r="AD1078" i="19"/>
  <c r="AF1078" i="19" s="1"/>
  <c r="AG1078" i="19" s="1"/>
  <c r="AD1066" i="19"/>
  <c r="AF1066" i="19" s="1"/>
  <c r="AG1066" i="19" s="1"/>
  <c r="AD1054" i="19"/>
  <c r="AF1054" i="19" s="1"/>
  <c r="AG1054" i="19" s="1"/>
  <c r="AD1042" i="19"/>
  <c r="AF1042" i="19" s="1"/>
  <c r="AG1042" i="19" s="1"/>
  <c r="AD1030" i="19"/>
  <c r="AF1030" i="19" s="1"/>
  <c r="AG1030" i="19" s="1"/>
  <c r="AD1018" i="19"/>
  <c r="AF1018" i="19" s="1"/>
  <c r="AG1018" i="19" s="1"/>
  <c r="AD1006" i="19"/>
  <c r="AF1006" i="19" s="1"/>
  <c r="AG1006" i="19" s="1"/>
  <c r="AD994" i="19"/>
  <c r="AF994" i="19" s="1"/>
  <c r="AG994" i="19" s="1"/>
  <c r="AD982" i="19"/>
  <c r="AF982" i="19" s="1"/>
  <c r="AG982" i="19" s="1"/>
  <c r="AD970" i="19"/>
  <c r="AF970" i="19" s="1"/>
  <c r="AG970" i="19" s="1"/>
  <c r="AD958" i="19"/>
  <c r="AF958" i="19" s="1"/>
  <c r="AG958" i="19" s="1"/>
  <c r="AD946" i="19"/>
  <c r="AF946" i="19" s="1"/>
  <c r="AG946" i="19" s="1"/>
  <c r="AD934" i="19"/>
  <c r="AF934" i="19" s="1"/>
  <c r="AG934" i="19" s="1"/>
  <c r="AD922" i="19"/>
  <c r="AF922" i="19" s="1"/>
  <c r="AG922" i="19" s="1"/>
  <c r="AD910" i="19"/>
  <c r="AF910" i="19" s="1"/>
  <c r="AG910" i="19" s="1"/>
  <c r="AD898" i="19"/>
  <c r="AF898" i="19" s="1"/>
  <c r="AG898" i="19" s="1"/>
  <c r="AD886" i="19"/>
  <c r="AF886" i="19" s="1"/>
  <c r="AG886" i="19" s="1"/>
  <c r="AD874" i="19"/>
  <c r="AF874" i="19" s="1"/>
  <c r="AG874" i="19" s="1"/>
  <c r="AD862" i="19"/>
  <c r="AF862" i="19" s="1"/>
  <c r="AG862" i="19" s="1"/>
  <c r="AD850" i="19"/>
  <c r="AF850" i="19" s="1"/>
  <c r="AG850" i="19" s="1"/>
  <c r="AD838" i="19"/>
  <c r="AF838" i="19" s="1"/>
  <c r="AG838" i="19" s="1"/>
  <c r="AD826" i="19"/>
  <c r="AF826" i="19" s="1"/>
  <c r="AG826" i="19" s="1"/>
  <c r="AD814" i="19"/>
  <c r="AF814" i="19" s="1"/>
  <c r="AG814" i="19" s="1"/>
  <c r="AD802" i="19"/>
  <c r="AF802" i="19" s="1"/>
  <c r="AG802" i="19" s="1"/>
  <c r="AD791" i="19"/>
  <c r="AF791" i="19" s="1"/>
  <c r="AG791" i="19" s="1"/>
  <c r="AD779" i="19"/>
  <c r="AF779" i="19" s="1"/>
  <c r="AG779" i="19" s="1"/>
  <c r="AD768" i="19"/>
  <c r="AF768" i="19" s="1"/>
  <c r="AG768" i="19" s="1"/>
  <c r="AD756" i="19"/>
  <c r="AF756" i="19" s="1"/>
  <c r="AG756" i="19" s="1"/>
  <c r="AD744" i="19"/>
  <c r="AF744" i="19" s="1"/>
  <c r="AG744" i="19" s="1"/>
  <c r="AD732" i="19"/>
  <c r="AF732" i="19" s="1"/>
  <c r="AG732" i="19" s="1"/>
  <c r="AD720" i="19"/>
  <c r="AF720" i="19" s="1"/>
  <c r="AG720" i="19" s="1"/>
  <c r="AD709" i="19"/>
  <c r="AF709" i="19" s="1"/>
  <c r="AG709" i="19" s="1"/>
  <c r="AD697" i="19"/>
  <c r="AF697" i="19" s="1"/>
  <c r="AG697" i="19" s="1"/>
  <c r="AD685" i="19"/>
  <c r="AF685" i="19" s="1"/>
  <c r="AG685" i="19" s="1"/>
  <c r="AD673" i="19"/>
  <c r="AF673" i="19" s="1"/>
  <c r="AG673" i="19" s="1"/>
  <c r="AD662" i="19"/>
  <c r="AF662" i="19" s="1"/>
  <c r="AG662" i="19" s="1"/>
  <c r="AD650" i="19"/>
  <c r="AF650" i="19" s="1"/>
  <c r="AG650" i="19" s="1"/>
  <c r="AD639" i="19"/>
  <c r="AF639" i="19" s="1"/>
  <c r="AG639" i="19" s="1"/>
  <c r="AD627" i="19"/>
  <c r="AF627" i="19" s="1"/>
  <c r="AG627" i="19" s="1"/>
  <c r="AD615" i="19"/>
  <c r="AF615" i="19" s="1"/>
  <c r="AG615" i="19" s="1"/>
  <c r="AD603" i="19"/>
  <c r="AF603" i="19" s="1"/>
  <c r="AG603" i="19" s="1"/>
  <c r="AD591" i="19"/>
  <c r="AF591" i="19" s="1"/>
  <c r="AG591" i="19" s="1"/>
  <c r="AD579" i="19"/>
  <c r="AF579" i="19" s="1"/>
  <c r="AG579" i="19" s="1"/>
  <c r="AD568" i="19"/>
  <c r="AF568" i="19" s="1"/>
  <c r="AG568" i="19" s="1"/>
  <c r="AD556" i="19"/>
  <c r="AF556" i="19" s="1"/>
  <c r="AG556" i="19" s="1"/>
  <c r="AD544" i="19"/>
  <c r="AF544" i="19" s="1"/>
  <c r="AG544" i="19" s="1"/>
  <c r="AD532" i="19"/>
  <c r="AF532" i="19" s="1"/>
  <c r="AG532" i="19" s="1"/>
  <c r="AD520" i="19"/>
  <c r="AF520" i="19" s="1"/>
  <c r="AG520" i="19" s="1"/>
  <c r="AD508" i="19"/>
  <c r="AF508" i="19" s="1"/>
  <c r="AG508" i="19" s="1"/>
  <c r="AD496" i="19"/>
  <c r="AF496" i="19" s="1"/>
  <c r="AG496" i="19" s="1"/>
  <c r="AD484" i="19"/>
  <c r="AF484" i="19" s="1"/>
  <c r="AG484" i="19" s="1"/>
  <c r="AD472" i="19"/>
  <c r="AF472" i="19" s="1"/>
  <c r="AG472" i="19" s="1"/>
  <c r="AD460" i="19"/>
  <c r="AF460" i="19" s="1"/>
  <c r="AG460" i="19" s="1"/>
  <c r="AD448" i="19"/>
  <c r="AF448" i="19" s="1"/>
  <c r="AG448" i="19" s="1"/>
  <c r="AD436" i="19"/>
  <c r="AF436" i="19" s="1"/>
  <c r="AG436" i="19" s="1"/>
  <c r="AD424" i="19"/>
  <c r="AF424" i="19" s="1"/>
  <c r="AG424" i="19" s="1"/>
  <c r="AD412" i="19"/>
  <c r="AF412" i="19" s="1"/>
  <c r="AG412" i="19" s="1"/>
  <c r="AD400" i="19"/>
  <c r="AF400" i="19" s="1"/>
  <c r="AG400" i="19" s="1"/>
  <c r="AD388" i="19"/>
  <c r="AF388" i="19" s="1"/>
  <c r="AG388" i="19" s="1"/>
  <c r="AD376" i="19"/>
  <c r="AF376" i="19" s="1"/>
  <c r="AG376" i="19" s="1"/>
  <c r="AD364" i="19"/>
  <c r="AF364" i="19" s="1"/>
  <c r="AG364" i="19" s="1"/>
  <c r="AD352" i="19"/>
  <c r="AF352" i="19" s="1"/>
  <c r="AG352" i="19" s="1"/>
  <c r="AD340" i="19"/>
  <c r="AF340" i="19" s="1"/>
  <c r="AG340" i="19" s="1"/>
  <c r="AD328" i="19"/>
  <c r="AF328" i="19" s="1"/>
  <c r="AG328" i="19" s="1"/>
  <c r="AD316" i="19"/>
  <c r="AF316" i="19" s="1"/>
  <c r="AG316" i="19" s="1"/>
  <c r="AD304" i="19"/>
  <c r="AF304" i="19" s="1"/>
  <c r="AG304" i="19" s="1"/>
  <c r="AD281" i="19"/>
  <c r="AF281" i="19" s="1"/>
  <c r="AG281" i="19" s="1"/>
  <c r="AD269" i="19"/>
  <c r="AF269" i="19" s="1"/>
  <c r="AG269" i="19" s="1"/>
  <c r="AD257" i="19"/>
  <c r="AF257" i="19" s="1"/>
  <c r="AG257" i="19" s="1"/>
  <c r="AD245" i="19"/>
  <c r="AF245" i="19" s="1"/>
  <c r="AG245" i="19" s="1"/>
  <c r="AD233" i="19"/>
  <c r="AF233" i="19" s="1"/>
  <c r="AG233" i="19" s="1"/>
  <c r="AD221" i="19"/>
  <c r="AF221" i="19" s="1"/>
  <c r="AG221" i="19" s="1"/>
  <c r="AD209" i="19"/>
  <c r="AF209" i="19" s="1"/>
  <c r="AG209" i="19" s="1"/>
  <c r="AD197" i="19"/>
  <c r="AF197" i="19" s="1"/>
  <c r="AG197" i="19" s="1"/>
  <c r="AD185" i="19"/>
  <c r="AF185" i="19" s="1"/>
  <c r="AG185" i="19" s="1"/>
  <c r="AD173" i="19"/>
  <c r="AF173" i="19" s="1"/>
  <c r="AG173" i="19" s="1"/>
  <c r="AD161" i="19"/>
  <c r="AF161" i="19" s="1"/>
  <c r="AG161" i="19" s="1"/>
  <c r="AD149" i="19"/>
  <c r="AF149" i="19" s="1"/>
  <c r="AG149" i="19" s="1"/>
  <c r="AD137" i="19"/>
  <c r="AF137" i="19" s="1"/>
  <c r="AG137" i="19" s="1"/>
  <c r="AD125" i="19"/>
  <c r="AF125" i="19" s="1"/>
  <c r="AG125" i="19" s="1"/>
  <c r="AD113" i="19"/>
  <c r="AF113" i="19" s="1"/>
  <c r="AG113" i="19" s="1"/>
  <c r="AD101" i="19"/>
  <c r="AF101" i="19" s="1"/>
  <c r="AG101" i="19" s="1"/>
  <c r="AD89" i="19"/>
  <c r="AF89" i="19" s="1"/>
  <c r="AG89" i="19" s="1"/>
  <c r="AD77" i="19"/>
  <c r="AF77" i="19" s="1"/>
  <c r="AG77" i="19" s="1"/>
  <c r="AD65" i="19"/>
  <c r="AF65" i="19" s="1"/>
  <c r="AG65" i="19" s="1"/>
  <c r="AD53" i="19"/>
  <c r="AF53" i="19" s="1"/>
  <c r="AG53" i="19" s="1"/>
  <c r="AD41" i="19"/>
  <c r="AF41" i="19" s="1"/>
  <c r="AG41" i="19" s="1"/>
  <c r="AD29" i="19"/>
  <c r="AF29" i="19" s="1"/>
  <c r="AG29" i="19" s="1"/>
  <c r="AD17" i="19"/>
  <c r="AF17" i="19" s="1"/>
  <c r="AG17" i="19" s="1"/>
  <c r="AD1255" i="19"/>
  <c r="AF1255" i="19" s="1"/>
  <c r="AG1255" i="19" s="1"/>
  <c r="AD1111" i="19"/>
  <c r="AF1111" i="19" s="1"/>
  <c r="AG1111" i="19" s="1"/>
  <c r="AD991" i="19"/>
  <c r="AF991" i="19" s="1"/>
  <c r="AG991" i="19" s="1"/>
  <c r="AD859" i="19"/>
  <c r="AF859" i="19" s="1"/>
  <c r="AG859" i="19" s="1"/>
  <c r="AD741" i="19"/>
  <c r="AF741" i="19" s="1"/>
  <c r="AG741" i="19" s="1"/>
  <c r="AD636" i="19"/>
  <c r="AF636" i="19" s="1"/>
  <c r="AG636" i="19" s="1"/>
  <c r="AD493" i="19"/>
  <c r="AF493" i="19" s="1"/>
  <c r="AG493" i="19" s="1"/>
  <c r="AD361" i="19"/>
  <c r="AF361" i="19" s="1"/>
  <c r="AG361" i="19" s="1"/>
  <c r="AD230" i="19"/>
  <c r="AF230" i="19" s="1"/>
  <c r="AG230" i="19" s="1"/>
  <c r="AD122" i="19"/>
  <c r="AF122" i="19" s="1"/>
  <c r="AG122" i="19" s="1"/>
  <c r="AD1309" i="19"/>
  <c r="AF1309" i="19" s="1"/>
  <c r="AG1309" i="19" s="1"/>
  <c r="AD1261" i="19"/>
  <c r="AF1261" i="19" s="1"/>
  <c r="AG1261" i="19" s="1"/>
  <c r="AD1305" i="19"/>
  <c r="AF1305" i="19" s="1"/>
  <c r="AG1305" i="19" s="1"/>
  <c r="AD1293" i="19"/>
  <c r="AF1293" i="19" s="1"/>
  <c r="AG1293" i="19" s="1"/>
  <c r="AD1281" i="19"/>
  <c r="AF1281" i="19" s="1"/>
  <c r="AG1281" i="19" s="1"/>
  <c r="AD1269" i="19"/>
  <c r="AF1269" i="19" s="1"/>
  <c r="AG1269" i="19" s="1"/>
  <c r="AD1257" i="19"/>
  <c r="AF1257" i="19" s="1"/>
  <c r="AG1257" i="19" s="1"/>
  <c r="AD1245" i="19"/>
  <c r="AF1245" i="19" s="1"/>
  <c r="AG1245" i="19" s="1"/>
  <c r="AD1233" i="19"/>
  <c r="AF1233" i="19" s="1"/>
  <c r="AG1233" i="19" s="1"/>
  <c r="AD1221" i="19"/>
  <c r="AF1221" i="19" s="1"/>
  <c r="AG1221" i="19" s="1"/>
  <c r="AD1209" i="19"/>
  <c r="AF1209" i="19" s="1"/>
  <c r="AG1209" i="19" s="1"/>
  <c r="AD1197" i="19"/>
  <c r="AF1197" i="19" s="1"/>
  <c r="AG1197" i="19" s="1"/>
  <c r="AD1185" i="19"/>
  <c r="AF1185" i="19" s="1"/>
  <c r="AG1185" i="19" s="1"/>
  <c r="AD1173" i="19"/>
  <c r="AF1173" i="19" s="1"/>
  <c r="AG1173" i="19" s="1"/>
  <c r="AD1161" i="19"/>
  <c r="AF1161" i="19" s="1"/>
  <c r="AG1161" i="19" s="1"/>
  <c r="AD1149" i="19"/>
  <c r="AF1149" i="19" s="1"/>
  <c r="AG1149" i="19" s="1"/>
  <c r="AD1137" i="19"/>
  <c r="AF1137" i="19" s="1"/>
  <c r="AG1137" i="19" s="1"/>
  <c r="AD1125" i="19"/>
  <c r="AF1125" i="19" s="1"/>
  <c r="AG1125" i="19" s="1"/>
  <c r="AD1113" i="19"/>
  <c r="AF1113" i="19" s="1"/>
  <c r="AG1113" i="19" s="1"/>
  <c r="AD1101" i="19"/>
  <c r="AF1101" i="19" s="1"/>
  <c r="AG1101" i="19" s="1"/>
  <c r="AD1089" i="19"/>
  <c r="AF1089" i="19" s="1"/>
  <c r="AG1089" i="19" s="1"/>
  <c r="AD1077" i="19"/>
  <c r="AF1077" i="19" s="1"/>
  <c r="AG1077" i="19" s="1"/>
  <c r="AD1065" i="19"/>
  <c r="AF1065" i="19" s="1"/>
  <c r="AG1065" i="19" s="1"/>
  <c r="AD1053" i="19"/>
  <c r="AF1053" i="19" s="1"/>
  <c r="AG1053" i="19" s="1"/>
  <c r="AD1041" i="19"/>
  <c r="AF1041" i="19" s="1"/>
  <c r="AG1041" i="19" s="1"/>
  <c r="AD1029" i="19"/>
  <c r="AF1029" i="19" s="1"/>
  <c r="AG1029" i="19" s="1"/>
  <c r="AD1017" i="19"/>
  <c r="AF1017" i="19" s="1"/>
  <c r="AG1017" i="19" s="1"/>
  <c r="AD1005" i="19"/>
  <c r="AF1005" i="19" s="1"/>
  <c r="AG1005" i="19" s="1"/>
  <c r="AD993" i="19"/>
  <c r="AF993" i="19" s="1"/>
  <c r="AG993" i="19" s="1"/>
  <c r="AD981" i="19"/>
  <c r="AF981" i="19" s="1"/>
  <c r="AG981" i="19" s="1"/>
  <c r="AD969" i="19"/>
  <c r="AF969" i="19" s="1"/>
  <c r="AG969" i="19" s="1"/>
  <c r="AD957" i="19"/>
  <c r="AF957" i="19" s="1"/>
  <c r="AG957" i="19" s="1"/>
  <c r="AD945" i="19"/>
  <c r="AF945" i="19" s="1"/>
  <c r="AG945" i="19" s="1"/>
  <c r="AD933" i="19"/>
  <c r="AF933" i="19" s="1"/>
  <c r="AG933" i="19" s="1"/>
  <c r="AD921" i="19"/>
  <c r="AF921" i="19" s="1"/>
  <c r="AG921" i="19" s="1"/>
  <c r="AD909" i="19"/>
  <c r="AF909" i="19" s="1"/>
  <c r="AG909" i="19" s="1"/>
  <c r="AD897" i="19"/>
  <c r="AF897" i="19" s="1"/>
  <c r="AG897" i="19" s="1"/>
  <c r="AD885" i="19"/>
  <c r="AF885" i="19" s="1"/>
  <c r="AG885" i="19" s="1"/>
  <c r="AD873" i="19"/>
  <c r="AF873" i="19" s="1"/>
  <c r="AG873" i="19" s="1"/>
  <c r="AD861" i="19"/>
  <c r="AF861" i="19" s="1"/>
  <c r="AG861" i="19" s="1"/>
  <c r="AD849" i="19"/>
  <c r="AF849" i="19" s="1"/>
  <c r="AG849" i="19" s="1"/>
  <c r="AD837" i="19"/>
  <c r="AF837" i="19" s="1"/>
  <c r="AG837" i="19" s="1"/>
  <c r="AD825" i="19"/>
  <c r="AF825" i="19" s="1"/>
  <c r="AG825" i="19" s="1"/>
  <c r="AD813" i="19"/>
  <c r="AF813" i="19" s="1"/>
  <c r="AG813" i="19" s="1"/>
  <c r="AD801" i="19"/>
  <c r="AF801" i="19" s="1"/>
  <c r="AG801" i="19" s="1"/>
  <c r="AD790" i="19"/>
  <c r="AF790" i="19" s="1"/>
  <c r="AG790" i="19" s="1"/>
  <c r="AD778" i="19"/>
  <c r="AF778" i="19" s="1"/>
  <c r="AG778" i="19" s="1"/>
  <c r="AD767" i="19"/>
  <c r="AF767" i="19" s="1"/>
  <c r="AG767" i="19" s="1"/>
  <c r="AD755" i="19"/>
  <c r="AF755" i="19" s="1"/>
  <c r="AG755" i="19" s="1"/>
  <c r="AD743" i="19"/>
  <c r="AF743" i="19" s="1"/>
  <c r="AG743" i="19" s="1"/>
  <c r="AD731" i="19"/>
  <c r="AF731" i="19" s="1"/>
  <c r="AG731" i="19" s="1"/>
  <c r="AD719" i="19"/>
  <c r="AF719" i="19" s="1"/>
  <c r="AG719" i="19" s="1"/>
  <c r="AD708" i="19"/>
  <c r="AF708" i="19" s="1"/>
  <c r="AG708" i="19" s="1"/>
  <c r="AD696" i="19"/>
  <c r="AF696" i="19" s="1"/>
  <c r="AG696" i="19" s="1"/>
  <c r="AD684" i="19"/>
  <c r="AF684" i="19" s="1"/>
  <c r="AG684" i="19" s="1"/>
  <c r="AD672" i="19"/>
  <c r="AF672" i="19" s="1"/>
  <c r="AG672" i="19" s="1"/>
  <c r="AD661" i="19"/>
  <c r="AF661" i="19" s="1"/>
  <c r="AG661" i="19" s="1"/>
  <c r="AD649" i="19"/>
  <c r="AF649" i="19" s="1"/>
  <c r="AG649" i="19" s="1"/>
  <c r="AD638" i="19"/>
  <c r="AF638" i="19" s="1"/>
  <c r="AG638" i="19" s="1"/>
  <c r="AD626" i="19"/>
  <c r="AF626" i="19" s="1"/>
  <c r="AG626" i="19" s="1"/>
  <c r="AD614" i="19"/>
  <c r="AF614" i="19" s="1"/>
  <c r="AG614" i="19" s="1"/>
  <c r="AD602" i="19"/>
  <c r="AF602" i="19" s="1"/>
  <c r="AG602" i="19" s="1"/>
  <c r="AD590" i="19"/>
  <c r="AF590" i="19" s="1"/>
  <c r="AG590" i="19" s="1"/>
  <c r="AD578" i="19"/>
  <c r="AF578" i="19" s="1"/>
  <c r="AG578" i="19" s="1"/>
  <c r="AD567" i="19"/>
  <c r="AF567" i="19" s="1"/>
  <c r="AG567" i="19" s="1"/>
  <c r="AD555" i="19"/>
  <c r="AF555" i="19" s="1"/>
  <c r="AG555" i="19" s="1"/>
  <c r="AD543" i="19"/>
  <c r="AF543" i="19" s="1"/>
  <c r="AG543" i="19" s="1"/>
  <c r="AD531" i="19"/>
  <c r="AF531" i="19" s="1"/>
  <c r="AG531" i="19" s="1"/>
  <c r="AD519" i="19"/>
  <c r="AF519" i="19" s="1"/>
  <c r="AG519" i="19" s="1"/>
  <c r="AD507" i="19"/>
  <c r="AF507" i="19" s="1"/>
  <c r="AG507" i="19" s="1"/>
  <c r="AD495" i="19"/>
  <c r="AF495" i="19" s="1"/>
  <c r="AG495" i="19" s="1"/>
  <c r="AD483" i="19"/>
  <c r="AF483" i="19" s="1"/>
  <c r="AG483" i="19" s="1"/>
  <c r="AD471" i="19"/>
  <c r="AF471" i="19" s="1"/>
  <c r="AG471" i="19" s="1"/>
  <c r="AD459" i="19"/>
  <c r="AF459" i="19" s="1"/>
  <c r="AG459" i="19" s="1"/>
  <c r="AD447" i="19"/>
  <c r="AF447" i="19" s="1"/>
  <c r="AG447" i="19" s="1"/>
  <c r="AD435" i="19"/>
  <c r="AF435" i="19" s="1"/>
  <c r="AG435" i="19" s="1"/>
  <c r="AD423" i="19"/>
  <c r="AF423" i="19" s="1"/>
  <c r="AG423" i="19" s="1"/>
  <c r="AD411" i="19"/>
  <c r="AF411" i="19" s="1"/>
  <c r="AG411" i="19" s="1"/>
  <c r="AD399" i="19"/>
  <c r="AF399" i="19" s="1"/>
  <c r="AG399" i="19" s="1"/>
  <c r="AD387" i="19"/>
  <c r="AF387" i="19" s="1"/>
  <c r="AG387" i="19" s="1"/>
  <c r="AD375" i="19"/>
  <c r="AF375" i="19" s="1"/>
  <c r="AG375" i="19" s="1"/>
  <c r="AD363" i="19"/>
  <c r="AF363" i="19" s="1"/>
  <c r="AG363" i="19" s="1"/>
  <c r="AD351" i="19"/>
  <c r="AF351" i="19" s="1"/>
  <c r="AG351" i="19" s="1"/>
  <c r="AD339" i="19"/>
  <c r="AF339" i="19" s="1"/>
  <c r="AG339" i="19" s="1"/>
  <c r="AD327" i="19"/>
  <c r="AF327" i="19" s="1"/>
  <c r="AG327" i="19" s="1"/>
  <c r="AD315" i="19"/>
  <c r="AF315" i="19" s="1"/>
  <c r="AG315" i="19" s="1"/>
  <c r="AD303" i="19"/>
  <c r="AF303" i="19" s="1"/>
  <c r="AG303" i="19" s="1"/>
  <c r="AD292" i="19"/>
  <c r="AF292" i="19" s="1"/>
  <c r="AG292" i="19" s="1"/>
  <c r="AD280" i="19"/>
  <c r="AF280" i="19" s="1"/>
  <c r="AG280" i="19" s="1"/>
  <c r="AD268" i="19"/>
  <c r="AF268" i="19" s="1"/>
  <c r="AG268" i="19" s="1"/>
  <c r="AD256" i="19"/>
  <c r="AF256" i="19" s="1"/>
  <c r="AG256" i="19" s="1"/>
  <c r="AD244" i="19"/>
  <c r="AF244" i="19" s="1"/>
  <c r="AG244" i="19" s="1"/>
  <c r="AD232" i="19"/>
  <c r="AF232" i="19" s="1"/>
  <c r="AG232" i="19" s="1"/>
  <c r="AD220" i="19"/>
  <c r="AF220" i="19" s="1"/>
  <c r="AG220" i="19" s="1"/>
  <c r="AD208" i="19"/>
  <c r="AF208" i="19" s="1"/>
  <c r="AG208" i="19" s="1"/>
  <c r="AD196" i="19"/>
  <c r="AF196" i="19" s="1"/>
  <c r="AG196" i="19" s="1"/>
  <c r="AD184" i="19"/>
  <c r="AF184" i="19" s="1"/>
  <c r="AG184" i="19" s="1"/>
  <c r="AD172" i="19"/>
  <c r="AF172" i="19" s="1"/>
  <c r="AG172" i="19" s="1"/>
  <c r="AD160" i="19"/>
  <c r="AF160" i="19" s="1"/>
  <c r="AG160" i="19" s="1"/>
  <c r="AD148" i="19"/>
  <c r="AF148" i="19" s="1"/>
  <c r="AG148" i="19" s="1"/>
  <c r="AD136" i="19"/>
  <c r="AF136" i="19" s="1"/>
  <c r="AG136" i="19" s="1"/>
  <c r="AD124" i="19"/>
  <c r="AF124" i="19" s="1"/>
  <c r="AG124" i="19" s="1"/>
  <c r="AD112" i="19"/>
  <c r="AF112" i="19" s="1"/>
  <c r="AG112" i="19" s="1"/>
  <c r="AD100" i="19"/>
  <c r="AF100" i="19" s="1"/>
  <c r="AG100" i="19" s="1"/>
  <c r="AD88" i="19"/>
  <c r="AF88" i="19" s="1"/>
  <c r="AG88" i="19" s="1"/>
  <c r="AD76" i="19"/>
  <c r="AF76" i="19" s="1"/>
  <c r="AG76" i="19" s="1"/>
  <c r="AD64" i="19"/>
  <c r="AF64" i="19" s="1"/>
  <c r="AG64" i="19" s="1"/>
  <c r="AD52" i="19"/>
  <c r="AF52" i="19" s="1"/>
  <c r="AG52" i="19" s="1"/>
  <c r="AD40" i="19"/>
  <c r="AF40" i="19" s="1"/>
  <c r="AG40" i="19" s="1"/>
  <c r="AD28" i="19"/>
  <c r="AF28" i="19" s="1"/>
  <c r="AG28" i="19" s="1"/>
  <c r="AD16" i="19"/>
  <c r="AF16" i="19" s="1"/>
  <c r="AG16" i="19" s="1"/>
  <c r="AD1267" i="19"/>
  <c r="AF1267" i="19" s="1"/>
  <c r="AG1267" i="19" s="1"/>
  <c r="AD1135" i="19"/>
  <c r="AF1135" i="19" s="1"/>
  <c r="AG1135" i="19" s="1"/>
  <c r="AD1015" i="19"/>
  <c r="AF1015" i="19" s="1"/>
  <c r="AG1015" i="19" s="1"/>
  <c r="AD883" i="19"/>
  <c r="AF883" i="19" s="1"/>
  <c r="AG883" i="19" s="1"/>
  <c r="AD753" i="19"/>
  <c r="AF753" i="19" s="1"/>
  <c r="AG753" i="19" s="1"/>
  <c r="AD588" i="19"/>
  <c r="AF588" i="19" s="1"/>
  <c r="AG588" i="19" s="1"/>
  <c r="AD457" i="19"/>
  <c r="AF457" i="19" s="1"/>
  <c r="AG457" i="19" s="1"/>
  <c r="AD337" i="19"/>
  <c r="AF337" i="19" s="1"/>
  <c r="AG337" i="19" s="1"/>
  <c r="AD98" i="19"/>
  <c r="AF98" i="19" s="1"/>
  <c r="AG98" i="19" s="1"/>
  <c r="AD1249" i="19"/>
  <c r="AF1249" i="19" s="1"/>
  <c r="AG1249" i="19" s="1"/>
  <c r="AD1304" i="19"/>
  <c r="AF1304" i="19" s="1"/>
  <c r="AG1304" i="19" s="1"/>
  <c r="AD1292" i="19"/>
  <c r="AF1292" i="19" s="1"/>
  <c r="AG1292" i="19" s="1"/>
  <c r="AD1280" i="19"/>
  <c r="AF1280" i="19" s="1"/>
  <c r="AG1280" i="19" s="1"/>
  <c r="AD1268" i="19"/>
  <c r="AF1268" i="19" s="1"/>
  <c r="AG1268" i="19" s="1"/>
  <c r="AD1256" i="19"/>
  <c r="AF1256" i="19" s="1"/>
  <c r="AG1256" i="19" s="1"/>
  <c r="AD1244" i="19"/>
  <c r="AF1244" i="19" s="1"/>
  <c r="AG1244" i="19" s="1"/>
  <c r="AD1232" i="19"/>
  <c r="AF1232" i="19" s="1"/>
  <c r="AG1232" i="19" s="1"/>
  <c r="AD1220" i="19"/>
  <c r="AF1220" i="19" s="1"/>
  <c r="AG1220" i="19" s="1"/>
  <c r="AD1208" i="19"/>
  <c r="AF1208" i="19" s="1"/>
  <c r="AG1208" i="19" s="1"/>
  <c r="AD1196" i="19"/>
  <c r="AF1196" i="19" s="1"/>
  <c r="AG1196" i="19" s="1"/>
  <c r="AD1184" i="19"/>
  <c r="AF1184" i="19" s="1"/>
  <c r="AG1184" i="19" s="1"/>
  <c r="AD1172" i="19"/>
  <c r="AF1172" i="19" s="1"/>
  <c r="AG1172" i="19" s="1"/>
  <c r="AD1160" i="19"/>
  <c r="AF1160" i="19" s="1"/>
  <c r="AG1160" i="19" s="1"/>
  <c r="AD1148" i="19"/>
  <c r="AF1148" i="19" s="1"/>
  <c r="AG1148" i="19" s="1"/>
  <c r="AD1136" i="19"/>
  <c r="AF1136" i="19" s="1"/>
  <c r="AG1136" i="19" s="1"/>
  <c r="AD1124" i="19"/>
  <c r="AF1124" i="19" s="1"/>
  <c r="AG1124" i="19" s="1"/>
  <c r="AD1112" i="19"/>
  <c r="AF1112" i="19" s="1"/>
  <c r="AG1112" i="19" s="1"/>
  <c r="AD1100" i="19"/>
  <c r="AF1100" i="19" s="1"/>
  <c r="AG1100" i="19" s="1"/>
  <c r="AD1088" i="19"/>
  <c r="AF1088" i="19" s="1"/>
  <c r="AG1088" i="19" s="1"/>
  <c r="AD1076" i="19"/>
  <c r="AF1076" i="19" s="1"/>
  <c r="AG1076" i="19" s="1"/>
  <c r="AD1064" i="19"/>
  <c r="AF1064" i="19" s="1"/>
  <c r="AG1064" i="19" s="1"/>
  <c r="AD1052" i="19"/>
  <c r="AF1052" i="19" s="1"/>
  <c r="AG1052" i="19" s="1"/>
  <c r="AD1040" i="19"/>
  <c r="AF1040" i="19" s="1"/>
  <c r="AG1040" i="19" s="1"/>
  <c r="AD1028" i="19"/>
  <c r="AF1028" i="19" s="1"/>
  <c r="AG1028" i="19" s="1"/>
  <c r="AD1016" i="19"/>
  <c r="AF1016" i="19" s="1"/>
  <c r="AG1016" i="19" s="1"/>
  <c r="AD1004" i="19"/>
  <c r="AF1004" i="19" s="1"/>
  <c r="AG1004" i="19" s="1"/>
  <c r="AD992" i="19"/>
  <c r="AF992" i="19" s="1"/>
  <c r="AG992" i="19" s="1"/>
  <c r="AD980" i="19"/>
  <c r="AF980" i="19" s="1"/>
  <c r="AG980" i="19" s="1"/>
  <c r="AD968" i="19"/>
  <c r="AF968" i="19" s="1"/>
  <c r="AG968" i="19" s="1"/>
  <c r="AD956" i="19"/>
  <c r="AF956" i="19" s="1"/>
  <c r="AG956" i="19" s="1"/>
  <c r="AD944" i="19"/>
  <c r="AF944" i="19" s="1"/>
  <c r="AG944" i="19" s="1"/>
  <c r="AD932" i="19"/>
  <c r="AF932" i="19" s="1"/>
  <c r="AG932" i="19" s="1"/>
  <c r="AD920" i="19"/>
  <c r="AF920" i="19" s="1"/>
  <c r="AG920" i="19" s="1"/>
  <c r="AD908" i="19"/>
  <c r="AF908" i="19" s="1"/>
  <c r="AG908" i="19" s="1"/>
  <c r="AD896" i="19"/>
  <c r="AF896" i="19" s="1"/>
  <c r="AG896" i="19" s="1"/>
  <c r="AD884" i="19"/>
  <c r="AF884" i="19" s="1"/>
  <c r="AG884" i="19" s="1"/>
  <c r="AD872" i="19"/>
  <c r="AF872" i="19" s="1"/>
  <c r="AG872" i="19" s="1"/>
  <c r="AD860" i="19"/>
  <c r="AF860" i="19" s="1"/>
  <c r="AG860" i="19" s="1"/>
  <c r="AD848" i="19"/>
  <c r="AF848" i="19" s="1"/>
  <c r="AG848" i="19" s="1"/>
  <c r="AD836" i="19"/>
  <c r="AF836" i="19" s="1"/>
  <c r="AG836" i="19" s="1"/>
  <c r="AD824" i="19"/>
  <c r="AF824" i="19" s="1"/>
  <c r="AG824" i="19" s="1"/>
  <c r="AD812" i="19"/>
  <c r="AF812" i="19" s="1"/>
  <c r="AG812" i="19" s="1"/>
  <c r="AD800" i="19"/>
  <c r="AF800" i="19" s="1"/>
  <c r="AG800" i="19" s="1"/>
  <c r="AD789" i="19"/>
  <c r="AF789" i="19" s="1"/>
  <c r="AG789" i="19" s="1"/>
  <c r="AD777" i="19"/>
  <c r="AF777" i="19" s="1"/>
  <c r="AG777" i="19" s="1"/>
  <c r="AD766" i="19"/>
  <c r="AF766" i="19" s="1"/>
  <c r="AG766" i="19" s="1"/>
  <c r="AD754" i="19"/>
  <c r="AF754" i="19" s="1"/>
  <c r="AG754" i="19" s="1"/>
  <c r="AD742" i="19"/>
  <c r="AF742" i="19" s="1"/>
  <c r="AG742" i="19" s="1"/>
  <c r="AD730" i="19"/>
  <c r="AF730" i="19" s="1"/>
  <c r="AG730" i="19" s="1"/>
  <c r="AD718" i="19"/>
  <c r="AF718" i="19" s="1"/>
  <c r="AG718" i="19" s="1"/>
  <c r="AD707" i="19"/>
  <c r="AF707" i="19" s="1"/>
  <c r="AG707" i="19" s="1"/>
  <c r="AD695" i="19"/>
  <c r="AF695" i="19" s="1"/>
  <c r="AG695" i="19" s="1"/>
  <c r="AD683" i="19"/>
  <c r="AF683" i="19" s="1"/>
  <c r="AG683" i="19" s="1"/>
  <c r="AD671" i="19"/>
  <c r="AF671" i="19" s="1"/>
  <c r="AG671" i="19" s="1"/>
  <c r="AD660" i="19"/>
  <c r="AF660" i="19" s="1"/>
  <c r="AG660" i="19" s="1"/>
  <c r="AD637" i="19"/>
  <c r="AF637" i="19" s="1"/>
  <c r="AG637" i="19" s="1"/>
  <c r="AD625" i="19"/>
  <c r="AF625" i="19" s="1"/>
  <c r="AG625" i="19" s="1"/>
  <c r="AD613" i="19"/>
  <c r="AF613" i="19" s="1"/>
  <c r="AG613" i="19" s="1"/>
  <c r="AD601" i="19"/>
  <c r="AF601" i="19" s="1"/>
  <c r="AG601" i="19" s="1"/>
  <c r="AD589" i="19"/>
  <c r="AF589" i="19" s="1"/>
  <c r="AG589" i="19" s="1"/>
  <c r="AD577" i="19"/>
  <c r="AF577" i="19" s="1"/>
  <c r="AG577" i="19" s="1"/>
  <c r="AD566" i="19"/>
  <c r="AF566" i="19" s="1"/>
  <c r="AG566" i="19" s="1"/>
  <c r="AD554" i="19"/>
  <c r="AF554" i="19" s="1"/>
  <c r="AG554" i="19" s="1"/>
  <c r="AD542" i="19"/>
  <c r="AF542" i="19" s="1"/>
  <c r="AG542" i="19" s="1"/>
  <c r="AD530" i="19"/>
  <c r="AF530" i="19" s="1"/>
  <c r="AG530" i="19" s="1"/>
  <c r="AD518" i="19"/>
  <c r="AF518" i="19" s="1"/>
  <c r="AG518" i="19" s="1"/>
  <c r="AD506" i="19"/>
  <c r="AF506" i="19" s="1"/>
  <c r="AG506" i="19" s="1"/>
  <c r="AD494" i="19"/>
  <c r="AF494" i="19" s="1"/>
  <c r="AG494" i="19" s="1"/>
  <c r="AD482" i="19"/>
  <c r="AF482" i="19" s="1"/>
  <c r="AG482" i="19" s="1"/>
  <c r="AD470" i="19"/>
  <c r="AF470" i="19" s="1"/>
  <c r="AG470" i="19" s="1"/>
  <c r="AD458" i="19"/>
  <c r="AF458" i="19" s="1"/>
  <c r="AG458" i="19" s="1"/>
  <c r="AD446" i="19"/>
  <c r="AF446" i="19" s="1"/>
  <c r="AG446" i="19" s="1"/>
  <c r="AD434" i="19"/>
  <c r="AF434" i="19" s="1"/>
  <c r="AG434" i="19" s="1"/>
  <c r="AD422" i="19"/>
  <c r="AF422" i="19" s="1"/>
  <c r="AG422" i="19" s="1"/>
  <c r="AD410" i="19"/>
  <c r="AF410" i="19" s="1"/>
  <c r="AG410" i="19" s="1"/>
  <c r="AD398" i="19"/>
  <c r="AF398" i="19" s="1"/>
  <c r="AG398" i="19" s="1"/>
  <c r="AD386" i="19"/>
  <c r="AF386" i="19" s="1"/>
  <c r="AG386" i="19" s="1"/>
  <c r="AD374" i="19"/>
  <c r="AF374" i="19" s="1"/>
  <c r="AG374" i="19" s="1"/>
  <c r="AD362" i="19"/>
  <c r="AF362" i="19" s="1"/>
  <c r="AG362" i="19" s="1"/>
  <c r="AD350" i="19"/>
  <c r="AF350" i="19" s="1"/>
  <c r="AG350" i="19" s="1"/>
  <c r="AD338" i="19"/>
  <c r="AF338" i="19" s="1"/>
  <c r="AG338" i="19" s="1"/>
  <c r="AD326" i="19"/>
  <c r="AF326" i="19" s="1"/>
  <c r="AG326" i="19" s="1"/>
  <c r="AD314" i="19"/>
  <c r="AF314" i="19" s="1"/>
  <c r="AG314" i="19" s="1"/>
  <c r="AD302" i="19"/>
  <c r="AF302" i="19" s="1"/>
  <c r="AG302" i="19" s="1"/>
  <c r="AD291" i="19"/>
  <c r="AF291" i="19" s="1"/>
  <c r="AG291" i="19" s="1"/>
  <c r="AD279" i="19"/>
  <c r="AF279" i="19" s="1"/>
  <c r="AG279" i="19" s="1"/>
  <c r="AD267" i="19"/>
  <c r="AF267" i="19" s="1"/>
  <c r="AG267" i="19" s="1"/>
  <c r="AD255" i="19"/>
  <c r="AF255" i="19" s="1"/>
  <c r="AG255" i="19" s="1"/>
  <c r="AD243" i="19"/>
  <c r="AF243" i="19" s="1"/>
  <c r="AG243" i="19" s="1"/>
  <c r="AD231" i="19"/>
  <c r="AF231" i="19" s="1"/>
  <c r="AG231" i="19" s="1"/>
  <c r="AD219" i="19"/>
  <c r="AF219" i="19" s="1"/>
  <c r="AG219" i="19" s="1"/>
  <c r="AD207" i="19"/>
  <c r="AF207" i="19" s="1"/>
  <c r="AG207" i="19" s="1"/>
  <c r="AD195" i="19"/>
  <c r="AF195" i="19" s="1"/>
  <c r="AG195" i="19" s="1"/>
  <c r="AD183" i="19"/>
  <c r="AF183" i="19" s="1"/>
  <c r="AG183" i="19" s="1"/>
  <c r="AD171" i="19"/>
  <c r="AF171" i="19" s="1"/>
  <c r="AG171" i="19" s="1"/>
  <c r="AD159" i="19"/>
  <c r="AF159" i="19" s="1"/>
  <c r="AG159" i="19" s="1"/>
  <c r="AD147" i="19"/>
  <c r="AF147" i="19" s="1"/>
  <c r="AG147" i="19" s="1"/>
  <c r="AD135" i="19"/>
  <c r="AF135" i="19" s="1"/>
  <c r="AG135" i="19" s="1"/>
  <c r="AD123" i="19"/>
  <c r="AF123" i="19" s="1"/>
  <c r="AG123" i="19" s="1"/>
  <c r="AD111" i="19"/>
  <c r="AF111" i="19" s="1"/>
  <c r="AG111" i="19" s="1"/>
  <c r="AD99" i="19"/>
  <c r="AF99" i="19" s="1"/>
  <c r="AG99" i="19" s="1"/>
  <c r="AD87" i="19"/>
  <c r="AF87" i="19" s="1"/>
  <c r="AG87" i="19" s="1"/>
  <c r="AD75" i="19"/>
  <c r="AF75" i="19" s="1"/>
  <c r="AG75" i="19" s="1"/>
  <c r="AD63" i="19"/>
  <c r="AF63" i="19" s="1"/>
  <c r="AG63" i="19" s="1"/>
  <c r="AD51" i="19"/>
  <c r="AF51" i="19" s="1"/>
  <c r="AG51" i="19" s="1"/>
  <c r="AD39" i="19"/>
  <c r="AF39" i="19" s="1"/>
  <c r="AG39" i="19" s="1"/>
  <c r="AD27" i="19"/>
  <c r="AF27" i="19" s="1"/>
  <c r="AG27" i="19" s="1"/>
  <c r="AD15" i="19"/>
  <c r="AF15" i="19" s="1"/>
  <c r="AG15" i="19" s="1"/>
  <c r="AF793" i="19" l="1"/>
  <c r="AG793" i="19" s="1"/>
  <c r="U1" i="19"/>
  <c r="AB4" i="19" l="1"/>
  <c r="AB5" i="19"/>
  <c r="Z1" i="19" l="1"/>
  <c r="E2" i="17"/>
  <c r="AB3" i="19"/>
  <c r="AC3" i="19" s="1"/>
  <c r="AC4" i="19"/>
  <c r="AC5" i="19"/>
  <c r="AD5" i="19" l="1"/>
  <c r="AF5" i="19" s="1"/>
  <c r="AG5" i="19" s="1"/>
  <c r="AD4" i="19"/>
  <c r="AF4" i="19" s="1"/>
  <c r="AG4" i="19" s="1"/>
  <c r="AD3" i="19"/>
  <c r="AF3" i="19" s="1"/>
  <c r="E9" i="6"/>
  <c r="E8" i="6"/>
  <c r="E10" i="6" l="1"/>
  <c r="E12" i="6" s="1"/>
  <c r="AG3" i="19"/>
  <c r="AG1" i="19" s="1"/>
  <c r="AB1" i="19"/>
  <c r="AF1" i="19"/>
  <c r="G11" i="6" l="1"/>
  <c r="H11" i="6" s="1"/>
  <c r="G8" i="6"/>
  <c r="H8" i="6" s="1"/>
  <c r="G10" i="6" l="1"/>
  <c r="H10" i="6" s="1"/>
  <c r="G9" i="6" l="1"/>
  <c r="E13" i="6" l="1"/>
  <c r="H9" i="6"/>
  <c r="E14" i="6" s="1"/>
</calcChain>
</file>

<file path=xl/sharedStrings.xml><?xml version="1.0" encoding="utf-8"?>
<sst xmlns="http://schemas.openxmlformats.org/spreadsheetml/2006/main" count="20999" uniqueCount="4744">
  <si>
    <t>Platform</t>
  </si>
  <si>
    <t>NMV</t>
  </si>
  <si>
    <t>lazada</t>
  </si>
  <si>
    <t>merchant</t>
  </si>
  <si>
    <t>VND</t>
  </si>
  <si>
    <t>shopee_v2</t>
  </si>
  <si>
    <t>Revenue</t>
  </si>
  <si>
    <t>GAP</t>
  </si>
  <si>
    <t>Vat</t>
  </si>
  <si>
    <t>Subsidy (-VAT)</t>
  </si>
  <si>
    <t>Subsidy (+VAT)</t>
  </si>
  <si>
    <t xml:space="preserve"> </t>
  </si>
  <si>
    <t>Period:</t>
  </si>
  <si>
    <t>No</t>
  </si>
  <si>
    <t>Expense</t>
  </si>
  <si>
    <t>Claimback Details</t>
  </si>
  <si>
    <t>Total 
(exclude VAT)</t>
  </si>
  <si>
    <t>% VAT</t>
  </si>
  <si>
    <t>VAT Fee</t>
  </si>
  <si>
    <t xml:space="preserve">Grand total </t>
  </si>
  <si>
    <t>TIKTOK</t>
  </si>
  <si>
    <t>LAZADA</t>
  </si>
  <si>
    <t>SHOPEE</t>
  </si>
  <si>
    <t>Total value (exclude VAT)</t>
  </si>
  <si>
    <t>Thuế GTGT ( VAT)</t>
  </si>
  <si>
    <t>Total value (include VAT)</t>
  </si>
  <si>
    <t>Subsidy</t>
  </si>
  <si>
    <t>Claim back</t>
  </si>
  <si>
    <t>Phí vận hành gian hàng</t>
  </si>
  <si>
    <t>SUMMARY OF EXPENSE CLAIM-BACK FOR ZOTT</t>
  </si>
  <si>
    <t>Thời gian tạo</t>
  </si>
  <si>
    <t>Thời gian vận đơn được tạo</t>
  </si>
  <si>
    <t>Thời gian đóng gói hoàn thành</t>
  </si>
  <si>
    <t>Thời gian bàn giao</t>
  </si>
  <si>
    <t>Thời gian hoàn thành</t>
  </si>
  <si>
    <t>Nền tảng</t>
  </si>
  <si>
    <t>Loại sản phẩm</t>
  </si>
  <si>
    <t>Tên sản phẩm</t>
  </si>
  <si>
    <t>Đơn vị xử lý đơn hàng (fulfill)</t>
  </si>
  <si>
    <t>Tiền tệ</t>
  </si>
  <si>
    <t>Trạng thái</t>
  </si>
  <si>
    <t>Mã đơn hàng Omisell</t>
  </si>
  <si>
    <t>Mã đơn hàng</t>
  </si>
  <si>
    <t>Số lượng</t>
  </si>
  <si>
    <t>Số tiền hàng hoá</t>
  </si>
  <si>
    <t>Doanh thu</t>
  </si>
  <si>
    <t>Thuế GTGT</t>
  </si>
  <si>
    <t>Thời gian đối soát</t>
  </si>
  <si>
    <t>Shop</t>
  </si>
  <si>
    <t>Giao hàng thành công</t>
  </si>
  <si>
    <t>Sàn trả</t>
  </si>
  <si>
    <t>CL</t>
  </si>
  <si>
    <t>Trọng lượng</t>
  </si>
  <si>
    <t>Thể tích</t>
  </si>
  <si>
    <t>tiktok</t>
  </si>
  <si>
    <t>sku</t>
  </si>
  <si>
    <t>Mã giảm giá từ người bán</t>
  </si>
  <si>
    <t>Giảm giá từ người bán</t>
  </si>
  <si>
    <t>Mã giảm giá từ nền tảng</t>
  </si>
  <si>
    <t>Giảm giá từ nền tảng</t>
  </si>
  <si>
    <t>Giảm giá khác</t>
  </si>
  <si>
    <t>gift</t>
  </si>
  <si>
    <t>GIFT-BOBONGRO</t>
  </si>
  <si>
    <t>[HÀNG TẶNG KHÔNG BÁN] Bộ đồ chơi bóng rổ đáng yêu (hình ngẫu nhiên)</t>
  </si>
  <si>
    <t>5x3x5</t>
  </si>
  <si>
    <t>physical</t>
  </si>
  <si>
    <t>MON055GH04VAN</t>
  </si>
  <si>
    <t>Váng sữa Zott Monte vị Vani nhập khẩu từ ĐỨC, bé 6 tháng tuổi trở lên (vỉ - 55g x 4 hũ) từ Sữa tươi, KHÔNG chất bảo quản</t>
  </si>
  <si>
    <t>MNS055GC04MNG</t>
  </si>
  <si>
    <t>[Giao Hoả Tốc] Sữa chua Montinis vị Xoài nhập Đức (vỉ - 55g x 4 hũ)</t>
  </si>
  <si>
    <t>13x5x13</t>
  </si>
  <si>
    <t>MNS055GC04PLN</t>
  </si>
  <si>
    <t>[Giao Hoả Tốc] Sữa chua Montinis vị Nguyên bản nhập Đức (vỉ - 55g x 4 hũ)</t>
  </si>
  <si>
    <t>MNS055GC04APL</t>
  </si>
  <si>
    <t>[Giao Hoả Tốc] Sữa chua Montinis vị Táo nhập Đức (vỉ - 55g x 4 hũ)</t>
  </si>
  <si>
    <t>GIFT-BOMUONGNIA</t>
  </si>
  <si>
    <t>[HÀNG TẶNG KHÔNG BÁN]  Bộ muỗng nĩa dịu ngọt Monte (màu ngẫu nhiên) - HÀNG TẶNG KHÔNG BÁN</t>
  </si>
  <si>
    <t>5x2x11</t>
  </si>
  <si>
    <t>MON055GH04SCO</t>
  </si>
  <si>
    <t>Váng sữa Zott Monte vị Socola nhập khẩu từ Đức, bé 6 tháng tuổi trở lên (vỉ - 55g x 4 hũ) từ Sữa tươi, KHÔNG chất bảo quản</t>
  </si>
  <si>
    <t>MON055GH04CLA</t>
  </si>
  <si>
    <t>Váng sữa Zott Monte vị Classic nhập khẩu từ ĐỨC, bé 6 tháng tuổi trở lên (vỉ - 55g x 4 hũ) từ Sữa tươi, KHÔNG chất bảo quản</t>
  </si>
  <si>
    <t>MON055GH04CXP</t>
  </si>
  <si>
    <t>[Giao nhanh 2H] Váng sữa Zott Monte Canxi Plus nhập khẩu từ ĐỨC, bé 6 tháng tuổi trở lên (vỉ - 55g x 4 hũ) từ Sữa tươi, KHÔNG chất bảo quản</t>
  </si>
  <si>
    <t>GIFT-YEMANDAM</t>
  </si>
  <si>
    <t>[HÀNG TẶNG KHÔNG BÁN] Yếm ăn dặm cho bé</t>
  </si>
  <si>
    <t>5x2x5</t>
  </si>
  <si>
    <t>MNF055GC04STB</t>
  </si>
  <si>
    <t>[Giao Hỏa Tốc] Phô mai tươi Montinis vị Dâu nhập ĐỨC (vỉ - 55g x 4 hũ)</t>
  </si>
  <si>
    <t>10x5x15</t>
  </si>
  <si>
    <t>MNF055GC04VAN</t>
  </si>
  <si>
    <t>[Giao Hỏa Tốc] Phô mai tươi Montinis vị Vani nhập ĐỨC (vỉ - 55g x 4 hũ)</t>
  </si>
  <si>
    <t>10x10x15</t>
  </si>
  <si>
    <t>GIFT-TAPDEGMS</t>
  </si>
  <si>
    <t>[HÀNG TẶNG KHÔNG BÁN] Tạp dề vào bếp xinh xắn Zott Gourmet Slices (màu ngẫu nhiên)</t>
  </si>
  <si>
    <t>GMS200GL12BGR</t>
  </si>
  <si>
    <t>Phô mai lát Zott Gourmet Slices BURGER nhập khẩu từ Đức, phù hợp cả gia đình (1 gói 200g – 12 lát), làm từ Sữa tươi giàu Canxi, Chất đạm</t>
  </si>
  <si>
    <t>GIFT-QUYENMENU</t>
  </si>
  <si>
    <t>[HÀNG TẶNG KHÔNG BÁN] Quyển menu Phô mai lát Zott Gourmet Slices - HÀNG TẶNG KHÔNG BÁN</t>
  </si>
  <si>
    <t>9x1x9</t>
  </si>
  <si>
    <t>GMS200GL12SDW</t>
  </si>
  <si>
    <t>Phô mai lát Zott Gourmet Slices SANDWICH nhập khẩu từ Đức, phù hợp cả gia đình (1 gói 200g – 12 lát), làm từ Sữa tươi giàu Canxi, Chất đạm</t>
  </si>
  <si>
    <t>GMS200GL12TST</t>
  </si>
  <si>
    <t>Phô mai lát Zott Gourmet Slices TOAST nhập khẩu từ Đức, phù hợp cả gia đình (1 gói 200g – 12 lát), làm từ Sữa tươi giàu Canxi, Chất đạm</t>
  </si>
  <si>
    <t>MON095MC04SCO</t>
  </si>
  <si>
    <t>Váng sữa uống Zott Monte Drink vị Socola nhập khẩu từ Đức, bé 6 tháng tuổi trở lên (vỉ - 95ml x 4 chai) từ Sữa tươi, KHÔNG chất bảo quản</t>
  </si>
  <si>
    <t>GIFT-CHENANDAM</t>
  </si>
  <si>
    <t>[HÀNG TẶNG KHÔNG BÁN] Chén ăn dặm Zott Monte đáng yêu (màu ngẫu nhiên) - HÀNG TẶNG KHÔNG BÁN</t>
  </si>
  <si>
    <t>14x11x14</t>
  </si>
  <si>
    <t>MON095MC04VAN</t>
  </si>
  <si>
    <t>Váng sữa uống Zott Monte Drink vị Vani nhập khẩu từ Đức, bé 6 tháng tuổi trở lên (vỉ - 95ml x 4 chai) từ Sữa tươi, KHÔNG chất bảo quản</t>
  </si>
  <si>
    <t>Note</t>
  </si>
  <si>
    <t>GIFT-COCVUONGMIEN</t>
  </si>
  <si>
    <t>[HÀNG TẶNG KHÔNG BÁN] Cốc vương miện Zott Monte đáng yêu (màu ngẫu nhiên)</t>
  </si>
  <si>
    <t>7x5x11</t>
  </si>
  <si>
    <t>GMS200GL12MZR</t>
  </si>
  <si>
    <t>Phô mai lát Zott Gourmet Slices MOZZARELLA nhập khẩu từ Đức, phù hợp cả gia đình (1 gói 200g – 12 lát), làm từ Sữa tươi giàu Canxi, Chất đạm</t>
  </si>
  <si>
    <t>260225K8FCCABB</t>
  </si>
  <si>
    <t>260225K8AJV03Q</t>
  </si>
  <si>
    <t>2026-02-28 16:53:15</t>
  </si>
  <si>
    <t>2602097U64GD5J</t>
  </si>
  <si>
    <t>260201J2PCP562</t>
  </si>
  <si>
    <t>2026-03-31 12:24:33</t>
  </si>
  <si>
    <t>2026-03-31 12:25:38</t>
  </si>
  <si>
    <t>2026-03-31 13:33:07</t>
  </si>
  <si>
    <t>2026-03-31 14:09:43</t>
  </si>
  <si>
    <t>2026-03-31 14:27:02</t>
  </si>
  <si>
    <t>2026-03-31 17:52:04</t>
  </si>
  <si>
    <t>ODVN2603318F7BC33D</t>
  </si>
  <si>
    <t>260331JEART4VD</t>
  </si>
  <si>
    <t>2026-03-31 10:20:42</t>
  </si>
  <si>
    <t>2026-03-31 10:26:08</t>
  </si>
  <si>
    <t>2026-03-31 10:28:56</t>
  </si>
  <si>
    <t>2026-03-31 11:05:47</t>
  </si>
  <si>
    <t>2026-03-31 11:13:59</t>
  </si>
  <si>
    <t>2026-03-31 11:14:48</t>
  </si>
  <si>
    <t>ODVN2603310C876F2B</t>
  </si>
  <si>
    <t>260331J7DCVUWV</t>
  </si>
  <si>
    <t>2026-03-30 22:48:52</t>
  </si>
  <si>
    <t>2026-03-30 22:54:18</t>
  </si>
  <si>
    <t>2026-03-31 09:10:06</t>
  </si>
  <si>
    <t>2026-03-31 09:25:25</t>
  </si>
  <si>
    <t>2026-03-31 10:33:32</t>
  </si>
  <si>
    <t>2026-03-31 10:47:26</t>
  </si>
  <si>
    <t>ODVN260330E5965C46</t>
  </si>
  <si>
    <t>260330H0R9XA8V</t>
  </si>
  <si>
    <t>2026-03-30 18:45:59</t>
  </si>
  <si>
    <t>2026-03-30 22:51:13</t>
  </si>
  <si>
    <t>2026-03-31 09:04:31</t>
  </si>
  <si>
    <t>2026-03-31 10:26:21</t>
  </si>
  <si>
    <t>2026-03-31 10:44:55</t>
  </si>
  <si>
    <t>2026-03-31 21:54:20</t>
  </si>
  <si>
    <t>ODVN260330B4B89123</t>
  </si>
  <si>
    <t>260330GK601BKA</t>
  </si>
  <si>
    <t>2026-03-30 11:52:51</t>
  </si>
  <si>
    <t>2026-03-30 12:45:40</t>
  </si>
  <si>
    <t>2026-03-30 13:39:09</t>
  </si>
  <si>
    <t>2026-03-30 15:17:21</t>
  </si>
  <si>
    <t>2026-03-30 16:25:41</t>
  </si>
  <si>
    <t>2026-03-31 09:35:35</t>
  </si>
  <si>
    <t>ODVN2603309EB51C35</t>
  </si>
  <si>
    <t>260330FV398093</t>
  </si>
  <si>
    <t>2026-03-30 11:27:57</t>
  </si>
  <si>
    <t>2026-03-30 11:29:30</t>
  </si>
  <si>
    <t>2026-03-30 13:48:51</t>
  </si>
  <si>
    <t>2026-03-30 14:08:14</t>
  </si>
  <si>
    <t>2026-03-30 14:30:51</t>
  </si>
  <si>
    <t>2026-03-30 15:27:26</t>
  </si>
  <si>
    <t>ODVN26033069A3FF7C</t>
  </si>
  <si>
    <t>260330FTPRGQR6</t>
  </si>
  <si>
    <t>2026-03-30 09:33:37</t>
  </si>
  <si>
    <t>2026-03-30 09:37:01</t>
  </si>
  <si>
    <t>2026-03-30 09:37:40</t>
  </si>
  <si>
    <t>2026-03-30 10:40:20</t>
  </si>
  <si>
    <t>2026-03-30 12:22:25</t>
  </si>
  <si>
    <t>2026-03-31 09:39:09</t>
  </si>
  <si>
    <t>ODVN260330FDE0969B</t>
  </si>
  <si>
    <t>260330FMA99BAT</t>
  </si>
  <si>
    <t>2026-03-30 08:53:11</t>
  </si>
  <si>
    <t>2026-03-30 08:54:22</t>
  </si>
  <si>
    <t>2026-03-30 09:03:58</t>
  </si>
  <si>
    <t>2026-03-30 09:34:49</t>
  </si>
  <si>
    <t>2026-03-30 10:25:10</t>
  </si>
  <si>
    <t>2026-03-31 09:30:46</t>
  </si>
  <si>
    <t>ODVN260330CB3F03A4</t>
  </si>
  <si>
    <t>260330FJ1YQG72</t>
  </si>
  <si>
    <t>2026-03-30 07:46:47</t>
  </si>
  <si>
    <t>2026-03-30 07:52:02</t>
  </si>
  <si>
    <t>2026-03-30 08:54:41</t>
  </si>
  <si>
    <t>2026-03-30 09:12:14</t>
  </si>
  <si>
    <t>2026-03-30 09:58:51</t>
  </si>
  <si>
    <t>2026-03-31 20:36:04</t>
  </si>
  <si>
    <t>ODVN260330352D95CB</t>
  </si>
  <si>
    <t>260330FEB87NYJ</t>
  </si>
  <si>
    <t>2026-03-29 22:42:48</t>
  </si>
  <si>
    <t>2026-03-29 22:48:10</t>
  </si>
  <si>
    <t>2026-03-30 08:54:30</t>
  </si>
  <si>
    <t>2026-03-30 09:47:04</t>
  </si>
  <si>
    <t>2026-03-30 10:22:09</t>
  </si>
  <si>
    <t>2026-03-30 23:50:06</t>
  </si>
  <si>
    <t>ODVN260329DC12470A</t>
  </si>
  <si>
    <t>260329EFXJ7M2E</t>
  </si>
  <si>
    <t>2026-03-28 23:10:48</t>
  </si>
  <si>
    <t>2026-03-28 23:16:22</t>
  </si>
  <si>
    <t>2026-03-30 08:53:42</t>
  </si>
  <si>
    <t>2026-03-30 09:23:16</t>
  </si>
  <si>
    <t>2026-03-30 10:07:23</t>
  </si>
  <si>
    <t>2026-03-30 10:55:10</t>
  </si>
  <si>
    <t>ODVN26032888FDD9AA</t>
  </si>
  <si>
    <t>260329C112YQ1G</t>
  </si>
  <si>
    <t>2026-03-27 23:43:48</t>
  </si>
  <si>
    <t>2026-03-27 23:50:58</t>
  </si>
  <si>
    <t>2026-03-28 07:51:39</t>
  </si>
  <si>
    <t>2026-03-28 08:55:19</t>
  </si>
  <si>
    <t>2026-03-28 09:51:36</t>
  </si>
  <si>
    <t>2026-03-28 15:48:44</t>
  </si>
  <si>
    <t>ODVN260327806DF183</t>
  </si>
  <si>
    <t>2603289JDNY4D7</t>
  </si>
  <si>
    <t>2026-03-27 21:46:44</t>
  </si>
  <si>
    <t>2026-03-27 22:03:40</t>
  </si>
  <si>
    <t>2026-03-28 10:24:19</t>
  </si>
  <si>
    <t>2026-03-28 10:34:55</t>
  </si>
  <si>
    <t>2026-03-28 11:40:02</t>
  </si>
  <si>
    <t>2026-03-28 15:12:15</t>
  </si>
  <si>
    <t>ODVN2603271FA1F4BD</t>
  </si>
  <si>
    <t>2603279BVF6W9A</t>
  </si>
  <si>
    <t>2026-03-27 21:35:46</t>
  </si>
  <si>
    <t>2026-03-27 21:48:42</t>
  </si>
  <si>
    <t>2026-03-28 08:39:47</t>
  </si>
  <si>
    <t>2026-03-28 09:18:58</t>
  </si>
  <si>
    <t>2026-03-28 10:02:12</t>
  </si>
  <si>
    <t>2026-03-28 21:58:01</t>
  </si>
  <si>
    <t>ODVN260327BCB906DF</t>
  </si>
  <si>
    <t>2603279B8QU1RU</t>
  </si>
  <si>
    <t>2026-03-27 14:54:36</t>
  </si>
  <si>
    <t>2026-03-27 14:57:39</t>
  </si>
  <si>
    <t>2026-03-27 15:32:31</t>
  </si>
  <si>
    <t>2026-03-27 15:50:41</t>
  </si>
  <si>
    <t>2026-03-27 16:31:53</t>
  </si>
  <si>
    <t>2026-03-30 17:43:25</t>
  </si>
  <si>
    <t>ODVN260327B119C04F</t>
  </si>
  <si>
    <t>2603278MUGQYXR</t>
  </si>
  <si>
    <t>2026-03-27 14:27:38</t>
  </si>
  <si>
    <t>2026-03-27 14:28:46</t>
  </si>
  <si>
    <t>2026-03-27 15:32:26</t>
  </si>
  <si>
    <t>2026-03-27 16:02:06</t>
  </si>
  <si>
    <t>2026-03-27 16:21:18</t>
  </si>
  <si>
    <t>2026-03-30 17:30:37</t>
  </si>
  <si>
    <t>ODVN2603278A7E2EC8</t>
  </si>
  <si>
    <t>2603278KB9PRRF</t>
  </si>
  <si>
    <t>2026-03-27 14:18:48</t>
  </si>
  <si>
    <t>2026-03-27 14:24:16</t>
  </si>
  <si>
    <t>2026-03-27 15:32:13</t>
  </si>
  <si>
    <t>2026-03-27 15:41:36</t>
  </si>
  <si>
    <t>2026-03-27 16:10:35</t>
  </si>
  <si>
    <t>2026-03-30 17:14:59</t>
  </si>
  <si>
    <t>ODVN2603272860DA52</t>
  </si>
  <si>
    <t>2603278JUG6HAD</t>
  </si>
  <si>
    <t>2026-03-27 14:17:31</t>
  </si>
  <si>
    <t>2026-03-27 14:24:22</t>
  </si>
  <si>
    <t>2026-03-27 15:32:20</t>
  </si>
  <si>
    <t>2026-03-27 15:41:40</t>
  </si>
  <si>
    <t>2026-03-27 15:48:03</t>
  </si>
  <si>
    <t>2026-03-30 16:15:21</t>
  </si>
  <si>
    <t>ODVN2603271D5502AB</t>
  </si>
  <si>
    <t>2603278JS6TBGW</t>
  </si>
  <si>
    <t>2026-03-27 14:12:10</t>
  </si>
  <si>
    <t>2026-03-27 14:17:33</t>
  </si>
  <si>
    <t>2026-03-27 15:32:07</t>
  </si>
  <si>
    <t>2026-03-27 15:55:31</t>
  </si>
  <si>
    <t>2026-03-27 16:25:40</t>
  </si>
  <si>
    <t>2026-03-28 22:36:06</t>
  </si>
  <si>
    <t>ODVN260327D50C357E</t>
  </si>
  <si>
    <t>2603278JFKP8A8</t>
  </si>
  <si>
    <t>2026-03-27 12:01:29</t>
  </si>
  <si>
    <t>2026-03-27 12:09:22</t>
  </si>
  <si>
    <t>2026-03-27 14:07:37</t>
  </si>
  <si>
    <t>2026-03-27 14:17:30</t>
  </si>
  <si>
    <t>2026-03-27 14:47:40</t>
  </si>
  <si>
    <t>2026-03-28 10:33:34</t>
  </si>
  <si>
    <t>ODVN260327733403EE</t>
  </si>
  <si>
    <t>2603278B5XV70H</t>
  </si>
  <si>
    <t>2026-03-27 11:57:22</t>
  </si>
  <si>
    <t>2026-03-27 12:04:17</t>
  </si>
  <si>
    <t>2026-03-27 13:55:17</t>
  </si>
  <si>
    <t>2026-03-27 14:32:33</t>
  </si>
  <si>
    <t>2026-03-27 15:33:46</t>
  </si>
  <si>
    <t>2026-03-30 16:52:17</t>
  </si>
  <si>
    <t>ODVN260327388966AD</t>
  </si>
  <si>
    <t>2603278AXKBKVY</t>
  </si>
  <si>
    <t>2026-03-27 11:37:20</t>
  </si>
  <si>
    <t>2026-03-27 11:52:35</t>
  </si>
  <si>
    <t>2026-03-27 13:43:18</t>
  </si>
  <si>
    <t>2026-03-27 14:07:38</t>
  </si>
  <si>
    <t>2026-03-27 15:00:14</t>
  </si>
  <si>
    <t>2026-03-28 09:49:57</t>
  </si>
  <si>
    <t>ODVN260327780D5DBA</t>
  </si>
  <si>
    <t>26032789TN70Y7</t>
  </si>
  <si>
    <t>2026-03-27 11:35:24</t>
  </si>
  <si>
    <t>2026-03-27 11:52:43</t>
  </si>
  <si>
    <t>2026-03-27 13:40:43</t>
  </si>
  <si>
    <t>2026-03-27 14:23:24</t>
  </si>
  <si>
    <t>2026-03-27 15:08:25</t>
  </si>
  <si>
    <t>2026-03-28 09:36:06</t>
  </si>
  <si>
    <t>ODVN2603277A38A248</t>
  </si>
  <si>
    <t>26032789QAC0ET</t>
  </si>
  <si>
    <t>2026-03-27 09:59:06</t>
  </si>
  <si>
    <t>2026-03-27 10:51:00</t>
  </si>
  <si>
    <t>2026-03-27 16:35:01</t>
  </si>
  <si>
    <t>2026-03-27 17:29:17</t>
  </si>
  <si>
    <t>2026-03-27 18:07:29</t>
  </si>
  <si>
    <t>2026-03-30 19:41:49</t>
  </si>
  <si>
    <t>ODVN26032718B6E878</t>
  </si>
  <si>
    <t>26032784B41TE0</t>
  </si>
  <si>
    <t>2026-03-27 09:57:34</t>
  </si>
  <si>
    <t>2026-03-27 10:51:10</t>
  </si>
  <si>
    <t>2026-03-27 13:38:25</t>
  </si>
  <si>
    <t>2026-03-27 14:06:35</t>
  </si>
  <si>
    <t>2026-03-27 15:07:01</t>
  </si>
  <si>
    <t>2026-03-28 09:51:37</t>
  </si>
  <si>
    <t>ODVN260327A4B9C658</t>
  </si>
  <si>
    <t>260327848CAWH3</t>
  </si>
  <si>
    <t>2026-03-27 09:53:15</t>
  </si>
  <si>
    <t>2026-03-27 09:55:12</t>
  </si>
  <si>
    <t>2026-03-27 10:52:48</t>
  </si>
  <si>
    <t>2026-03-27 12:06:10</t>
  </si>
  <si>
    <t>2026-03-27 12:11:25</t>
  </si>
  <si>
    <t>2026-03-28 09:44:50</t>
  </si>
  <si>
    <t>ODVN2603277BD181B5</t>
  </si>
  <si>
    <t>260327840MBKC7</t>
  </si>
  <si>
    <t>2026-03-27 07:22:32</t>
  </si>
  <si>
    <t>2026-03-27 07:23:43</t>
  </si>
  <si>
    <t>2026-03-27 07:52:42</t>
  </si>
  <si>
    <t>2026-03-27 08:38:45</t>
  </si>
  <si>
    <t>2026-03-27 09:30:48</t>
  </si>
  <si>
    <t>2026-03-30 10:12:52</t>
  </si>
  <si>
    <t>ODVN260327F2B73EE6</t>
  </si>
  <si>
    <t>2603277UK57YSC</t>
  </si>
  <si>
    <t>2026-03-27 00:03:47</t>
  </si>
  <si>
    <t>2026-03-27 00:05:47</t>
  </si>
  <si>
    <t>2026-03-27 08:42:42</t>
  </si>
  <si>
    <t>2026-03-27 09:24:21</t>
  </si>
  <si>
    <t>2026-03-27 09:53:09</t>
  </si>
  <si>
    <t>2026-03-30 10:10:26</t>
  </si>
  <si>
    <t>ODVN2603276E945C4E</t>
  </si>
  <si>
    <t>260327732KQYB7</t>
  </si>
  <si>
    <t>2026-03-26 23:39:57</t>
  </si>
  <si>
    <t>2026-03-26 23:41:05</t>
  </si>
  <si>
    <t>2026-03-27 09:25:38</t>
  </si>
  <si>
    <t>2026-03-27 09:53:07</t>
  </si>
  <si>
    <t>2026-03-27 11:21:58</t>
  </si>
  <si>
    <t>2026-03-30 12:50:06</t>
  </si>
  <si>
    <t>ODVN260326A1D3BEBA</t>
  </si>
  <si>
    <t>26032771QV6N4D</t>
  </si>
  <si>
    <t>2026-03-26 22:48:14</t>
  </si>
  <si>
    <t>2026-03-26 23:00:09</t>
  </si>
  <si>
    <t>2026-03-27 08:42:30</t>
  </si>
  <si>
    <t>2026-03-27 09:08:08</t>
  </si>
  <si>
    <t>2026-03-27 09:50:48</t>
  </si>
  <si>
    <t>2026-03-30 10:12:50</t>
  </si>
  <si>
    <t>ODVN260326788D033A</t>
  </si>
  <si>
    <t>2603266XUGS4M0</t>
  </si>
  <si>
    <t>2026-03-26 19:41:01</t>
  </si>
  <si>
    <t>2026-03-26 19:46:51</t>
  </si>
  <si>
    <t>2026-03-27 09:25:36</t>
  </si>
  <si>
    <t>2026-03-27 09:52:15</t>
  </si>
  <si>
    <t>2026-03-27 10:06:49</t>
  </si>
  <si>
    <t>2026-03-30 00:04:55</t>
  </si>
  <si>
    <t>ODVN26032653B84A4E</t>
  </si>
  <si>
    <t>2603266MCR63F5</t>
  </si>
  <si>
    <t>2026-03-26 13:48:45</t>
  </si>
  <si>
    <t>2026-03-26 13:56:01</t>
  </si>
  <si>
    <t>2026-03-26 13:57:31</t>
  </si>
  <si>
    <t>2026-03-26 14:10:43</t>
  </si>
  <si>
    <t>2026-03-26 14:37:30</t>
  </si>
  <si>
    <t>2026-03-29 15:41:41</t>
  </si>
  <si>
    <t>ODVN26032654D974E1</t>
  </si>
  <si>
    <t>26032660PU9TXE</t>
  </si>
  <si>
    <t>2026-03-26 13:33:30</t>
  </si>
  <si>
    <t>2026-03-26 13:34:41</t>
  </si>
  <si>
    <t>2026-03-26 13:39:34</t>
  </si>
  <si>
    <t>2026-03-26 13:59:34</t>
  </si>
  <si>
    <t>2026-03-26 14:05:03</t>
  </si>
  <si>
    <t>2026-03-27 12:47:16</t>
  </si>
  <si>
    <t>ODVN260326D52289BC</t>
  </si>
  <si>
    <t>2603265YUEUK3X</t>
  </si>
  <si>
    <t>2026-03-26 13:14:44</t>
  </si>
  <si>
    <t>2026-03-26 13:15:51</t>
  </si>
  <si>
    <t>2026-03-26 13:45:39</t>
  </si>
  <si>
    <t>2026-03-26 14:11:16</t>
  </si>
  <si>
    <t>2026-03-26 15:09:24</t>
  </si>
  <si>
    <t>2026-03-28 16:47:29</t>
  </si>
  <si>
    <t>ODVN2603260454D191</t>
  </si>
  <si>
    <t>2603265XT0U3RP</t>
  </si>
  <si>
    <t>2026-03-26 12:48:33</t>
  </si>
  <si>
    <t>2026-03-26 12:53:56</t>
  </si>
  <si>
    <t>2026-03-26 13:51:14</t>
  </si>
  <si>
    <t>2026-03-26 14:01:46</t>
  </si>
  <si>
    <t>2026-03-26 14:14:47</t>
  </si>
  <si>
    <t>2026-03-26 16:02:06</t>
  </si>
  <si>
    <t>ODVN2603262AB23767</t>
  </si>
  <si>
    <t>2603265WB5NRG1</t>
  </si>
  <si>
    <t>2026-03-26 12:23:21</t>
  </si>
  <si>
    <t>2026-03-26 12:28:36</t>
  </si>
  <si>
    <t>2026-03-26 13:30:26</t>
  </si>
  <si>
    <t>2026-03-26 13:52:15</t>
  </si>
  <si>
    <t>2026-03-26 14:12:33</t>
  </si>
  <si>
    <t>2026-03-29 14:44:19</t>
  </si>
  <si>
    <t>ODVN260326AD3DA97A</t>
  </si>
  <si>
    <t>2603265UX4NP2B</t>
  </si>
  <si>
    <t>2026-03-26 12:02:53</t>
  </si>
  <si>
    <t>2026-03-26 12:04:09</t>
  </si>
  <si>
    <t>2026-03-26 15:35:21</t>
  </si>
  <si>
    <t>2026-03-26 16:19:09</t>
  </si>
  <si>
    <t>2026-03-26 17:21:29</t>
  </si>
  <si>
    <t>2026-03-29 18:12:52</t>
  </si>
  <si>
    <t>ODVN26032600AD34A2</t>
  </si>
  <si>
    <t>2603265TSHGT9V</t>
  </si>
  <si>
    <t>2026-03-26 11:53:08</t>
  </si>
  <si>
    <t>2026-03-26 11:58:27</t>
  </si>
  <si>
    <t>2026-03-26 13:08:27</t>
  </si>
  <si>
    <t>2026-03-26 14:02:55</t>
  </si>
  <si>
    <t>2026-03-26 14:16:17</t>
  </si>
  <si>
    <t>2026-03-29 15:18:59</t>
  </si>
  <si>
    <t>ODVN26032643AA661B</t>
  </si>
  <si>
    <t>2603265T7YTXG2</t>
  </si>
  <si>
    <t>2026-03-26 11:38:53</t>
  </si>
  <si>
    <t>2026-03-26 11:41:49</t>
  </si>
  <si>
    <t>2026-03-26 11:42:22</t>
  </si>
  <si>
    <t>2026-03-26 12:28:00</t>
  </si>
  <si>
    <t>2026-03-27 00:07:23</t>
  </si>
  <si>
    <t>2026-03-27 08:00:50</t>
  </si>
  <si>
    <t>ODVN2603268FF11CF8</t>
  </si>
  <si>
    <t>2603265SEM71A0</t>
  </si>
  <si>
    <t>2026-03-26 11:38:19</t>
  </si>
  <si>
    <t>2026-03-26 11:41:55</t>
  </si>
  <si>
    <t>2026-03-26 13:30:24</t>
  </si>
  <si>
    <t>2026-03-26 13:51:58</t>
  </si>
  <si>
    <t>2026-03-26 14:33:23</t>
  </si>
  <si>
    <t>2026-03-27 08:02:04</t>
  </si>
  <si>
    <t>ODVN260326ADE6EF6B</t>
  </si>
  <si>
    <t>2603265SDKT4KM</t>
  </si>
  <si>
    <t>2026-03-26 10:52:31</t>
  </si>
  <si>
    <t>2026-03-26 10:57:47</t>
  </si>
  <si>
    <t>2026-03-26 11:02:42</t>
  </si>
  <si>
    <t>2026-03-26 11:25:03</t>
  </si>
  <si>
    <t>2026-03-26 11:50:47</t>
  </si>
  <si>
    <t>2026-03-29 12:40:24</t>
  </si>
  <si>
    <t>ODVN260326B491D92C</t>
  </si>
  <si>
    <t>2603265PUQ51NH</t>
  </si>
  <si>
    <t>2026-03-25 23:24:50</t>
  </si>
  <si>
    <t>2026-03-25 23:30:04</t>
  </si>
  <si>
    <t>2026-03-26 08:34:21</t>
  </si>
  <si>
    <t>2026-03-26 08:56:44</t>
  </si>
  <si>
    <t>2026-03-26 09:26:24</t>
  </si>
  <si>
    <t>2026-03-27 19:15:38</t>
  </si>
  <si>
    <t>ODVN2603254B7105C4</t>
  </si>
  <si>
    <t>2603264GDCMQAU</t>
  </si>
  <si>
    <t>2026-03-25 23:12:00</t>
  </si>
  <si>
    <t>2026-03-25 23:17:15</t>
  </si>
  <si>
    <t>2026-03-26 08:34:34</t>
  </si>
  <si>
    <t>2026-03-26 09:09:53</t>
  </si>
  <si>
    <t>2026-03-26 10:56:30</t>
  </si>
  <si>
    <t>2026-03-26 12:28:32</t>
  </si>
  <si>
    <t>ODVN260325A1BD300D</t>
  </si>
  <si>
    <t>2603264FQ29SD9</t>
  </si>
  <si>
    <t>2026-03-25 22:58:20</t>
  </si>
  <si>
    <t>2026-03-25 23:03:36</t>
  </si>
  <si>
    <t>2026-03-26 08:40:24</t>
  </si>
  <si>
    <t>2026-03-26 10:10:05</t>
  </si>
  <si>
    <t>2026-03-26 11:08:25</t>
  </si>
  <si>
    <t>2026-03-27 00:43:23</t>
  </si>
  <si>
    <t>ODVN260325D75F3EC4</t>
  </si>
  <si>
    <t>2603254EXN7EM7</t>
  </si>
  <si>
    <t>2026-03-25 20:27:33</t>
  </si>
  <si>
    <t>2026-03-25 20:28:54</t>
  </si>
  <si>
    <t>2026-03-26 08:40:18</t>
  </si>
  <si>
    <t>2026-03-26 09:40:12</t>
  </si>
  <si>
    <t>2026-03-26 10:50:10</t>
  </si>
  <si>
    <t>2026-03-26 13:44:58</t>
  </si>
  <si>
    <t>ODVN260325E5B1E91B</t>
  </si>
  <si>
    <t>26032546H1A901</t>
  </si>
  <si>
    <t>2026-03-25 20:17:03</t>
  </si>
  <si>
    <t>2026-03-25 20:22:31</t>
  </si>
  <si>
    <t>2026-03-26 08:34:55</t>
  </si>
  <si>
    <t>2026-03-26 09:42:43</t>
  </si>
  <si>
    <t>2026-03-26 10:18:32</t>
  </si>
  <si>
    <t>2026-03-26 10:47:31</t>
  </si>
  <si>
    <t>ODVN2603252239F876</t>
  </si>
  <si>
    <t>26032545X8G1AK</t>
  </si>
  <si>
    <t>2026-03-25 19:33:17</t>
  </si>
  <si>
    <t>2026-03-25 19:38:25</t>
  </si>
  <si>
    <t>2026-03-26 08:35:07</t>
  </si>
  <si>
    <t>2026-03-26 09:35:54</t>
  </si>
  <si>
    <t>2026-03-26 09:53:21</t>
  </si>
  <si>
    <t>2026-03-29 10:53:47</t>
  </si>
  <si>
    <t>ODVN2603250178C1AF</t>
  </si>
  <si>
    <t>26032543G06GAB</t>
  </si>
  <si>
    <t>2026-03-25 15:49:17</t>
  </si>
  <si>
    <t>2026-03-25 15:54:45</t>
  </si>
  <si>
    <t>2026-03-25 16:57:30</t>
  </si>
  <si>
    <t>2026-03-26 11:47:27</t>
  </si>
  <si>
    <t>2026-03-26 12:35:48</t>
  </si>
  <si>
    <t>2026-03-29 13:53:15</t>
  </si>
  <si>
    <t>ODVN260325D67CC46B</t>
  </si>
  <si>
    <t>2603253PXTT972</t>
  </si>
  <si>
    <t>2026-03-25 15:03:45</t>
  </si>
  <si>
    <t>2026-03-25 22:04:43</t>
  </si>
  <si>
    <t>2026-03-26 08:43:41</t>
  </si>
  <si>
    <t>2026-03-26 09:51:06</t>
  </si>
  <si>
    <t>2026-03-26 10:21:19</t>
  </si>
  <si>
    <t>2026-03-26 19:23:30</t>
  </si>
  <si>
    <t>ODVN2603253A0FE118</t>
  </si>
  <si>
    <t>2603253ME1ACGX</t>
  </si>
  <si>
    <t>2026-03-25 14:38:32</t>
  </si>
  <si>
    <t>2026-03-25 14:39:45</t>
  </si>
  <si>
    <t>2026-03-25 14:54:24</t>
  </si>
  <si>
    <t>2026-03-25 15:34:55</t>
  </si>
  <si>
    <t>2026-03-25 15:58:28</t>
  </si>
  <si>
    <t>2026-03-28 16:15:31</t>
  </si>
  <si>
    <t>ODVN260325F1F2D06F</t>
  </si>
  <si>
    <t>2603253K0XDSMN</t>
  </si>
  <si>
    <t>2026-03-25 14:37:50</t>
  </si>
  <si>
    <t>2026-03-25 14:43:08</t>
  </si>
  <si>
    <t>2026-03-25 14:54:30</t>
  </si>
  <si>
    <t>2026-03-25 15:03:40</t>
  </si>
  <si>
    <t>2026-03-25 15:14:26</t>
  </si>
  <si>
    <t>2026-03-28 16:23:41</t>
  </si>
  <si>
    <t>ODVN26032536E4C0B8</t>
  </si>
  <si>
    <t>2603253JY2DK5V</t>
  </si>
  <si>
    <t>2026-03-25 14:25:17</t>
  </si>
  <si>
    <t>2026-03-25 14:30:51</t>
  </si>
  <si>
    <t>2026-03-25 14:54:18</t>
  </si>
  <si>
    <t>2026-03-25 15:09:41</t>
  </si>
  <si>
    <t>2026-03-25 15:23:06</t>
  </si>
  <si>
    <t>2026-03-28 16:07:24</t>
  </si>
  <si>
    <t>ODVN2603253B8E449F</t>
  </si>
  <si>
    <t>2603253J97ARJE</t>
  </si>
  <si>
    <t>2026-03-25 14:16:01</t>
  </si>
  <si>
    <t>2026-03-25 14:23:24</t>
  </si>
  <si>
    <t>2026-03-25 14:31:25</t>
  </si>
  <si>
    <t>2026-03-25 15:18:19</t>
  </si>
  <si>
    <t>2026-03-25 15:27:57</t>
  </si>
  <si>
    <t>2026-03-28 16:23:20</t>
  </si>
  <si>
    <t>ODVN26032576A693CD</t>
  </si>
  <si>
    <t>2603253HRN22SV</t>
  </si>
  <si>
    <t>2026-03-25 13:51:11</t>
  </si>
  <si>
    <t>2026-03-25 13:56:29</t>
  </si>
  <si>
    <t>2026-03-25 14:33:28</t>
  </si>
  <si>
    <t>2026-03-25 17:17:56</t>
  </si>
  <si>
    <t>2026-03-25 17:39:26</t>
  </si>
  <si>
    <t>2026-03-26 09:41:52</t>
  </si>
  <si>
    <t>ODVN26032559A0D33A</t>
  </si>
  <si>
    <t>2603253GC82JC3</t>
  </si>
  <si>
    <t>2026-03-25 13:45:00</t>
  </si>
  <si>
    <t>2026-03-25 13:46:16</t>
  </si>
  <si>
    <t>2026-03-25 14:31:20</t>
  </si>
  <si>
    <t>2026-03-25 15:56:04</t>
  </si>
  <si>
    <t>2026-03-25 16:32:16</t>
  </si>
  <si>
    <t>2026-03-26 09:50:46</t>
  </si>
  <si>
    <t>ODVN260325A0E57DCF</t>
  </si>
  <si>
    <t>2603253G177QVV</t>
  </si>
  <si>
    <t>2026-03-25 13:30:30</t>
  </si>
  <si>
    <t>2026-03-25 13:31:27</t>
  </si>
  <si>
    <t>2026-03-25 13:32:11</t>
  </si>
  <si>
    <t>2026-03-25 14:58:00</t>
  </si>
  <si>
    <t>2026-03-25 15:15:58</t>
  </si>
  <si>
    <t>2026-03-28 16:15:37</t>
  </si>
  <si>
    <t>ODVN260325A045AA39</t>
  </si>
  <si>
    <t>2603253F79GGQS</t>
  </si>
  <si>
    <t>2026-03-25 13:20:16</t>
  </si>
  <si>
    <t>2026-03-25 13:21:55</t>
  </si>
  <si>
    <t>2026-03-25 15:34:01</t>
  </si>
  <si>
    <t>2026-03-25 15:49:10</t>
  </si>
  <si>
    <t>2026-03-25 16:01:57</t>
  </si>
  <si>
    <t>2026-03-28 07:57:00</t>
  </si>
  <si>
    <t>ODVN260325DF8F0149</t>
  </si>
  <si>
    <t>2603253EN00GMR</t>
  </si>
  <si>
    <t>2026-03-25 13:18:54</t>
  </si>
  <si>
    <t>2026-03-25 13:21:01</t>
  </si>
  <si>
    <t>2026-03-25 13:26:53</t>
  </si>
  <si>
    <t>2026-03-25 14:21:01</t>
  </si>
  <si>
    <t>2026-03-25 14:28:48</t>
  </si>
  <si>
    <t>2026-03-28 15:43:54</t>
  </si>
  <si>
    <t>ODVN2603250682FDF5</t>
  </si>
  <si>
    <t>2603253EJGTJFR</t>
  </si>
  <si>
    <t>2026-03-25 13:15:36</t>
  </si>
  <si>
    <t>2026-03-25 13:17:14</t>
  </si>
  <si>
    <t>2026-03-25 13:30:47</t>
  </si>
  <si>
    <t>2026-03-25 14:34:05</t>
  </si>
  <si>
    <t>2026-03-25 14:52:25</t>
  </si>
  <si>
    <t>2026-03-28 01:01:58</t>
  </si>
  <si>
    <t>ODVN260325CE89FB39</t>
  </si>
  <si>
    <t>2603253ECMX1F5</t>
  </si>
  <si>
    <t>2026-03-25 12:43:54</t>
  </si>
  <si>
    <t>2026-03-25 13:14:55</t>
  </si>
  <si>
    <t>2026-03-25 13:25:57</t>
  </si>
  <si>
    <t>2026-03-25 13:46:40</t>
  </si>
  <si>
    <t>2026-03-25 13:55:51</t>
  </si>
  <si>
    <t>2026-03-26 09:39:19</t>
  </si>
  <si>
    <t>ODVN26032520F756B6</t>
  </si>
  <si>
    <t>2603253CKY2UVJ</t>
  </si>
  <si>
    <t>2026-03-25 12:22:43</t>
  </si>
  <si>
    <t>2026-03-25 12:24:03</t>
  </si>
  <si>
    <t>2026-03-25 13:11:31</t>
  </si>
  <si>
    <t>2026-03-25 14:11:09</t>
  </si>
  <si>
    <t>2026-03-25 14:28:32</t>
  </si>
  <si>
    <t>2026-03-26 09:35:17</t>
  </si>
  <si>
    <t>ODVN26032503E77F26</t>
  </si>
  <si>
    <t>2603253BDY4R9B</t>
  </si>
  <si>
    <t>2026-03-25 12:10:22</t>
  </si>
  <si>
    <t>2026-03-25 12:15:45</t>
  </si>
  <si>
    <t>2026-03-25 13:20:48</t>
  </si>
  <si>
    <t>2026-03-25 13:50:27</t>
  </si>
  <si>
    <t>2026-03-25 14:12:31</t>
  </si>
  <si>
    <t>2026-03-26 09:46:47</t>
  </si>
  <si>
    <t>ODVN2603255B340216</t>
  </si>
  <si>
    <t>2603253AQYB1PD</t>
  </si>
  <si>
    <t>2026-03-25 12:02:34</t>
  </si>
  <si>
    <t>2026-03-25 12:04:05</t>
  </si>
  <si>
    <t>2026-03-25 13:20:40</t>
  </si>
  <si>
    <t>2026-03-25 13:55:07</t>
  </si>
  <si>
    <t>2026-03-25 14:44:48</t>
  </si>
  <si>
    <t>2026-03-26 09:53:55</t>
  </si>
  <si>
    <t>ODVN2603256E03845E</t>
  </si>
  <si>
    <t>2603253AA20A0H</t>
  </si>
  <si>
    <t>2026-03-25 11:22:19</t>
  </si>
  <si>
    <t>2026-03-25 11:23:44</t>
  </si>
  <si>
    <t>2026-03-25 11:24:19</t>
  </si>
  <si>
    <t>2026-03-25 11:46:05</t>
  </si>
  <si>
    <t>2026-03-25 12:28:05</t>
  </si>
  <si>
    <t>2026-03-28 13:05:04</t>
  </si>
  <si>
    <t>ODVN2603250DA47712</t>
  </si>
  <si>
    <t>2603253822V0M5</t>
  </si>
  <si>
    <t>2026-03-25 10:41:35</t>
  </si>
  <si>
    <t>2026-03-25 10:42:59</t>
  </si>
  <si>
    <t>2026-03-25 15:33:56</t>
  </si>
  <si>
    <t>2026-03-25 16:17:12</t>
  </si>
  <si>
    <t>2026-03-25 16:29:53</t>
  </si>
  <si>
    <t>2026-03-28 17:36:27</t>
  </si>
  <si>
    <t>ODVN2603257520573B</t>
  </si>
  <si>
    <t>26032535S82N9D</t>
  </si>
  <si>
    <t>2026-03-25 09:47:52</t>
  </si>
  <si>
    <t>2026-03-25 09:49:18</t>
  </si>
  <si>
    <t>2026-03-25 09:51:54</t>
  </si>
  <si>
    <t>2026-03-25 10:53:11</t>
  </si>
  <si>
    <t>2026-03-25 11:33:27</t>
  </si>
  <si>
    <t>2026-03-26 09:59:07</t>
  </si>
  <si>
    <t>ODVN2603256980A79D</t>
  </si>
  <si>
    <t>26032532S6BC0A</t>
  </si>
  <si>
    <t>2026-03-25 09:24:53</t>
  </si>
  <si>
    <t>2026-03-25 09:26:36</t>
  </si>
  <si>
    <t>2026-03-25 09:51:25</t>
  </si>
  <si>
    <t>2026-03-25 10:31:38</t>
  </si>
  <si>
    <t>2026-03-25 11:22:39</t>
  </si>
  <si>
    <t>2026-03-26 09:59:46</t>
  </si>
  <si>
    <t>ODVN26032518917B43</t>
  </si>
  <si>
    <t>26032531G379AR</t>
  </si>
  <si>
    <t>2026-03-25 09:23:05</t>
  </si>
  <si>
    <t>2026-03-25 09:28:41</t>
  </si>
  <si>
    <t>2026-03-25 09:51:32</t>
  </si>
  <si>
    <t>2026-03-25 10:27:20</t>
  </si>
  <si>
    <t>2026-03-25 11:19:14</t>
  </si>
  <si>
    <t>2026-03-26 09:58:15</t>
  </si>
  <si>
    <t>ODVN26032504D144C2</t>
  </si>
  <si>
    <t>26032531CUB5VS</t>
  </si>
  <si>
    <t>2026-03-25 09:09:05</t>
  </si>
  <si>
    <t>2026-03-25 09:14:34</t>
  </si>
  <si>
    <t>2026-03-25 09:33:34</t>
  </si>
  <si>
    <t>2026-03-25 10:26:30</t>
  </si>
  <si>
    <t>2026-03-25 11:09:33</t>
  </si>
  <si>
    <t>2026-03-25 12:17:39</t>
  </si>
  <si>
    <t>ODVN260325BF7EC1B6</t>
  </si>
  <si>
    <t>26032530KT78C4</t>
  </si>
  <si>
    <t>2026-03-25 09:04:06</t>
  </si>
  <si>
    <t>2026-03-25 09:10:17</t>
  </si>
  <si>
    <t>2026-03-25 09:33:22</t>
  </si>
  <si>
    <t>2026-03-25 09:59:30</t>
  </si>
  <si>
    <t>2026-03-25 10:53:07</t>
  </si>
  <si>
    <t>2026-03-25 12:17:42</t>
  </si>
  <si>
    <t>ODVN260325781E4FDF</t>
  </si>
  <si>
    <t>26032530AX1JAP</t>
  </si>
  <si>
    <t>2026-03-25 08:35:23</t>
  </si>
  <si>
    <t>2026-03-25 08:40:48</t>
  </si>
  <si>
    <t>2026-03-25 09:20:52</t>
  </si>
  <si>
    <t>2026-03-25 09:40:50</t>
  </si>
  <si>
    <t>2026-03-25 10:00:09</t>
  </si>
  <si>
    <t>2026-03-28 11:23:00</t>
  </si>
  <si>
    <t>ODVN260325B2CAA8D2</t>
  </si>
  <si>
    <t>2603252XQJUCEG</t>
  </si>
  <si>
    <t>2026-03-25 08:11:55</t>
  </si>
  <si>
    <t>2026-03-25 08:12:46</t>
  </si>
  <si>
    <t>2026-03-25 08:38:02</t>
  </si>
  <si>
    <t>2026-03-25 08:48:37</t>
  </si>
  <si>
    <t>2026-03-25 09:15:40</t>
  </si>
  <si>
    <t>2026-03-28 10:04:43</t>
  </si>
  <si>
    <t>ODVN260325D4261341</t>
  </si>
  <si>
    <t>2603252WDG8CHN</t>
  </si>
  <si>
    <t>2026-03-25 07:56:37</t>
  </si>
  <si>
    <t>2026-03-25 08:01:57</t>
  </si>
  <si>
    <t>2026-03-25 08:37:57</t>
  </si>
  <si>
    <t>2026-03-25 09:13:41</t>
  </si>
  <si>
    <t>2026-03-25 09:53:14</t>
  </si>
  <si>
    <t>2026-03-26 09:42:37</t>
  </si>
  <si>
    <t>ODVN260325141064A4</t>
  </si>
  <si>
    <t>2603252VJ8MH5C</t>
  </si>
  <si>
    <t>2026-03-25 07:54:54</t>
  </si>
  <si>
    <t>2026-03-25 08:00:28</t>
  </si>
  <si>
    <t>2026-03-25 08:37:52</t>
  </si>
  <si>
    <t>2026-03-25 08:59:19</t>
  </si>
  <si>
    <t>2026-03-25 09:11:18</t>
  </si>
  <si>
    <t>2026-03-28 10:48:37</t>
  </si>
  <si>
    <t>ODVN26032571CFA27E</t>
  </si>
  <si>
    <t>2603252VF5EHEQ</t>
  </si>
  <si>
    <t>2026-03-25 07:29:08</t>
  </si>
  <si>
    <t>2026-03-25 07:34:27</t>
  </si>
  <si>
    <t>2026-03-25 08:34:56</t>
  </si>
  <si>
    <t>2026-03-25 09:44:54</t>
  </si>
  <si>
    <t>2026-03-25 11:10:07</t>
  </si>
  <si>
    <t>2026-03-28 01:01:31</t>
  </si>
  <si>
    <t>ODVN26032571695A77</t>
  </si>
  <si>
    <t>2603252U13YDYF</t>
  </si>
  <si>
    <t>2026-03-25 07:20:56</t>
  </si>
  <si>
    <t>2026-03-25 07:26:27</t>
  </si>
  <si>
    <t>2026-03-25 08:37:46</t>
  </si>
  <si>
    <t>2026-03-25 09:28:08</t>
  </si>
  <si>
    <t>2026-03-25 10:00:58</t>
  </si>
  <si>
    <t>2026-03-27 23:53:40</t>
  </si>
  <si>
    <t>ODVN2603257CCF4448</t>
  </si>
  <si>
    <t>2603252TJER7DR</t>
  </si>
  <si>
    <t>2026-03-25 06:28:51</t>
  </si>
  <si>
    <t>2026-03-25 06:34:37</t>
  </si>
  <si>
    <t>2026-03-25 08:36:10</t>
  </si>
  <si>
    <t>2026-03-25 08:50:05</t>
  </si>
  <si>
    <t>2026-03-25 10:07:23</t>
  </si>
  <si>
    <t>2026-03-25 23:59:59</t>
  </si>
  <si>
    <t>ODVN26032558CF25F3</t>
  </si>
  <si>
    <t>523586247432246</t>
  </si>
  <si>
    <t>2026-03-25 02:09:51</t>
  </si>
  <si>
    <t>2026-03-25 02:10:57</t>
  </si>
  <si>
    <t>2026-03-25 09:18:49</t>
  </si>
  <si>
    <t>2026-03-25 09:59:54</t>
  </si>
  <si>
    <t>2026-03-25 10:55:09</t>
  </si>
  <si>
    <t>2026-03-28 11:15:13</t>
  </si>
  <si>
    <t>ODVN2603253E32E1DD</t>
  </si>
  <si>
    <t>2603252965ER8H</t>
  </si>
  <si>
    <t>2026-03-25 01:11:17</t>
  </si>
  <si>
    <t>2026-03-25 01:24:06</t>
  </si>
  <si>
    <t>2026-03-25 08:37:34</t>
  </si>
  <si>
    <t>2026-03-25 09:21:44</t>
  </si>
  <si>
    <t>2026-03-25 09:48:07</t>
  </si>
  <si>
    <t>2026-03-28 10:38:51</t>
  </si>
  <si>
    <t>ODVN260325A41A4E4E</t>
  </si>
  <si>
    <t>26032525WE81KY</t>
  </si>
  <si>
    <t>2026-03-25 01:05:02</t>
  </si>
  <si>
    <t>2026-03-25 01:23:07</t>
  </si>
  <si>
    <t>2026-03-25 08:35:45</t>
  </si>
  <si>
    <t>2026-03-25 09:56:07</t>
  </si>
  <si>
    <t>2026-03-25 11:07:47</t>
  </si>
  <si>
    <t>2026-03-26 14:22:24</t>
  </si>
  <si>
    <t>ODVN260325EFC6CCB6</t>
  </si>
  <si>
    <t>26032525J9JA3K</t>
  </si>
  <si>
    <t>2026-03-25 00:55:36</t>
  </si>
  <si>
    <t>2026-03-25 01:18:23</t>
  </si>
  <si>
    <t>2026-03-25 08:35:39</t>
  </si>
  <si>
    <t>2026-03-25 13:55:09</t>
  </si>
  <si>
    <t>2026-03-25 15:30:17</t>
  </si>
  <si>
    <t>2026-03-25 23:57:06</t>
  </si>
  <si>
    <t>ODVN26032512675D21</t>
  </si>
  <si>
    <t>260325250SU8JX</t>
  </si>
  <si>
    <t>2026-03-25 00:48:26</t>
  </si>
  <si>
    <t>2026-03-25 01:01:40</t>
  </si>
  <si>
    <t>2026-03-25 08:35:21</t>
  </si>
  <si>
    <t>2026-03-25 09:48:52</t>
  </si>
  <si>
    <t>2026-03-25 10:47:21</t>
  </si>
  <si>
    <t>2026-03-25 17:12:13</t>
  </si>
  <si>
    <t>ODVN260325251AB2C5</t>
  </si>
  <si>
    <t>26032524MJTC55</t>
  </si>
  <si>
    <t>2026-03-25 00:47:33</t>
  </si>
  <si>
    <t>2026-03-25 01:31:45</t>
  </si>
  <si>
    <t>2026-03-25 08:37:39</t>
  </si>
  <si>
    <t>2026-03-25 13:44:12</t>
  </si>
  <si>
    <t>2026-03-25 14:30:30</t>
  </si>
  <si>
    <t>2026-03-25 17:12:10</t>
  </si>
  <si>
    <t>ODVN260325D4551CDA</t>
  </si>
  <si>
    <t>26032524K15KKM</t>
  </si>
  <si>
    <t>2026-03-25 00:31:11</t>
  </si>
  <si>
    <t>2026-03-25 09:14:08</t>
  </si>
  <si>
    <t>2026-03-25 09:33:29</t>
  </si>
  <si>
    <t>2026-03-25 10:08:20</t>
  </si>
  <si>
    <t>2026-03-25 10:41:30</t>
  </si>
  <si>
    <t>2026-03-28 11:15:11</t>
  </si>
  <si>
    <t>ODVN2603252B14B36C</t>
  </si>
  <si>
    <t>26032523NQPQ09</t>
  </si>
  <si>
    <t>2026-03-25 00:21:55</t>
  </si>
  <si>
    <t>2026-03-25 01:02:31</t>
  </si>
  <si>
    <t>2026-03-25 08:35:27</t>
  </si>
  <si>
    <t>2026-03-25 09:21:39</t>
  </si>
  <si>
    <t>2026-03-25 10:27:12</t>
  </si>
  <si>
    <t>2026-03-25 11:24:27</t>
  </si>
  <si>
    <t>ODVN260325D1A0DFB5</t>
  </si>
  <si>
    <t>2603252356FPXR</t>
  </si>
  <si>
    <t>2026-03-25 00:17:09</t>
  </si>
  <si>
    <t>2026-03-25 10:04:50</t>
  </si>
  <si>
    <t>2026-03-25 10:08:34</t>
  </si>
  <si>
    <t>2026-03-25 10:44:51</t>
  </si>
  <si>
    <t>2026-03-25 11:24:13</t>
  </si>
  <si>
    <t>2026-03-26 09:46:42</t>
  </si>
  <si>
    <t>ODVN260325928783E8</t>
  </si>
  <si>
    <t>26032522VMRUFG</t>
  </si>
  <si>
    <t>2026-03-25 00:05:32</t>
  </si>
  <si>
    <t>2026-03-25 08:49:57</t>
  </si>
  <si>
    <t>2026-03-25 09:20:58</t>
  </si>
  <si>
    <t>2026-03-25 10:03:36</t>
  </si>
  <si>
    <t>2026-03-25 10:40:12</t>
  </si>
  <si>
    <t>2026-03-28 11:35:47</t>
  </si>
  <si>
    <t>ODVN260325F71ED7D2</t>
  </si>
  <si>
    <t>260325227W0TFH</t>
  </si>
  <si>
    <t>2026-03-25 00:03:42</t>
  </si>
  <si>
    <t>2026-03-25 08:36:42</t>
  </si>
  <si>
    <t>2026-03-25 10:20:10</t>
  </si>
  <si>
    <t>2026-03-25 11:16:16</t>
  </si>
  <si>
    <t>2026-03-28 12:08:08</t>
  </si>
  <si>
    <t>ODVN260325F723AD37</t>
  </si>
  <si>
    <t>260325224M2ME6</t>
  </si>
  <si>
    <t>2026-03-25 00:01:31</t>
  </si>
  <si>
    <t>2026-03-25 01:02:33</t>
  </si>
  <si>
    <t>2026-03-25 09:18:43</t>
  </si>
  <si>
    <t>2026-03-25 10:58:39</t>
  </si>
  <si>
    <t>2026-03-25 11:34:25</t>
  </si>
  <si>
    <t>2026-03-28 12:08:20</t>
  </si>
  <si>
    <t>ODVN260325EBF2B50D</t>
  </si>
  <si>
    <t>260325220Q4TVJ</t>
  </si>
  <si>
    <t>2026-03-24 23:48:37</t>
  </si>
  <si>
    <t>2026-03-25 01:02:34</t>
  </si>
  <si>
    <t>2026-03-25 08:35:33</t>
  </si>
  <si>
    <t>2026-03-25 09:00:53</t>
  </si>
  <si>
    <t>2026-03-25 09:22:04</t>
  </si>
  <si>
    <t>2026-03-28 10:36:22</t>
  </si>
  <si>
    <t>ODVN26032487CB9578</t>
  </si>
  <si>
    <t>260325219115JT</t>
  </si>
  <si>
    <t>2026-03-24 23:18:45</t>
  </si>
  <si>
    <t>2026-03-24 23:26:04</t>
  </si>
  <si>
    <t>2026-03-25 08:35:16</t>
  </si>
  <si>
    <t>2026-03-25 10:21:51</t>
  </si>
  <si>
    <t>2026-03-28 11:15:10</t>
  </si>
  <si>
    <t>ODVN2603247F48F743</t>
  </si>
  <si>
    <t>2603251YM82479</t>
  </si>
  <si>
    <t>2026-03-24 21:58:40</t>
  </si>
  <si>
    <t>2026-03-24 22:03:56</t>
  </si>
  <si>
    <t>2026-03-25 08:36:26</t>
  </si>
  <si>
    <t>2026-03-25 09:41:40</t>
  </si>
  <si>
    <t>2026-03-25 10:46:51</t>
  </si>
  <si>
    <t>2026-03-26 20:57:12</t>
  </si>
  <si>
    <t>ODVN260324050F8413</t>
  </si>
  <si>
    <t>2603241U4WST6K</t>
  </si>
  <si>
    <t>2026-03-24 20:59:00</t>
  </si>
  <si>
    <t>2026-03-24 21:00:08</t>
  </si>
  <si>
    <t>2026-03-25 08:25:50</t>
  </si>
  <si>
    <t>2026-03-25 10:41:10</t>
  </si>
  <si>
    <t>2026-03-25 11:44:08</t>
  </si>
  <si>
    <t>2026-03-28 12:05:36</t>
  </si>
  <si>
    <t>ODVN260324070F5E36</t>
  </si>
  <si>
    <t>2603241QTBFN25</t>
  </si>
  <si>
    <t>2026-03-24 20:58:04</t>
  </si>
  <si>
    <t>2026-03-24 20:59:18</t>
  </si>
  <si>
    <t>2026-03-25 08:24:41</t>
  </si>
  <si>
    <t>2026-03-25 08:45:10</t>
  </si>
  <si>
    <t>2026-03-25 09:31:37</t>
  </si>
  <si>
    <t>2026-03-28 10:31:27</t>
  </si>
  <si>
    <t>ODVN260324E0E794F2</t>
  </si>
  <si>
    <t>2603241QRP134R</t>
  </si>
  <si>
    <t>2026-03-24 15:15:58</t>
  </si>
  <si>
    <t>2026-03-24 15:21:18</t>
  </si>
  <si>
    <t>2026-03-24 15:41:13</t>
  </si>
  <si>
    <t>2026-03-24 15:54:54</t>
  </si>
  <si>
    <t>2026-03-24 16:36:07</t>
  </si>
  <si>
    <t>2026-03-27 17:33:47</t>
  </si>
  <si>
    <t>ODVN260324208B565A</t>
  </si>
  <si>
    <t>26032414MX07UH</t>
  </si>
  <si>
    <t>2026-03-24 14:59:56</t>
  </si>
  <si>
    <t>2026-03-24 15:01:17</t>
  </si>
  <si>
    <t>2026-03-24 15:49:55</t>
  </si>
  <si>
    <t>2026-03-24 16:58:28</t>
  </si>
  <si>
    <t>2026-03-24 17:18:00</t>
  </si>
  <si>
    <t>2026-03-26 10:01:50</t>
  </si>
  <si>
    <t>ODVN2603248D9FACF7</t>
  </si>
  <si>
    <t>26032413QNH23R</t>
  </si>
  <si>
    <t>2026-03-24 14:03:13</t>
  </si>
  <si>
    <t>2026-03-24 14:04:31</t>
  </si>
  <si>
    <t>2026-03-24 14:26:49</t>
  </si>
  <si>
    <t>2026-03-25 14:39:11</t>
  </si>
  <si>
    <t>2026-03-25 15:07:44</t>
  </si>
  <si>
    <t>2026-03-25 23:52:32</t>
  </si>
  <si>
    <t>ODVN260324CAD30068</t>
  </si>
  <si>
    <t>26032410JV45H2</t>
  </si>
  <si>
    <t>2026-03-24 13:57:33</t>
  </si>
  <si>
    <t>2026-03-24 14:18:49</t>
  </si>
  <si>
    <t>2026-03-24 14:55:59</t>
  </si>
  <si>
    <t>2026-03-24 15:43:18</t>
  </si>
  <si>
    <t>2026-03-27 16:19:10</t>
  </si>
  <si>
    <t>ODVN260324A0F5288B</t>
  </si>
  <si>
    <t>260324108QVHGB</t>
  </si>
  <si>
    <t>2026-03-24 13:15:42</t>
  </si>
  <si>
    <t>2026-03-24 13:17:58</t>
  </si>
  <si>
    <t>2026-03-24 14:13:07</t>
  </si>
  <si>
    <t>2026-03-24 14:46:05</t>
  </si>
  <si>
    <t>2026-03-24 15:38:59</t>
  </si>
  <si>
    <t>2026-03-25 11:11:29</t>
  </si>
  <si>
    <t>ODVN26032429FDC179</t>
  </si>
  <si>
    <t>2603240WWW87KD</t>
  </si>
  <si>
    <t>2026-03-24 13:09:55</t>
  </si>
  <si>
    <t>2026-03-24 13:11:24</t>
  </si>
  <si>
    <t>2026-03-24 13:32:16</t>
  </si>
  <si>
    <t>2026-03-24 14:06:24</t>
  </si>
  <si>
    <t>2026-03-24 14:32:27</t>
  </si>
  <si>
    <t>2026-03-25 06:02:35</t>
  </si>
  <si>
    <t>ODVN260324C9447E73</t>
  </si>
  <si>
    <t>2603240WKJAK8T</t>
  </si>
  <si>
    <t>2026-03-24 10:51:19</t>
  </si>
  <si>
    <t>2026-03-24 10:55:57</t>
  </si>
  <si>
    <t>2026-03-24 10:56:59</t>
  </si>
  <si>
    <t>2026-03-24 11:11:14</t>
  </si>
  <si>
    <t>2026-03-24 11:50:18</t>
  </si>
  <si>
    <t>2026-03-27 12:28:46</t>
  </si>
  <si>
    <t>ODVN260324EA1684F7</t>
  </si>
  <si>
    <t>2603240NUQJ606</t>
  </si>
  <si>
    <t>2026-03-24 10:47:28</t>
  </si>
  <si>
    <t>2026-03-24 10:51:02</t>
  </si>
  <si>
    <t>2026-03-24 14:09:01</t>
  </si>
  <si>
    <t>2026-03-24 14:39:31</t>
  </si>
  <si>
    <t>2026-03-24 14:58:04</t>
  </si>
  <si>
    <t>2026-03-27 15:09:40</t>
  </si>
  <si>
    <t>ODVN260324B21705B4</t>
  </si>
  <si>
    <t>2603240NMU77PK</t>
  </si>
  <si>
    <t>2026-03-24 10:28:32</t>
  </si>
  <si>
    <t>2026-03-24 10:29:48</t>
  </si>
  <si>
    <t>2026-03-24 14:08:56</t>
  </si>
  <si>
    <t>2026-03-24 14:32:51</t>
  </si>
  <si>
    <t>2026-03-24 14:58:37</t>
  </si>
  <si>
    <t>2026-03-27 15:09:25</t>
  </si>
  <si>
    <t>ODVN26032495B5B5DB</t>
  </si>
  <si>
    <t>2603240MJYTXBB</t>
  </si>
  <si>
    <t>2026-03-24 10:27:51</t>
  </si>
  <si>
    <t>2026-03-24 10:29:07</t>
  </si>
  <si>
    <t>2026-03-24 14:08:50</t>
  </si>
  <si>
    <t>2026-03-24 14:32:25</t>
  </si>
  <si>
    <t>2026-03-24 14:58:05</t>
  </si>
  <si>
    <t>2026-03-27 15:39:04</t>
  </si>
  <si>
    <t>ODVN260324A69B1B44</t>
  </si>
  <si>
    <t>2603240MHRQYRY</t>
  </si>
  <si>
    <t>2026-03-24 09:31:23</t>
  </si>
  <si>
    <t>2026-03-24 09:34:48</t>
  </si>
  <si>
    <t>2026-03-24 09:57:49</t>
  </si>
  <si>
    <t>2026-03-24 10:36:35</t>
  </si>
  <si>
    <t>2026-03-24 10:41:13</t>
  </si>
  <si>
    <t>2026-03-27 11:23:02</t>
  </si>
  <si>
    <t>ODVN2603248183D3DB</t>
  </si>
  <si>
    <t>2603240HCNW6UM</t>
  </si>
  <si>
    <t>2026-03-24 09:26:40</t>
  </si>
  <si>
    <t>2026-03-24 09:31:50</t>
  </si>
  <si>
    <t>2026-03-24 09:57:34</t>
  </si>
  <si>
    <t>2026-03-24 10:18:38</t>
  </si>
  <si>
    <t>2026-03-24 10:48:25</t>
  </si>
  <si>
    <t>2026-03-25 11:16:43</t>
  </si>
  <si>
    <t>ODVN260324BD163756</t>
  </si>
  <si>
    <t>2603240H4AU317</t>
  </si>
  <si>
    <t>2026-03-24 09:02:56</t>
  </si>
  <si>
    <t>2026-03-24 09:10:20</t>
  </si>
  <si>
    <t>2026-03-24 09:19:33</t>
  </si>
  <si>
    <t>2026-03-24 09:57:52</t>
  </si>
  <si>
    <t>2026-03-24 10:41:24</t>
  </si>
  <si>
    <t>2026-03-27 11:33:46</t>
  </si>
  <si>
    <t>ODVN260324E9F1A056</t>
  </si>
  <si>
    <t>2603240FSVVCER</t>
  </si>
  <si>
    <t>2026-03-24 08:41:55</t>
  </si>
  <si>
    <t>2026-03-24 08:47:26</t>
  </si>
  <si>
    <t>2026-03-24 09:54:14</t>
  </si>
  <si>
    <t>2026-03-24 10:03:39</t>
  </si>
  <si>
    <t>2026-03-24 10:30:07</t>
  </si>
  <si>
    <t>ODVN26032466E6A8A3</t>
  </si>
  <si>
    <t>2603240EMB83N8</t>
  </si>
  <si>
    <t>2026-03-24 05:33:05</t>
  </si>
  <si>
    <t>2026-03-24 05:38:16</t>
  </si>
  <si>
    <t>2026-03-24 08:40:53</t>
  </si>
  <si>
    <t>2026-03-24 08:59:20</t>
  </si>
  <si>
    <t>2026-03-24 09:40:08</t>
  </si>
  <si>
    <t>2026-03-27 10:36:31</t>
  </si>
  <si>
    <t>ODVN260324ECF1B5BD</t>
  </si>
  <si>
    <t>260324042P2HV2</t>
  </si>
  <si>
    <t>2026-03-24 01:09:37</t>
  </si>
  <si>
    <t>2026-03-24 01:16:45</t>
  </si>
  <si>
    <t>2026-03-24 08:40:48</t>
  </si>
  <si>
    <t>2026-03-24 08:58:32</t>
  </si>
  <si>
    <t>2026-03-24 09:28:46</t>
  </si>
  <si>
    <t>2026-03-27 10:29:25</t>
  </si>
  <si>
    <t>ODVN260324F6DC6DEE</t>
  </si>
  <si>
    <t>260324VRNVPDF3</t>
  </si>
  <si>
    <t>2026-03-23 22:04:54</t>
  </si>
  <si>
    <t>2026-03-23 22:06:05</t>
  </si>
  <si>
    <t>2026-03-24 08:29:51</t>
  </si>
  <si>
    <t>2026-03-24 08:52:49</t>
  </si>
  <si>
    <t>2026-03-24 09:11:34</t>
  </si>
  <si>
    <t>2026-03-24 12:28:37</t>
  </si>
  <si>
    <t>ODVN260323D0FFD746</t>
  </si>
  <si>
    <t>260323VEBJ7FU0</t>
  </si>
  <si>
    <t>2026-03-23 20:48:40</t>
  </si>
  <si>
    <t>2026-03-23 21:00:15</t>
  </si>
  <si>
    <t>2026-03-24 07:49:21</t>
  </si>
  <si>
    <t>2026-03-24 08:51:59</t>
  </si>
  <si>
    <t>2026-03-24 09:25:04</t>
  </si>
  <si>
    <t>2026-03-24 18:48:38</t>
  </si>
  <si>
    <t>ODVN260323D06613BF</t>
  </si>
  <si>
    <t>260323VA3916P3</t>
  </si>
  <si>
    <t>2026-03-23 14:30:58</t>
  </si>
  <si>
    <t>2026-03-23 14:37:23</t>
  </si>
  <si>
    <t>2026-03-23 14:40:59</t>
  </si>
  <si>
    <t>2026-03-23 15:45:21</t>
  </si>
  <si>
    <t>2026-03-23 15:49:11</t>
  </si>
  <si>
    <t>2026-03-23 15:53:14</t>
  </si>
  <si>
    <t>ODVN2603232F46C830</t>
  </si>
  <si>
    <t>260323UMYVW613</t>
  </si>
  <si>
    <t>2026-03-23 14:01:02</t>
  </si>
  <si>
    <t>2026-03-23 14:02:15</t>
  </si>
  <si>
    <t>2026-03-23 16:50:18</t>
  </si>
  <si>
    <t>2026-03-24 09:55:51</t>
  </si>
  <si>
    <t>2026-03-24 11:25:37</t>
  </si>
  <si>
    <t>2026-03-27 12:30:58</t>
  </si>
  <si>
    <t>ODVN26032335AEDE48</t>
  </si>
  <si>
    <t>260323UKAC1BXF</t>
  </si>
  <si>
    <t>2026-03-23 12:51:56</t>
  </si>
  <si>
    <t>2026-03-23 12:57:20</t>
  </si>
  <si>
    <t>2026-03-23 13:22:02</t>
  </si>
  <si>
    <t>2026-03-23 13:49:46</t>
  </si>
  <si>
    <t>2026-03-23 14:45:21</t>
  </si>
  <si>
    <t>2026-03-26 15:47:26</t>
  </si>
  <si>
    <t>ODVN26032356F4AF2E</t>
  </si>
  <si>
    <t>260323UFET5WKF</t>
  </si>
  <si>
    <t>2026-03-23 10:59:19</t>
  </si>
  <si>
    <t>2026-03-23 11:04:56</t>
  </si>
  <si>
    <t>2026-03-23 11:06:28</t>
  </si>
  <si>
    <t>2026-03-23 11:42:38</t>
  </si>
  <si>
    <t>2026-03-23 12:03:31</t>
  </si>
  <si>
    <t>2026-03-24 10:08:24</t>
  </si>
  <si>
    <t>ODVN2603237C1FDA1B</t>
  </si>
  <si>
    <t>260323U95ABDQH</t>
  </si>
  <si>
    <t>2026-03-23 10:45:35</t>
  </si>
  <si>
    <t>2026-03-23 10:46:47</t>
  </si>
  <si>
    <t>2026-03-23 10:51:23</t>
  </si>
  <si>
    <t>2026-03-23 14:45:01</t>
  </si>
  <si>
    <t>2026-03-23 15:20:21</t>
  </si>
  <si>
    <t>2026-03-23 16:02:06</t>
  </si>
  <si>
    <t>ODVN2603237688CA07</t>
  </si>
  <si>
    <t>260323U8CVAMY0</t>
  </si>
  <si>
    <t>2026-03-23 10:27:33</t>
  </si>
  <si>
    <t>2026-03-23 10:35:18</t>
  </si>
  <si>
    <t>2026-03-23 13:21:57</t>
  </si>
  <si>
    <t>2026-03-23 14:23:24</t>
  </si>
  <si>
    <t>2026-03-23 15:23:46</t>
  </si>
  <si>
    <t>2026-03-26 16:06:35</t>
  </si>
  <si>
    <t>ODVN2603234D4F0C68</t>
  </si>
  <si>
    <t>260323U7CKHFCA</t>
  </si>
  <si>
    <t>2026-03-23 09:32:03</t>
  </si>
  <si>
    <t>2026-03-23 09:33:20</t>
  </si>
  <si>
    <t>2026-03-23 09:38:34</t>
  </si>
  <si>
    <t>2026-03-23 11:54:03</t>
  </si>
  <si>
    <t>2026-03-23 12:37:30</t>
  </si>
  <si>
    <t>2026-03-23 14:21:16</t>
  </si>
  <si>
    <t>ODVN26032343D6646D</t>
  </si>
  <si>
    <t>260323U48RR7GX</t>
  </si>
  <si>
    <t>2026-03-23 09:18:25</t>
  </si>
  <si>
    <t>2026-03-23 09:18:53</t>
  </si>
  <si>
    <t>2026-03-23 09:29:17</t>
  </si>
  <si>
    <t>2026-03-23 09:45:31</t>
  </si>
  <si>
    <t>2026-03-23 10:02:47</t>
  </si>
  <si>
    <t>2026-03-23 10:19:37</t>
  </si>
  <si>
    <t>ODVN2603231AC521CF</t>
  </si>
  <si>
    <t>260323U3GYMDTY</t>
  </si>
  <si>
    <t>2026-03-23 06:54:35</t>
  </si>
  <si>
    <t>2026-03-23 09:38:20</t>
  </si>
  <si>
    <t>2026-03-23 09:47:38</t>
  </si>
  <si>
    <t>2026-03-23 10:07:52</t>
  </si>
  <si>
    <t>2026-03-23 11:19:17</t>
  </si>
  <si>
    <t>2026-03-23 14:31:25</t>
  </si>
  <si>
    <t>ODVN260323B5F2FAA8</t>
  </si>
  <si>
    <t>260323TUFPK7R4</t>
  </si>
  <si>
    <t>2026-03-23 00:39:27</t>
  </si>
  <si>
    <t>2026-03-23 09:38:07</t>
  </si>
  <si>
    <t>2026-03-23 09:57:07</t>
  </si>
  <si>
    <t>2026-03-23 14:31:58</t>
  </si>
  <si>
    <t>2026-03-23 16:18:17</t>
  </si>
  <si>
    <t>2026-03-26 17:37:25</t>
  </si>
  <si>
    <t>ODVN260323823E6D2C</t>
  </si>
  <si>
    <t>260323T6H12W77</t>
  </si>
  <si>
    <t>2026-03-23 00:18:18</t>
  </si>
  <si>
    <t>2026-03-23 09:38:54</t>
  </si>
  <si>
    <t>2026-03-23 09:58:14</t>
  </si>
  <si>
    <t>2026-03-23 14:42:33</t>
  </si>
  <si>
    <t>2026-03-23 15:18:13</t>
  </si>
  <si>
    <t>2026-03-24 08:14:08</t>
  </si>
  <si>
    <t>ODVN260323DD1BB8AE</t>
  </si>
  <si>
    <t>260323T5B6VHF9</t>
  </si>
  <si>
    <t>2026-03-23 00:16:58</t>
  </si>
  <si>
    <t>2026-03-23 09:38:10</t>
  </si>
  <si>
    <t>2026-03-23 09:57:13</t>
  </si>
  <si>
    <t>2026-03-23 13:43:09</t>
  </si>
  <si>
    <t>2026-03-23 14:44:57</t>
  </si>
  <si>
    <t>2026-03-24 07:59:39</t>
  </si>
  <si>
    <t>ODVN2603231B3FBAC0</t>
  </si>
  <si>
    <t>260323T58TME8F</t>
  </si>
  <si>
    <t>2026-03-23 00:15:30</t>
  </si>
  <si>
    <t>2026-03-23 09:38:18</t>
  </si>
  <si>
    <t>2026-03-23 09:57:47</t>
  </si>
  <si>
    <t>2026-03-23 14:41:56</t>
  </si>
  <si>
    <t>2026-03-23 15:17:50</t>
  </si>
  <si>
    <t>2026-03-24 07:59:46</t>
  </si>
  <si>
    <t>ODVN2603232AD4EEF4</t>
  </si>
  <si>
    <t>260323T55JPPN0</t>
  </si>
  <si>
    <t>2026-03-23 00:13:42</t>
  </si>
  <si>
    <t>2026-03-23 09:38:11</t>
  </si>
  <si>
    <t>2026-03-23 09:57:18</t>
  </si>
  <si>
    <t>2026-03-23 14:42:17</t>
  </si>
  <si>
    <t>2026-03-23 15:18:02</t>
  </si>
  <si>
    <t>2026-03-24 08:05:05</t>
  </si>
  <si>
    <t>ODVN26032384B3A781</t>
  </si>
  <si>
    <t>260323T52BPMKR</t>
  </si>
  <si>
    <t>2026-03-23 00:12:24</t>
  </si>
  <si>
    <t>2026-03-23 09:38:19</t>
  </si>
  <si>
    <t>2026-03-23 09:57:52</t>
  </si>
  <si>
    <t>2026-03-23 13:43:27</t>
  </si>
  <si>
    <t>2026-03-23 14:45:22</t>
  </si>
  <si>
    <t>2026-03-24 07:59:37</t>
  </si>
  <si>
    <t>ODVN2603235D361958</t>
  </si>
  <si>
    <t>260323T50MCH8M</t>
  </si>
  <si>
    <t>2026-03-22 23:44:33</t>
  </si>
  <si>
    <t>2026-03-23 10:13:57</t>
  </si>
  <si>
    <t>2026-03-23 11:02:57</t>
  </si>
  <si>
    <t>2026-03-23 11:22:48</t>
  </si>
  <si>
    <t>2026-03-24 09:51:30</t>
  </si>
  <si>
    <t>ODVN260323D04F75D2</t>
  </si>
  <si>
    <t>260323T3EUQPV8</t>
  </si>
  <si>
    <t>2026-03-22 23:42:20</t>
  </si>
  <si>
    <t>2026-03-23 09:57:35</t>
  </si>
  <si>
    <t>2026-03-23 11:05:13</t>
  </si>
  <si>
    <t>2026-03-23 12:33:49</t>
  </si>
  <si>
    <t>2026-03-26 13:13:47</t>
  </si>
  <si>
    <t>ODVN260323366EE8DF</t>
  </si>
  <si>
    <t>260323T3A8VREW</t>
  </si>
  <si>
    <t>2026-03-22 22:18:58</t>
  </si>
  <si>
    <t>2026-03-23 09:38:16</t>
  </si>
  <si>
    <t>2026-03-23 09:47:33</t>
  </si>
  <si>
    <t>2026-03-23 10:11:45</t>
  </si>
  <si>
    <t>2026-03-23 10:56:40</t>
  </si>
  <si>
    <t>2026-03-23 17:43:49</t>
  </si>
  <si>
    <t>ODVN260323BB8104BA</t>
  </si>
  <si>
    <t>260322SXNTHTMG</t>
  </si>
  <si>
    <t>2026-03-22 19:40:22</t>
  </si>
  <si>
    <t>2026-03-23 10:14:11</t>
  </si>
  <si>
    <t>2026-03-23 10:50:50</t>
  </si>
  <si>
    <t>2026-03-23 11:26:24</t>
  </si>
  <si>
    <t>2026-03-24 11:00:05</t>
  </si>
  <si>
    <t>ODVN26032358305185</t>
  </si>
  <si>
    <t>260322SNT6EC0S</t>
  </si>
  <si>
    <t>2026-03-22 18:20:33</t>
  </si>
  <si>
    <t>2026-03-23 09:57:24</t>
  </si>
  <si>
    <t>2026-03-23 11:04:45</t>
  </si>
  <si>
    <t>2026-03-23 12:20:07</t>
  </si>
  <si>
    <t>2026-03-26 13:25:06</t>
  </si>
  <si>
    <t>ODVN260323E7387CA0</t>
  </si>
  <si>
    <t>260322SHBF99D6</t>
  </si>
  <si>
    <t>2026-03-22 18:18:36</t>
  </si>
  <si>
    <t>2026-03-23 09:39:03</t>
  </si>
  <si>
    <t>2026-03-23 09:58:19</t>
  </si>
  <si>
    <t>2026-03-23 11:09:09</t>
  </si>
  <si>
    <t>2026-03-23 11:42:39</t>
  </si>
  <si>
    <t>2026-03-26 12:11:23</t>
  </si>
  <si>
    <t>ODVN2603234D930F43</t>
  </si>
  <si>
    <t>260322SH7BRTY8</t>
  </si>
  <si>
    <t>2026-03-22 17:46:14</t>
  </si>
  <si>
    <t>2026-03-23 09:57:30</t>
  </si>
  <si>
    <t>2026-03-23 11:20:19</t>
  </si>
  <si>
    <t>2026-03-23 12:20:39</t>
  </si>
  <si>
    <t>2026-03-26 13:46:33</t>
  </si>
  <si>
    <t>ODVN260323F2379066</t>
  </si>
  <si>
    <t>260322SFE4P2YB</t>
  </si>
  <si>
    <t>2026-03-22 17:11:45</t>
  </si>
  <si>
    <t>2026-03-23 09:57:58</t>
  </si>
  <si>
    <t>2026-03-23 10:40:02</t>
  </si>
  <si>
    <t>2026-03-23 11:18:52</t>
  </si>
  <si>
    <t>2026-03-23 11:20:15</t>
  </si>
  <si>
    <t>ODVN260323BE549543</t>
  </si>
  <si>
    <t>260322SDGFGS4H</t>
  </si>
  <si>
    <t>2026-03-22 16:29:07</t>
  </si>
  <si>
    <t>2026-03-23 10:14:23</t>
  </si>
  <si>
    <t>2026-03-23 10:44:14</t>
  </si>
  <si>
    <t>2026-03-23 11:18:43</t>
  </si>
  <si>
    <t>2026-03-26 12:35:10</t>
  </si>
  <si>
    <t>ODVN26032342846E74</t>
  </si>
  <si>
    <t>260322SB4806AX</t>
  </si>
  <si>
    <t>2026-03-22 13:00:09</t>
  </si>
  <si>
    <t>2026-03-23 09:38:21</t>
  </si>
  <si>
    <t>2026-03-23 09:58:08</t>
  </si>
  <si>
    <t>2026-03-23 11:06:00</t>
  </si>
  <si>
    <t>2026-03-23 11:53:20</t>
  </si>
  <si>
    <t>2026-03-26 12:37:28</t>
  </si>
  <si>
    <t>ODVN260323DA21793A</t>
  </si>
  <si>
    <t>260322RYEJTWBU</t>
  </si>
  <si>
    <t>2026-03-22 12:14:08</t>
  </si>
  <si>
    <t>2026-03-23 09:38:22</t>
  </si>
  <si>
    <t>2026-03-23 10:14:52</t>
  </si>
  <si>
    <t>2026-03-23 10:48:21</t>
  </si>
  <si>
    <t>2026-03-23 11:28:42</t>
  </si>
  <si>
    <t>2026-03-23 18:19:13</t>
  </si>
  <si>
    <t>ODVN26032314F3AEA5</t>
  </si>
  <si>
    <t>260322RVV9QXNX</t>
  </si>
  <si>
    <t>2026-03-22 12:04:40</t>
  </si>
  <si>
    <t>2026-03-23 09:58:03</t>
  </si>
  <si>
    <t>2026-03-23 13:42:52</t>
  </si>
  <si>
    <t>2026-03-23 13:58:00</t>
  </si>
  <si>
    <t>2026-03-26 14:36:36</t>
  </si>
  <si>
    <t>ODVN26032370DB6561</t>
  </si>
  <si>
    <t>260322RVBC13UQ</t>
  </si>
  <si>
    <t>2026-03-22 03:34:58</t>
  </si>
  <si>
    <t>2026-03-23 10:14:34</t>
  </si>
  <si>
    <t>2026-03-23 10:37:21</t>
  </si>
  <si>
    <t>2026-03-23 11:17:36</t>
  </si>
  <si>
    <t>2026-03-26 12:13:26</t>
  </si>
  <si>
    <t>ODVN260323E1464D29</t>
  </si>
  <si>
    <t>260322QYUXRDEN</t>
  </si>
  <si>
    <t>2026-03-22 01:25:22</t>
  </si>
  <si>
    <t>2026-03-23 09:57:41</t>
  </si>
  <si>
    <t>2026-03-23 11:05:37</t>
  </si>
  <si>
    <t>2026-03-23 12:02:51</t>
  </si>
  <si>
    <t>2026-03-23 19:24:40</t>
  </si>
  <si>
    <t>ODVN260323BECE728B</t>
  </si>
  <si>
    <t>260322QRM71KN8</t>
  </si>
  <si>
    <t>2026-03-21 09:32:38</t>
  </si>
  <si>
    <t>2026-03-21 09:33:47</t>
  </si>
  <si>
    <t>2026-03-21 09:41:19</t>
  </si>
  <si>
    <t>2026-03-21 10:27:56</t>
  </si>
  <si>
    <t>2026-03-21 11:06:48</t>
  </si>
  <si>
    <t>2026-03-22 12:10:20</t>
  </si>
  <si>
    <t>ODVN2603214581DED7</t>
  </si>
  <si>
    <t>260321P3CFBVCG</t>
  </si>
  <si>
    <t>2026-03-21 09:26:30</t>
  </si>
  <si>
    <t>2026-03-21 09:31:39</t>
  </si>
  <si>
    <t>2026-03-21 09:34:11</t>
  </si>
  <si>
    <t>2026-03-21 10:22:00</t>
  </si>
  <si>
    <t>2026-03-21 11:46:57</t>
  </si>
  <si>
    <t>2026-03-24 12:41:49</t>
  </si>
  <si>
    <t>ODVN2603218DFB66CF</t>
  </si>
  <si>
    <t>260321P31M8C1C</t>
  </si>
  <si>
    <t>2026-03-21 08:33:26</t>
  </si>
  <si>
    <t>2026-03-21 08:34:37</t>
  </si>
  <si>
    <t>2026-03-21 08:49:49</t>
  </si>
  <si>
    <t>2026-03-21 16:25:50</t>
  </si>
  <si>
    <t>2026-03-21 16:57:14</t>
  </si>
  <si>
    <t>2026-03-22 07:58:51</t>
  </si>
  <si>
    <t>ODVN26032156BF6D7E</t>
  </si>
  <si>
    <t>260321P02PQVFC</t>
  </si>
  <si>
    <t>2026-03-21 08:15:32</t>
  </si>
  <si>
    <t>2026-03-21 08:16:37</t>
  </si>
  <si>
    <t>2026-03-21 11:07:19</t>
  </si>
  <si>
    <t>2026-03-21 12:09:33</t>
  </si>
  <si>
    <t>2026-03-21 12:28:06</t>
  </si>
  <si>
    <t>2026-03-22 07:54:53</t>
  </si>
  <si>
    <t>ODVN2603219C9DDFE1</t>
  </si>
  <si>
    <t>260321NY2QGDBC</t>
  </si>
  <si>
    <t>2026-03-21 07:08:52</t>
  </si>
  <si>
    <t>2026-03-21 07:14:07</t>
  </si>
  <si>
    <t>2026-03-21 08:58:01</t>
  </si>
  <si>
    <t>2026-03-21 10:18:07</t>
  </si>
  <si>
    <t>2026-03-21 11:17:30</t>
  </si>
  <si>
    <t>2026-03-21 13:04:00</t>
  </si>
  <si>
    <t>ODVN260321C7339331</t>
  </si>
  <si>
    <t>260321NUBFUYNG</t>
  </si>
  <si>
    <t>2026-03-21 00:02:45</t>
  </si>
  <si>
    <t>2026-03-21 00:04:24</t>
  </si>
  <si>
    <t>2026-03-21 08:57:26</t>
  </si>
  <si>
    <t>2026-03-21 09:31:03</t>
  </si>
  <si>
    <t>2026-03-21 10:14:16</t>
  </si>
  <si>
    <t>2026-03-22 07:48:32</t>
  </si>
  <si>
    <t>ODVN2603213AAD0C0E</t>
  </si>
  <si>
    <t>260321N3HH8F0A</t>
  </si>
  <si>
    <t>2026-03-20 22:56:15</t>
  </si>
  <si>
    <t>2026-03-20 23:03:34</t>
  </si>
  <si>
    <t>2026-03-21 07:57:09</t>
  </si>
  <si>
    <t>2026-03-21 08:11:15</t>
  </si>
  <si>
    <t>2026-03-21 09:13:56</t>
  </si>
  <si>
    <t>2026-03-24 10:02:18</t>
  </si>
  <si>
    <t>ODVN2603206A62B2D0</t>
  </si>
  <si>
    <t>260320MYTM1JTC</t>
  </si>
  <si>
    <t>2026-03-20 22:21:06</t>
  </si>
  <si>
    <t>2026-03-20 22:26:26</t>
  </si>
  <si>
    <t>2026-03-21 08:57:06</t>
  </si>
  <si>
    <t>2026-03-21 09:25:39</t>
  </si>
  <si>
    <t>2026-03-21 10:57:06</t>
  </si>
  <si>
    <t>2026-03-21 18:30:28</t>
  </si>
  <si>
    <t>ODVN2603200817ED93</t>
  </si>
  <si>
    <t>260320MWUSPMQ5</t>
  </si>
  <si>
    <t>2026-03-20 20:46:50</t>
  </si>
  <si>
    <t>2026-03-20 20:49:16</t>
  </si>
  <si>
    <t>2026-03-21 08:56:55</t>
  </si>
  <si>
    <t>2026-03-21 09:33:05</t>
  </si>
  <si>
    <t>2026-03-21 09:58:07</t>
  </si>
  <si>
    <t>2026-03-21 10:30:12</t>
  </si>
  <si>
    <t>ODVN2603206BB90E7C</t>
  </si>
  <si>
    <t>260320MRK6S4HR</t>
  </si>
  <si>
    <t>2026-03-20 19:56:28</t>
  </si>
  <si>
    <t>2026-03-20 20:03:37</t>
  </si>
  <si>
    <t>2026-03-21 11:07:49</t>
  </si>
  <si>
    <t>2026-03-21 11:49:28</t>
  </si>
  <si>
    <t>2026-03-21 12:30:20</t>
  </si>
  <si>
    <t>2026-03-21 23:48:43</t>
  </si>
  <si>
    <t>ODVN260320DD59EBE1</t>
  </si>
  <si>
    <t>260320MNS4T0SE</t>
  </si>
  <si>
    <t>2026-03-20 19:39:00</t>
  </si>
  <si>
    <t>2026-03-20 19:44:15</t>
  </si>
  <si>
    <t>2026-03-21 09:39:46</t>
  </si>
  <si>
    <t>2026-03-21 10:40:45</t>
  </si>
  <si>
    <t>2026-03-21 11:37:59</t>
  </si>
  <si>
    <t>2026-03-21 12:33:48</t>
  </si>
  <si>
    <t>ODVN260320A1BED722</t>
  </si>
  <si>
    <t>260320MMSAACB9</t>
  </si>
  <si>
    <t>2026-03-20 19:32:17</t>
  </si>
  <si>
    <t>2026-03-20 19:33:26</t>
  </si>
  <si>
    <t>2026-03-21 08:56:50</t>
  </si>
  <si>
    <t>2026-03-21 09:33:57</t>
  </si>
  <si>
    <t>2026-03-21 10:33:14</t>
  </si>
  <si>
    <t>2026-03-24 11:27:06</t>
  </si>
  <si>
    <t>ODVN260320E7F6CB4E</t>
  </si>
  <si>
    <t>260320MMDW06YE</t>
  </si>
  <si>
    <t>2026-03-20 15:19:50</t>
  </si>
  <si>
    <t>2026-03-20 15:27:16</t>
  </si>
  <si>
    <t>2026-03-20 16:29:56</t>
  </si>
  <si>
    <t>2026-03-20 16:47:13</t>
  </si>
  <si>
    <t>2026-03-20 17:17:21</t>
  </si>
  <si>
    <t>2026-03-23 07:49:10</t>
  </si>
  <si>
    <t>ODVN2603200CF172C1</t>
  </si>
  <si>
    <t>260320M6AGN48T</t>
  </si>
  <si>
    <t>2026-03-20 14:31:19</t>
  </si>
  <si>
    <t>2026-03-20 14:35:17</t>
  </si>
  <si>
    <t>2026-03-20 15:06:20</t>
  </si>
  <si>
    <t>2026-03-20 16:05:18</t>
  </si>
  <si>
    <t>2026-03-20 17:03:10</t>
  </si>
  <si>
    <t>2026-03-23 18:09:34</t>
  </si>
  <si>
    <t>ODVN26032035E90444</t>
  </si>
  <si>
    <t>260320M3KRHAUK</t>
  </si>
  <si>
    <t>2026-03-20 10:55:01</t>
  </si>
  <si>
    <t>2026-03-20 11:00:18</t>
  </si>
  <si>
    <t>2026-03-20 14:53:24</t>
  </si>
  <si>
    <t>2026-03-20 15:10:06</t>
  </si>
  <si>
    <t>2026-03-20 16:00:41</t>
  </si>
  <si>
    <t>2026-03-21 08:27:29</t>
  </si>
  <si>
    <t>ODVN26032028C7CA87</t>
  </si>
  <si>
    <t>260320KQGYRP64</t>
  </si>
  <si>
    <t>2026-03-20 10:27:13</t>
  </si>
  <si>
    <t>2026-03-20 10:32:38</t>
  </si>
  <si>
    <t>2026-03-20 10:36:34</t>
  </si>
  <si>
    <t>2026-03-20 10:59:43</t>
  </si>
  <si>
    <t>2026-03-20 11:31:37</t>
  </si>
  <si>
    <t>2026-03-21 08:37:21</t>
  </si>
  <si>
    <t>ODVN26032006598F0A</t>
  </si>
  <si>
    <t>260320KNY82JF6</t>
  </si>
  <si>
    <t>2026-03-20 10:18:10</t>
  </si>
  <si>
    <t>2026-03-20 10:19:28</t>
  </si>
  <si>
    <t>2026-03-20 14:53:19</t>
  </si>
  <si>
    <t>2026-03-20 15:09:11</t>
  </si>
  <si>
    <t>2026-03-20 16:37:26</t>
  </si>
  <si>
    <t>2026-03-21 08:30:25</t>
  </si>
  <si>
    <t>ODVN2603209962C7BB</t>
  </si>
  <si>
    <t>260320KNF34PV9</t>
  </si>
  <si>
    <t>2026-03-20 09:30:56</t>
  </si>
  <si>
    <t>2026-03-20 09:32:18</t>
  </si>
  <si>
    <t>2026-03-20 10:00:01</t>
  </si>
  <si>
    <t>2026-03-20 11:14:44</t>
  </si>
  <si>
    <t>2026-03-20 11:56:23</t>
  </si>
  <si>
    <t>2026-03-23 12:48:14</t>
  </si>
  <si>
    <t>ODVN26032078375DC7</t>
  </si>
  <si>
    <t>260320KJTMFU60</t>
  </si>
  <si>
    <t>2026-03-20 09:21:39</t>
  </si>
  <si>
    <t>2026-03-20 09:22:58</t>
  </si>
  <si>
    <t>2026-03-20 09:51:35</t>
  </si>
  <si>
    <t>2026-03-20 10:01:47</t>
  </si>
  <si>
    <t>2026-03-20 10:15:53</t>
  </si>
  <si>
    <t>2026-03-21 14:25:28</t>
  </si>
  <si>
    <t>ODVN260320A3DFBB31</t>
  </si>
  <si>
    <t>260320KJA18FV1</t>
  </si>
  <si>
    <t>2026-03-20 07:46:22</t>
  </si>
  <si>
    <t>2026-03-20 07:51:39</t>
  </si>
  <si>
    <t>2026-03-20 09:20:25</t>
  </si>
  <si>
    <t>2026-03-20 10:27:54</t>
  </si>
  <si>
    <t>2026-03-20 11:03:47</t>
  </si>
  <si>
    <t>2026-03-23 12:25:17</t>
  </si>
  <si>
    <t>ODVN260320907E0E4B</t>
  </si>
  <si>
    <t>260320KCYM3GHR</t>
  </si>
  <si>
    <t>2026-03-20 07:41:42</t>
  </si>
  <si>
    <t>2026-03-20 07:46:58</t>
  </si>
  <si>
    <t>2026-03-20 08:57:27</t>
  </si>
  <si>
    <t>2026-03-20 09:26:40</t>
  </si>
  <si>
    <t>2026-03-20 10:08:46</t>
  </si>
  <si>
    <t>2026-03-20 10:36:31</t>
  </si>
  <si>
    <t>ODVN2603203412326C</t>
  </si>
  <si>
    <t>260320KCQ942PD</t>
  </si>
  <si>
    <t>2026-03-20 07:15:41</t>
  </si>
  <si>
    <t>2026-03-20 07:20:59</t>
  </si>
  <si>
    <t>2026-03-20 08:37:55</t>
  </si>
  <si>
    <t>2026-03-20 09:12:51</t>
  </si>
  <si>
    <t>2026-03-20 10:06:12</t>
  </si>
  <si>
    <t>2026-03-23 11:25:44</t>
  </si>
  <si>
    <t>ODVN260320749EE999</t>
  </si>
  <si>
    <t>260320KB8SC5B8</t>
  </si>
  <si>
    <t>2026-03-20 07:06:57</t>
  </si>
  <si>
    <t>2026-03-20 07:08:08</t>
  </si>
  <si>
    <t>2026-03-20 09:20:19</t>
  </si>
  <si>
    <t>2026-03-20 10:20:03</t>
  </si>
  <si>
    <t>2026-03-20 11:09:39</t>
  </si>
  <si>
    <t>2026-03-21 08:33:07</t>
  </si>
  <si>
    <t>ODVN260320A25E2933</t>
  </si>
  <si>
    <t>260320KAS5PD2U</t>
  </si>
  <si>
    <t>2026-03-20 06:50:39</t>
  </si>
  <si>
    <t>2026-03-20 06:57:48</t>
  </si>
  <si>
    <t>2026-03-20 09:07:50</t>
  </si>
  <si>
    <t>2026-03-20 10:15:38</t>
  </si>
  <si>
    <t>2026-03-20 11:00:27</t>
  </si>
  <si>
    <t>2026-03-21 08:40:20</t>
  </si>
  <si>
    <t>ODVN260320F9B3C41C</t>
  </si>
  <si>
    <t>260320K9V0XKH1</t>
  </si>
  <si>
    <t>2026-03-20 00:57:35</t>
  </si>
  <si>
    <t>2026-03-20 00:58:49</t>
  </si>
  <si>
    <t>2026-03-20 09:20:14</t>
  </si>
  <si>
    <t>2026-03-20 09:54:05</t>
  </si>
  <si>
    <t>2026-03-20 10:41:06</t>
  </si>
  <si>
    <t>2026-03-21 08:38:05</t>
  </si>
  <si>
    <t>ODVN260320C38426FF</t>
  </si>
  <si>
    <t>260320JP42BAJ0</t>
  </si>
  <si>
    <t>2026-03-20 00:25:54</t>
  </si>
  <si>
    <t>2026-03-20 00:27:08</t>
  </si>
  <si>
    <t>2026-03-20 09:20:08</t>
  </si>
  <si>
    <t>2026-03-20 14:13:14</t>
  </si>
  <si>
    <t>2026-03-20 15:08:12</t>
  </si>
  <si>
    <t>2026-03-21 08:28:03</t>
  </si>
  <si>
    <t>ODVN26032083AAF125</t>
  </si>
  <si>
    <t>260320JMC1CBHW</t>
  </si>
  <si>
    <t>2026-03-20 00:13:32</t>
  </si>
  <si>
    <t>2026-03-20 00:18:48</t>
  </si>
  <si>
    <t>2026-03-20 09:07:37</t>
  </si>
  <si>
    <t>2026-03-20 09:37:45</t>
  </si>
  <si>
    <t>2026-03-20 10:49:34</t>
  </si>
  <si>
    <t>2026-03-21 08:39:43</t>
  </si>
  <si>
    <t>ODVN260320E013B22E</t>
  </si>
  <si>
    <t>260320JKNWRYRS</t>
  </si>
  <si>
    <t>2026-03-20 00:12:27</t>
  </si>
  <si>
    <t>2026-03-20 00:17:47</t>
  </si>
  <si>
    <t>2026-03-20 09:20:03</t>
  </si>
  <si>
    <t>2026-03-20 10:38:47</t>
  </si>
  <si>
    <t>2026-03-20 10:52:22</t>
  </si>
  <si>
    <t>2026-03-23 11:16:50</t>
  </si>
  <si>
    <t>ODVN2603208C6D6F62</t>
  </si>
  <si>
    <t>260320JKKYR4TN</t>
  </si>
  <si>
    <t>2026-03-20 00:12:15</t>
  </si>
  <si>
    <t>2026-03-20 00:17:38</t>
  </si>
  <si>
    <t>2026-03-20 09:07:13</t>
  </si>
  <si>
    <t>2026-03-20 09:38:02</t>
  </si>
  <si>
    <t>2026-03-20 10:50:26</t>
  </si>
  <si>
    <t>2026-03-21 08:45:35</t>
  </si>
  <si>
    <t>ODVN26032041C7CB18</t>
  </si>
  <si>
    <t>260320JKKGGMSS</t>
  </si>
  <si>
    <t>2026-03-20 00:11:38</t>
  </si>
  <si>
    <t>2026-03-20 00:16:58</t>
  </si>
  <si>
    <t>2026-03-20 09:06:59</t>
  </si>
  <si>
    <t>2026-03-20 09:56:25</t>
  </si>
  <si>
    <t>2026-03-20 11:55:42</t>
  </si>
  <si>
    <t>2026-03-21 08:29:42</t>
  </si>
  <si>
    <t>ODVN260320EF5A864E</t>
  </si>
  <si>
    <t>260320JKJH1766</t>
  </si>
  <si>
    <t>2026-03-20 00:10:38</t>
  </si>
  <si>
    <t>2026-03-20 00:18:08</t>
  </si>
  <si>
    <t>2026-03-20 09:07:26</t>
  </si>
  <si>
    <t>2026-03-20 09:38:22</t>
  </si>
  <si>
    <t>2026-03-20 10:51:27</t>
  </si>
  <si>
    <t>2026-03-21 08:29:49</t>
  </si>
  <si>
    <t>ODVN26032007BEA806</t>
  </si>
  <si>
    <t>260320JKGQSVW3</t>
  </si>
  <si>
    <t>2026-03-20 00:09:56</t>
  </si>
  <si>
    <t>2026-03-20 00:15:23</t>
  </si>
  <si>
    <t>2026-03-20 09:06:48</t>
  </si>
  <si>
    <t>2026-03-20 09:56:06</t>
  </si>
  <si>
    <t>2026-03-20 11:54:54</t>
  </si>
  <si>
    <t>2026-03-21 08:30:26</t>
  </si>
  <si>
    <t>ODVN2603205F596EE2</t>
  </si>
  <si>
    <t>260320JKFFRHAD</t>
  </si>
  <si>
    <t>2026-03-19 23:39:46</t>
  </si>
  <si>
    <t>2026-03-19 23:40:58</t>
  </si>
  <si>
    <t>2026-03-20 09:06:35</t>
  </si>
  <si>
    <t>2026-03-20 09:24:33</t>
  </si>
  <si>
    <t>2026-03-20 10:11:08</t>
  </si>
  <si>
    <t>2026-03-20 10:44:18</t>
  </si>
  <si>
    <t>ODVN2603197350DE36</t>
  </si>
  <si>
    <t>260320JHSGPD3B</t>
  </si>
  <si>
    <t>2026-03-19 23:12:23</t>
  </si>
  <si>
    <t>2026-03-20 00:10:57</t>
  </si>
  <si>
    <t>2026-03-20 08:37:38</t>
  </si>
  <si>
    <t>2026-03-20 09:13:09</t>
  </si>
  <si>
    <t>2026-03-20 09:30:08</t>
  </si>
  <si>
    <t>2026-03-23 10:13:25</t>
  </si>
  <si>
    <t>ODVN260319C6034360</t>
  </si>
  <si>
    <t>260320JG8JRM84</t>
  </si>
  <si>
    <t>2026-03-19 22:43:13</t>
  </si>
  <si>
    <t>2026-03-19 22:44:27</t>
  </si>
  <si>
    <t>2026-03-20 09:06:24</t>
  </si>
  <si>
    <t>2026-03-20 09:56:49</t>
  </si>
  <si>
    <t>2026-03-20 11:37:19</t>
  </si>
  <si>
    <t>2026-03-20 16:40:21</t>
  </si>
  <si>
    <t>ODVN260319D7B65475</t>
  </si>
  <si>
    <t>260319JEMDTPC1</t>
  </si>
  <si>
    <t>2026-03-19 15:41:07</t>
  </si>
  <si>
    <t>2026-03-19 15:46:37</t>
  </si>
  <si>
    <t>2026-03-19 16:01:56</t>
  </si>
  <si>
    <t>2026-03-19 16:11:57</t>
  </si>
  <si>
    <t>2026-03-19 17:37:34</t>
  </si>
  <si>
    <t>2026-03-22 19:40:10</t>
  </si>
  <si>
    <t>ODVN2603190A972741</t>
  </si>
  <si>
    <t>260319HQ1H7NN9</t>
  </si>
  <si>
    <t>2026-03-19 11:31:22</t>
  </si>
  <si>
    <t>2026-03-19 11:33:27</t>
  </si>
  <si>
    <t>2026-03-19 11:49:35</t>
  </si>
  <si>
    <t>2026-03-19 12:02:48</t>
  </si>
  <si>
    <t>2026-03-19 12:19:08</t>
  </si>
  <si>
    <t>2026-03-22 13:56:43</t>
  </si>
  <si>
    <t>ODVN2603191B6BF433</t>
  </si>
  <si>
    <t>260319H92E8EY4</t>
  </si>
  <si>
    <t>2026-03-19 11:21:45</t>
  </si>
  <si>
    <t>2026-03-19 11:22:59</t>
  </si>
  <si>
    <t>2026-03-19 11:55:51</t>
  </si>
  <si>
    <t>2026-03-19 12:08:53</t>
  </si>
  <si>
    <t>2026-03-19 12:21:19</t>
  </si>
  <si>
    <t>2026-03-19 12:47:37</t>
  </si>
  <si>
    <t>ODVN2603196A560D2B</t>
  </si>
  <si>
    <t>260319H8HUX9FD</t>
  </si>
  <si>
    <t>2026-03-19 10:23:51</t>
  </si>
  <si>
    <t>2026-03-19 10:25:04</t>
  </si>
  <si>
    <t>2026-03-19 10:26:18</t>
  </si>
  <si>
    <t>2026-03-19 11:38:04</t>
  </si>
  <si>
    <t>2026-03-19 12:15:17</t>
  </si>
  <si>
    <t>2026-03-22 13:26:35</t>
  </si>
  <si>
    <t>ODVN260319368B1109</t>
  </si>
  <si>
    <t>260319H5AAWVMU</t>
  </si>
  <si>
    <t>2026-03-19 09:34:40</t>
  </si>
  <si>
    <t>2026-03-19 09:36:01</t>
  </si>
  <si>
    <t>2026-03-19 15:48:16</t>
  </si>
  <si>
    <t>2026-03-19 16:20:11</t>
  </si>
  <si>
    <t>2026-03-19 16:34:36</t>
  </si>
  <si>
    <t>2026-03-20 16:44:18</t>
  </si>
  <si>
    <t>ODVN26031956FC1D45</t>
  </si>
  <si>
    <t>260319H2J8SNKA</t>
  </si>
  <si>
    <t>2026-03-19 09:01:12</t>
  </si>
  <si>
    <t>2026-03-19 09:02:31</t>
  </si>
  <si>
    <t>2026-03-19 09:06:49</t>
  </si>
  <si>
    <t>2026-03-19 10:00:23</t>
  </si>
  <si>
    <t>2026-03-19 10:40:52</t>
  </si>
  <si>
    <t>2026-03-22 11:20:55</t>
  </si>
  <si>
    <t>ODVN2603193F6C60D4</t>
  </si>
  <si>
    <t>260319H0PHK5JT</t>
  </si>
  <si>
    <t>2026-03-19 07:35:27</t>
  </si>
  <si>
    <t>2026-03-19 07:40:53</t>
  </si>
  <si>
    <t>2026-03-19 08:50:55</t>
  </si>
  <si>
    <t>2026-03-19 09:37:36</t>
  </si>
  <si>
    <t>2026-03-19 10:55:54</t>
  </si>
  <si>
    <t>2026-03-20 08:21:56</t>
  </si>
  <si>
    <t>ODVN260319F7F1B6F1</t>
  </si>
  <si>
    <t>260319GUVK05CM</t>
  </si>
  <si>
    <t>2026-03-19 07:25:54</t>
  </si>
  <si>
    <t>2026-03-19 07:31:10</t>
  </si>
  <si>
    <t>2026-03-19 09:25:17</t>
  </si>
  <si>
    <t>2026-03-19 10:18:10</t>
  </si>
  <si>
    <t>2026-03-19 11:03:39</t>
  </si>
  <si>
    <t>2026-03-21 01:02:28</t>
  </si>
  <si>
    <t>ODVN26031966FF4776</t>
  </si>
  <si>
    <t>260319GUC4GC44</t>
  </si>
  <si>
    <t>2026-03-19 07:02:28</t>
  </si>
  <si>
    <t>2026-03-19 07:03:41</t>
  </si>
  <si>
    <t>2026-03-19 09:01:18</t>
  </si>
  <si>
    <t>2026-03-19 10:13:27</t>
  </si>
  <si>
    <t>2026-03-19 10:54:16</t>
  </si>
  <si>
    <t>2026-03-22 11:45:33</t>
  </si>
  <si>
    <t>ODVN2603191D10BE37</t>
  </si>
  <si>
    <t>260319GT27PHHJ</t>
  </si>
  <si>
    <t>2026-03-18 22:49:10</t>
  </si>
  <si>
    <t>2026-03-19 06:54:30</t>
  </si>
  <si>
    <t>2026-03-19 09:25:12</t>
  </si>
  <si>
    <t>2026-03-19 10:22:22</t>
  </si>
  <si>
    <t>2026-03-19 10:46:12</t>
  </si>
  <si>
    <t>2026-03-22 11:39:08</t>
  </si>
  <si>
    <t>ODVN260318E4FD304B</t>
  </si>
  <si>
    <t>260318FXG4SD54</t>
  </si>
  <si>
    <t>2026-03-18 21:54:09</t>
  </si>
  <si>
    <t>2026-03-18 22:00:10</t>
  </si>
  <si>
    <t>2026-03-19 09:25:07</t>
  </si>
  <si>
    <t>2026-03-19 10:11:38</t>
  </si>
  <si>
    <t>2026-03-19 11:05:29</t>
  </si>
  <si>
    <t>2026-03-22 13:02:57</t>
  </si>
  <si>
    <t>ODVN26031877068F8D</t>
  </si>
  <si>
    <t>260318FUDRPBT0</t>
  </si>
  <si>
    <t>2026-03-18 21:49:16</t>
  </si>
  <si>
    <t>2026-03-18 21:50:29</t>
  </si>
  <si>
    <t>2026-03-19 09:24:56</t>
  </si>
  <si>
    <t>2026-03-19 10:17:22</t>
  </si>
  <si>
    <t>2026-03-19 10:51:05</t>
  </si>
  <si>
    <t>2026-03-22 11:05:35</t>
  </si>
  <si>
    <t>ODVN260318124116A0</t>
  </si>
  <si>
    <t>260318FU518SW5</t>
  </si>
  <si>
    <t>2026-03-18 21:47:47</t>
  </si>
  <si>
    <t>2026-03-18 21:53:09</t>
  </si>
  <si>
    <t>2026-03-19 09:25:01</t>
  </si>
  <si>
    <t>2026-03-19 10:39:51</t>
  </si>
  <si>
    <t>2026-03-19 11:31:48</t>
  </si>
  <si>
    <t>2026-03-19 18:33:35</t>
  </si>
  <si>
    <t>ODVN26031857DD3204</t>
  </si>
  <si>
    <t>260318FU2CD9GN</t>
  </si>
  <si>
    <t>2026-03-18 21:42:59</t>
  </si>
  <si>
    <t>2026-03-18 21:44:10</t>
  </si>
  <si>
    <t>2026-03-19 09:24:50</t>
  </si>
  <si>
    <t>2026-03-19 10:16:44</t>
  </si>
  <si>
    <t>2026-03-19 10:49:10</t>
  </si>
  <si>
    <t>2026-03-22 11:48:17</t>
  </si>
  <si>
    <t>ODVN26031838ED1B13</t>
  </si>
  <si>
    <t>260318FTSRU8EY</t>
  </si>
  <si>
    <t>2026-03-18 20:03:39</t>
  </si>
  <si>
    <t>2026-03-18 20:04:51</t>
  </si>
  <si>
    <t>2026-03-19 08:50:45</t>
  </si>
  <si>
    <t>2026-03-19 09:56:01</t>
  </si>
  <si>
    <t>2026-03-19 10:18:28</t>
  </si>
  <si>
    <t>2026-03-22 11:26:53</t>
  </si>
  <si>
    <t>ODVN26031858EA7A8A</t>
  </si>
  <si>
    <t>260318FN85VMJ8</t>
  </si>
  <si>
    <t>2026-03-18 19:49:11</t>
  </si>
  <si>
    <t>2026-03-18 19:55:39</t>
  </si>
  <si>
    <t>2026-03-19 08:50:32</t>
  </si>
  <si>
    <t>2026-03-19 09:48:52</t>
  </si>
  <si>
    <t>2026-03-19 10:59:53</t>
  </si>
  <si>
    <t>2026-03-19 11:52:14</t>
  </si>
  <si>
    <t>ODVN2603181E37A2A0</t>
  </si>
  <si>
    <t>260318FMEA1860</t>
  </si>
  <si>
    <t>2026-03-18 15:34:43</t>
  </si>
  <si>
    <t>2026-03-18 15:39:38</t>
  </si>
  <si>
    <t>2026-03-18 16:11:45</t>
  </si>
  <si>
    <t>2026-03-18 16:32:55</t>
  </si>
  <si>
    <t>2026-03-18 17:02:38</t>
  </si>
  <si>
    <t>2026-03-19 07:50:18</t>
  </si>
  <si>
    <t>ODVN260318C205FAC5</t>
  </si>
  <si>
    <t>260318F678CFQ9</t>
  </si>
  <si>
    <t>2026-03-18 14:49:26</t>
  </si>
  <si>
    <t>2026-03-18 14:50:43</t>
  </si>
  <si>
    <t>2026-03-18 15:12:57</t>
  </si>
  <si>
    <t>2026-03-18 15:46:53</t>
  </si>
  <si>
    <t>2026-03-18 16:24:22</t>
  </si>
  <si>
    <t>2026-03-19 07:53:20</t>
  </si>
  <si>
    <t>ODVN2603180019F167</t>
  </si>
  <si>
    <t>260318F3P99U6D</t>
  </si>
  <si>
    <t>2026-03-18 14:46:57</t>
  </si>
  <si>
    <t>2026-03-18 14:48:18</t>
  </si>
  <si>
    <t>2026-03-18 14:51:28</t>
  </si>
  <si>
    <t>2026-03-18 15:24:49</t>
  </si>
  <si>
    <t>2026-03-18 15:50:54</t>
  </si>
  <si>
    <t>2026-03-21 16:05:56</t>
  </si>
  <si>
    <t>ODVN26031810625455</t>
  </si>
  <si>
    <t>260318F3HV5A8N</t>
  </si>
  <si>
    <t>2026-03-18 14:30:35</t>
  </si>
  <si>
    <t>2026-03-18 14:31:53</t>
  </si>
  <si>
    <t>2026-03-18 15:06:04</t>
  </si>
  <si>
    <t>2026-03-18 15:18:02</t>
  </si>
  <si>
    <t>2026-03-18 15:50:20</t>
  </si>
  <si>
    <t>2026-03-21 16:15:39</t>
  </si>
  <si>
    <t>ODVN260318D4679514</t>
  </si>
  <si>
    <t>260318F2MFTCJ4</t>
  </si>
  <si>
    <t>2026-03-18 14:10:16</t>
  </si>
  <si>
    <t>2026-03-18 14:15:35</t>
  </si>
  <si>
    <t>2026-03-18 15:12:41</t>
  </si>
  <si>
    <t>2026-03-18 16:07:35</t>
  </si>
  <si>
    <t>2026-03-18 16:38:53</t>
  </si>
  <si>
    <t>2026-03-21 19:00:49</t>
  </si>
  <si>
    <t>ODVN26031815CF4DF1</t>
  </si>
  <si>
    <t>260318F1G93V87</t>
  </si>
  <si>
    <t>2026-03-18 14:09:24</t>
  </si>
  <si>
    <t>2026-03-18 14:14:44</t>
  </si>
  <si>
    <t>2026-03-18 15:12:35</t>
  </si>
  <si>
    <t>2026-03-18 15:43:29</t>
  </si>
  <si>
    <t>2026-03-18 16:05:39</t>
  </si>
  <si>
    <t>2026-03-21 18:14:48</t>
  </si>
  <si>
    <t>ODVN260318FA87E8B5</t>
  </si>
  <si>
    <t>260318F1EQFDMC</t>
  </si>
  <si>
    <t>2026-03-18 13:38:26</t>
  </si>
  <si>
    <t>2026-03-18 13:39:25</t>
  </si>
  <si>
    <t>2026-03-18 15:17:44</t>
  </si>
  <si>
    <t>2026-03-18 15:41:46</t>
  </si>
  <si>
    <t>2026-03-21 16:56:41</t>
  </si>
  <si>
    <t>ODVN260318E87BDEB7</t>
  </si>
  <si>
    <t>260318EYQBJ0XS</t>
  </si>
  <si>
    <t>2026-03-18 12:44:07</t>
  </si>
  <si>
    <t>2026-03-18 12:49:44</t>
  </si>
  <si>
    <t>2026-03-18 13:05:59</t>
  </si>
  <si>
    <t>2026-03-18 13:14:30</t>
  </si>
  <si>
    <t>2026-03-18 13:22:50</t>
  </si>
  <si>
    <t>2026-03-19 07:38:22</t>
  </si>
  <si>
    <t>ODVN2603187C483F7A</t>
  </si>
  <si>
    <t>260318EVP7JF00</t>
  </si>
  <si>
    <t>2026-03-18 10:23:38</t>
  </si>
  <si>
    <t>2026-03-18 10:29:26</t>
  </si>
  <si>
    <t>2026-03-18 10:48:04</t>
  </si>
  <si>
    <t>2026-03-18 11:09:17</t>
  </si>
  <si>
    <t>2026-03-18 11:29:57</t>
  </si>
  <si>
    <t>2026-03-21 12:20:44</t>
  </si>
  <si>
    <t>ODVN260318A44CC35A</t>
  </si>
  <si>
    <t>260318EMTD2B9T</t>
  </si>
  <si>
    <t>2026-03-18 05:31:21</t>
  </si>
  <si>
    <t>2026-03-18 05:38:32</t>
  </si>
  <si>
    <t>2026-03-18 08:57:31</t>
  </si>
  <si>
    <t>2026-03-18 09:27:08</t>
  </si>
  <si>
    <t>2026-03-18 10:10:50</t>
  </si>
  <si>
    <t>2026-03-19 12:30:11</t>
  </si>
  <si>
    <t>ODVN2603183B01BE2B</t>
  </si>
  <si>
    <t>260318E4GBH8CP</t>
  </si>
  <si>
    <t>2026-03-18 00:30:31</t>
  </si>
  <si>
    <t>2026-03-18 00:35:52</t>
  </si>
  <si>
    <t>2026-03-18 08:00:22</t>
  </si>
  <si>
    <t>2026-03-18 08:47:54</t>
  </si>
  <si>
    <t>2026-03-18 10:29:22</t>
  </si>
  <si>
    <t>2026-03-21 11:41:09</t>
  </si>
  <si>
    <t>ODVN26031888FA1811</t>
  </si>
  <si>
    <t>260318DKPDMY2D</t>
  </si>
  <si>
    <t>2026-03-18 00:28:58</t>
  </si>
  <si>
    <t>2026-03-18 00:30:13</t>
  </si>
  <si>
    <t>2026-03-18 08:00:17</t>
  </si>
  <si>
    <t>2026-03-18 08:47:43</t>
  </si>
  <si>
    <t>2026-03-18 10:27:39</t>
  </si>
  <si>
    <t>2026-03-21 11:59:01</t>
  </si>
  <si>
    <t>ODVN260318415F6AD7</t>
  </si>
  <si>
    <t>260318DKKNX8QU</t>
  </si>
  <si>
    <t>2026-03-17 23:49:00</t>
  </si>
  <si>
    <t>2026-03-17 23:56:21</t>
  </si>
  <si>
    <t>2026-03-18 08:57:18</t>
  </si>
  <si>
    <t>2026-03-18 10:16:56</t>
  </si>
  <si>
    <t>2026-03-18 10:39:20</t>
  </si>
  <si>
    <t>2026-03-21 11:38:27</t>
  </si>
  <si>
    <t>ODVN260317AD71A339</t>
  </si>
  <si>
    <t>260318DHC63DH0</t>
  </si>
  <si>
    <t>2026-03-17 23:43:28</t>
  </si>
  <si>
    <t>2026-03-17 23:44:52</t>
  </si>
  <si>
    <t>2026-03-18 08:43:03</t>
  </si>
  <si>
    <t>2026-03-18 09:33:58</t>
  </si>
  <si>
    <t>2026-03-18 10:11:31</t>
  </si>
  <si>
    <t>2026-03-21 11:32:27</t>
  </si>
  <si>
    <t>ODVN260317BF9040C3</t>
  </si>
  <si>
    <t>260318DH26KAKJ</t>
  </si>
  <si>
    <t>2026-03-17 21:33:14</t>
  </si>
  <si>
    <t>2026-03-18 15:33:55</t>
  </si>
  <si>
    <t>2026-03-19 08:50:20</t>
  </si>
  <si>
    <t>2026-03-19 09:32:56</t>
  </si>
  <si>
    <t>2026-03-19 09:37:19</t>
  </si>
  <si>
    <t>2026-03-21 01:00:47</t>
  </si>
  <si>
    <t>ODVN260317B1014B06</t>
  </si>
  <si>
    <t>260317D9RUC7N6</t>
  </si>
  <si>
    <t>2026-03-17 21:29:40</t>
  </si>
  <si>
    <t>2026-03-17 21:31:01</t>
  </si>
  <si>
    <t>2026-03-18 08:00:11</t>
  </si>
  <si>
    <t>2026-03-18 08:47:32</t>
  </si>
  <si>
    <t>2026-03-18 09:51:19</t>
  </si>
  <si>
    <t>2026-03-18 10:14:34</t>
  </si>
  <si>
    <t>ODVN26031772FB38EA</t>
  </si>
  <si>
    <t>260317D9JXG5M8</t>
  </si>
  <si>
    <t>2026-03-17 15:48:53</t>
  </si>
  <si>
    <t>2026-03-17 15:57:44</t>
  </si>
  <si>
    <t>2026-03-17 16:07:01</t>
  </si>
  <si>
    <t>2026-03-17 17:17:01</t>
  </si>
  <si>
    <t>2026-03-17 17:40:54</t>
  </si>
  <si>
    <t>2026-03-19 09:33:14</t>
  </si>
  <si>
    <t>ODVN260317E3263432</t>
  </si>
  <si>
    <t>260317CPHJQ8GF</t>
  </si>
  <si>
    <t>2026-03-17 15:21:20</t>
  </si>
  <si>
    <t>2026-03-17 15:57:51</t>
  </si>
  <si>
    <t>2026-03-17 16:39:23</t>
  </si>
  <si>
    <t>2026-03-17 16:56:04</t>
  </si>
  <si>
    <t>2026-03-17 18:05:27</t>
  </si>
  <si>
    <t>2026-03-20 19:47:14</t>
  </si>
  <si>
    <t>ODVN2603179AA92D8E</t>
  </si>
  <si>
    <t>260317CN0D44FM</t>
  </si>
  <si>
    <t>2026-03-17 14:58:12</t>
  </si>
  <si>
    <t>2026-03-17 15:19:54</t>
  </si>
  <si>
    <t>2026-03-17 15:23:19</t>
  </si>
  <si>
    <t>2026-03-17 16:32:13</t>
  </si>
  <si>
    <t>2026-03-17 17:22:14</t>
  </si>
  <si>
    <t>2026-03-20 18:13:36</t>
  </si>
  <si>
    <t>ODVN2603178C905B23</t>
  </si>
  <si>
    <t>260317CKQ1F9C0</t>
  </si>
  <si>
    <t>2026-03-17 14:45:36</t>
  </si>
  <si>
    <t>2026-03-17 14:46:48</t>
  </si>
  <si>
    <t>2026-03-17 15:23:06</t>
  </si>
  <si>
    <t>2026-03-17 16:22:01</t>
  </si>
  <si>
    <t>2026-03-17 16:44:43</t>
  </si>
  <si>
    <t>2026-03-18 12:06:42</t>
  </si>
  <si>
    <t>ODVN260317AA4677F0</t>
  </si>
  <si>
    <t>260317CK0HEX6B</t>
  </si>
  <si>
    <t>2026-03-17 13:37:35</t>
  </si>
  <si>
    <t>2026-03-17 13:38:47</t>
  </si>
  <si>
    <t>2026-03-17 13:59:20</t>
  </si>
  <si>
    <t>2026-03-17 14:30:07</t>
  </si>
  <si>
    <t>2026-03-17 15:07:45</t>
  </si>
  <si>
    <t>2026-03-20 16:17:19</t>
  </si>
  <si>
    <t>ODVN260317F4980FDF</t>
  </si>
  <si>
    <t>260317CF6WEQCS</t>
  </si>
  <si>
    <t>2026-03-17 12:41:36</t>
  </si>
  <si>
    <t>2026-03-17 12:47:03</t>
  </si>
  <si>
    <t>2026-03-17 14:52:26</t>
  </si>
  <si>
    <t>2026-03-17 15:11:32</t>
  </si>
  <si>
    <t>2026-03-17 16:40:05</t>
  </si>
  <si>
    <t>2026-03-20 17:02:14</t>
  </si>
  <si>
    <t>ODVN2603172C477E7B</t>
  </si>
  <si>
    <t>260317CC2P9A6G</t>
  </si>
  <si>
    <t>2026-03-17 10:39:08</t>
  </si>
  <si>
    <t>2026-03-17 10:40:20</t>
  </si>
  <si>
    <t>2026-03-17 11:04:44</t>
  </si>
  <si>
    <t>2026-03-17 12:07:01</t>
  </si>
  <si>
    <t>2026-03-17 12:30:24</t>
  </si>
  <si>
    <t>2026-03-17 12:34:27</t>
  </si>
  <si>
    <t>ODVN260317BDD5B69F</t>
  </si>
  <si>
    <t>260317C57TF8CU</t>
  </si>
  <si>
    <t>2026-03-17 09:31:35</t>
  </si>
  <si>
    <t>2026-03-17 09:34:35</t>
  </si>
  <si>
    <t>2026-03-17 09:36:19</t>
  </si>
  <si>
    <t>2026-03-17 10:47:14</t>
  </si>
  <si>
    <t>2026-03-17 11:26:14</t>
  </si>
  <si>
    <t>2026-03-20 12:02:28</t>
  </si>
  <si>
    <t>ODVN260317FB976F51</t>
  </si>
  <si>
    <t>260317C1F0A7N0</t>
  </si>
  <si>
    <t>2026-03-17 09:17:27</t>
  </si>
  <si>
    <t>2026-03-17 09:18:49</t>
  </si>
  <si>
    <t>2026-03-17 09:25:43</t>
  </si>
  <si>
    <t>2026-03-17 10:35:29</t>
  </si>
  <si>
    <t>2026-03-17 11:09:49</t>
  </si>
  <si>
    <t>2026-03-18 08:12:06</t>
  </si>
  <si>
    <t>ODVN260317F0BF442D</t>
  </si>
  <si>
    <t>260317C0NQHXG0</t>
  </si>
  <si>
    <t>2026-03-17 08:34:17</t>
  </si>
  <si>
    <t>2026-03-17 08:49:35</t>
  </si>
  <si>
    <t>2026-03-17 08:51:24</t>
  </si>
  <si>
    <t>2026-03-17 09:17:37</t>
  </si>
  <si>
    <t>2026-03-17 09:23:04</t>
  </si>
  <si>
    <t>2026-03-18 13:31:11</t>
  </si>
  <si>
    <t>ODVN260317D0B5CB2D</t>
  </si>
  <si>
    <t>260317BX8JGT0U</t>
  </si>
  <si>
    <t>2026-03-17 01:18:26</t>
  </si>
  <si>
    <t>2026-03-17 08:49:44</t>
  </si>
  <si>
    <t>2026-03-17 08:51:26</t>
  </si>
  <si>
    <t>2026-03-17 09:38:15</t>
  </si>
  <si>
    <t>2026-03-17 10:32:19</t>
  </si>
  <si>
    <t>2026-03-20 11:33:38</t>
  </si>
  <si>
    <t>ODVN2603174AEBEB76</t>
  </si>
  <si>
    <t>260317B5W70N6U</t>
  </si>
  <si>
    <t>2026-03-16 23:24:32</t>
  </si>
  <si>
    <t>2026-03-17 08:47:33</t>
  </si>
  <si>
    <t>2026-03-17 09:11:16</t>
  </si>
  <si>
    <t>2026-03-17 09:34:04</t>
  </si>
  <si>
    <t>2026-03-17 09:51:17</t>
  </si>
  <si>
    <t>2026-03-17 23:09:54</t>
  </si>
  <si>
    <t>ODVN2603167D01328F</t>
  </si>
  <si>
    <t>260317AYHHM0G2</t>
  </si>
  <si>
    <t>2026-03-16 22:50:29</t>
  </si>
  <si>
    <t>2026-03-17 08:49:51</t>
  </si>
  <si>
    <t>2026-03-17 09:11:22</t>
  </si>
  <si>
    <t>2026-03-17 09:22:41</t>
  </si>
  <si>
    <t>2026-03-17 09:34:18</t>
  </si>
  <si>
    <t>2026-03-17 11:49:21</t>
  </si>
  <si>
    <t>ODVN26031608CD18CA</t>
  </si>
  <si>
    <t>260316AWMHD65H</t>
  </si>
  <si>
    <t>2026-03-16 19:25:45</t>
  </si>
  <si>
    <t>2026-03-16 19:26:57</t>
  </si>
  <si>
    <t>2026-03-17 08:39:53</t>
  </si>
  <si>
    <t>2026-03-17 09:13:38</t>
  </si>
  <si>
    <t>2026-03-17 10:00:03</t>
  </si>
  <si>
    <t>2026-03-17 14:20:11</t>
  </si>
  <si>
    <t>ODVN260316E017D410</t>
  </si>
  <si>
    <t>260316AJ6H9GMR</t>
  </si>
  <si>
    <t>2026-03-16 18:20:26</t>
  </si>
  <si>
    <t>2026-03-16 18:27:48</t>
  </si>
  <si>
    <t>2026-03-17 09:11:15</t>
  </si>
  <si>
    <t>2026-03-17 10:06:53</t>
  </si>
  <si>
    <t>2026-03-17 10:29:40</t>
  </si>
  <si>
    <t>2026-03-17 11:38:52</t>
  </si>
  <si>
    <t>ODVN260316CD3DA087</t>
  </si>
  <si>
    <t>260316AEHRUCNT</t>
  </si>
  <si>
    <t>2026-03-16 15:18:24</t>
  </si>
  <si>
    <t>2026-03-16 15:19:44</t>
  </si>
  <si>
    <t>2026-03-16 15:23:31</t>
  </si>
  <si>
    <t>2026-03-16 15:32:49</t>
  </si>
  <si>
    <t>2026-03-16 16:23:26</t>
  </si>
  <si>
    <t>2026-03-19 17:38:45</t>
  </si>
  <si>
    <t>ODVN2603164D094221</t>
  </si>
  <si>
    <t>260316A4C7TY2T</t>
  </si>
  <si>
    <t>2026-03-16 13:29:49</t>
  </si>
  <si>
    <t>2026-03-16 13:38:54</t>
  </si>
  <si>
    <t>2026-03-16 14:00:59</t>
  </si>
  <si>
    <t>2026-03-16 14:13:51</t>
  </si>
  <si>
    <t>2026-03-16 15:08:58</t>
  </si>
  <si>
    <t>2026-03-17 11:22:22</t>
  </si>
  <si>
    <t>ODVN2603167374B75A</t>
  </si>
  <si>
    <t>2603169XA3JN98</t>
  </si>
  <si>
    <t>2026-03-16 13:15:35</t>
  </si>
  <si>
    <t>2026-03-16 13:23:14</t>
  </si>
  <si>
    <t>2026-03-16 13:23:45</t>
  </si>
  <si>
    <t>2026-03-16 14:05:41</t>
  </si>
  <si>
    <t>2026-03-16 14:43:15</t>
  </si>
  <si>
    <t>2026-03-19 15:12:16</t>
  </si>
  <si>
    <t>ODVN26031600B86537</t>
  </si>
  <si>
    <t>2603169WGM62XV</t>
  </si>
  <si>
    <t>2026-03-16 11:00:15</t>
  </si>
  <si>
    <t>2026-03-16 11:05:48</t>
  </si>
  <si>
    <t>2026-03-16 11:23:03</t>
  </si>
  <si>
    <t>2026-03-16 12:58:49</t>
  </si>
  <si>
    <t>2026-03-16 13:45:56</t>
  </si>
  <si>
    <t>2026-03-19 14:07:17</t>
  </si>
  <si>
    <t>ODVN2603164AC141CC</t>
  </si>
  <si>
    <t>2603169NXNBKAT</t>
  </si>
  <si>
    <t>2026-03-16 10:06:08</t>
  </si>
  <si>
    <t>2026-03-16 10:14:51</t>
  </si>
  <si>
    <t>2026-03-16 10:23:09</t>
  </si>
  <si>
    <t>2026-03-16 10:52:32</t>
  </si>
  <si>
    <t>2026-03-16 11:38:56</t>
  </si>
  <si>
    <t>2026-03-19 12:22:24</t>
  </si>
  <si>
    <t>ODVN260316A4BA1AF8</t>
  </si>
  <si>
    <t>2603169JWVSHDR</t>
  </si>
  <si>
    <t>2026-03-16 10:00:09</t>
  </si>
  <si>
    <t>2026-03-16 10:03:53</t>
  </si>
  <si>
    <t>2026-03-16 10:04:13</t>
  </si>
  <si>
    <t>2026-03-16 10:56:28</t>
  </si>
  <si>
    <t>2026-03-16 11:54:28</t>
  </si>
  <si>
    <t>2026-03-17 11:37:25</t>
  </si>
  <si>
    <t>ODVN260316B6DC5F7B</t>
  </si>
  <si>
    <t>2603169JK6BRR1</t>
  </si>
  <si>
    <t>2026-03-16 09:43:48</t>
  </si>
  <si>
    <t>2026-03-16 09:45:00</t>
  </si>
  <si>
    <t>2026-03-16 10:03:43</t>
  </si>
  <si>
    <t>2026-03-16 10:59:45</t>
  </si>
  <si>
    <t>2026-03-16 11:28:43</t>
  </si>
  <si>
    <t>2026-03-16 11:33:06</t>
  </si>
  <si>
    <t>ODVN26031618C96FAF</t>
  </si>
  <si>
    <t>2603169HNWWP0F</t>
  </si>
  <si>
    <t>2026-03-16 09:11:38</t>
  </si>
  <si>
    <t>2026-03-16 09:16:13</t>
  </si>
  <si>
    <t>2026-03-16 09:30:22</t>
  </si>
  <si>
    <t>2026-03-16 11:21:04</t>
  </si>
  <si>
    <t>2026-03-16 12:08:21</t>
  </si>
  <si>
    <t>2026-03-19 13:50:22</t>
  </si>
  <si>
    <t>ODVN260316A2BB9BC1</t>
  </si>
  <si>
    <t>2603169FVAE2R3</t>
  </si>
  <si>
    <t>2026-03-16 08:45:54</t>
  </si>
  <si>
    <t>2026-03-16 08:47:08</t>
  </si>
  <si>
    <t>2026-03-16 08:51:30</t>
  </si>
  <si>
    <t>2026-03-16 10:06:12</t>
  </si>
  <si>
    <t>2026-03-16 10:12:14</t>
  </si>
  <si>
    <t>2026-03-19 11:39:53</t>
  </si>
  <si>
    <t>ODVN26031659F35D74</t>
  </si>
  <si>
    <t>2603169EDSSPXQ</t>
  </si>
  <si>
    <t>2026-03-16 06:38:16</t>
  </si>
  <si>
    <t>2026-03-16 06:44:07</t>
  </si>
  <si>
    <t>2026-03-16 09:13:47</t>
  </si>
  <si>
    <t>2026-03-16 10:48:06</t>
  </si>
  <si>
    <t>2026-03-16 11:08:26</t>
  </si>
  <si>
    <t>2026-03-18 06:51:51</t>
  </si>
  <si>
    <t>ODVN26031684D63A9A</t>
  </si>
  <si>
    <t>26031697A5HPB2</t>
  </si>
  <si>
    <t>2026-03-16 00:09:14</t>
  </si>
  <si>
    <t>2026-03-16 00:10:27</t>
  </si>
  <si>
    <t>2026-03-16 08:51:55</t>
  </si>
  <si>
    <t>2026-03-16 09:20:21</t>
  </si>
  <si>
    <t>2026-03-16 10:52:22</t>
  </si>
  <si>
    <t>2026-03-16 12:10:34</t>
  </si>
  <si>
    <t>ODVN26031627065ACD</t>
  </si>
  <si>
    <t>2603168HHWVVHU</t>
  </si>
  <si>
    <t>2026-03-15 22:28:51</t>
  </si>
  <si>
    <t>2026-03-15 22:34:37</t>
  </si>
  <si>
    <t>2026-03-16 09:13:36</t>
  </si>
  <si>
    <t>2026-03-16 11:27:49</t>
  </si>
  <si>
    <t>2026-03-16 12:19:22</t>
  </si>
  <si>
    <t>2026-03-19 13:24:47</t>
  </si>
  <si>
    <t>ODVN260315C488DB8B</t>
  </si>
  <si>
    <t>2603158BY1UQH1</t>
  </si>
  <si>
    <t>2026-03-15 22:25:23</t>
  </si>
  <si>
    <t>2026-03-15 22:30:46</t>
  </si>
  <si>
    <t>2026-03-16 09:13:23</t>
  </si>
  <si>
    <t>2026-03-16 09:43:14</t>
  </si>
  <si>
    <t>2026-03-16 10:21:16</t>
  </si>
  <si>
    <t>2026-03-19 11:32:33</t>
  </si>
  <si>
    <t>ODVN2603151D5EC752</t>
  </si>
  <si>
    <t>2603158BRUG3XR</t>
  </si>
  <si>
    <t>2026-03-15 21:42:11</t>
  </si>
  <si>
    <t>2026-03-15 21:56:16</t>
  </si>
  <si>
    <t>2026-03-16 09:13:11</t>
  </si>
  <si>
    <t>2026-03-16 11:27:12</t>
  </si>
  <si>
    <t>2026-03-16 12:06:27</t>
  </si>
  <si>
    <t>2026-03-17 07:34:11</t>
  </si>
  <si>
    <t>ODVN26031591E1C475</t>
  </si>
  <si>
    <t>26031589BFSF3X</t>
  </si>
  <si>
    <t>2026-03-15 21:02:11</t>
  </si>
  <si>
    <t>2026-03-16 10:19:25</t>
  </si>
  <si>
    <t>2026-03-16 10:23:17</t>
  </si>
  <si>
    <t>2026-03-16 14:21:04</t>
  </si>
  <si>
    <t>2026-03-16 14:53:06</t>
  </si>
  <si>
    <t>2026-03-19 15:35:01</t>
  </si>
  <si>
    <t>ODVN2603150326C5ED</t>
  </si>
  <si>
    <t>2603158742T9DN</t>
  </si>
  <si>
    <t>2026-03-15 20:30:40</t>
  </si>
  <si>
    <t>2026-03-16 10:19:19</t>
  </si>
  <si>
    <t>2026-03-16 10:23:12</t>
  </si>
  <si>
    <t>2026-03-16 14:43:32</t>
  </si>
  <si>
    <t>2026-03-16 15:43:49</t>
  </si>
  <si>
    <t>2026-03-16 20:43:07</t>
  </si>
  <si>
    <t>ODVN2603158E5410B0</t>
  </si>
  <si>
    <t>26031585BKJCE9</t>
  </si>
  <si>
    <t>2026-03-15 18:05:05</t>
  </si>
  <si>
    <t>2026-03-16 08:23:18</t>
  </si>
  <si>
    <t>2026-03-16 08:51:13</t>
  </si>
  <si>
    <t>2026-03-16 09:33:02</t>
  </si>
  <si>
    <t>2026-03-16 10:54:41</t>
  </si>
  <si>
    <t>2026-03-16 21:17:57</t>
  </si>
  <si>
    <t>ODVN2603155A10E08F</t>
  </si>
  <si>
    <t>2603157W7D2BGR</t>
  </si>
  <si>
    <t>2026-03-15 17:44:42</t>
  </si>
  <si>
    <t>2026-03-15 17:45:56</t>
  </si>
  <si>
    <t>2026-03-16 08:50:31</t>
  </si>
  <si>
    <t>2026-03-16 09:50:54</t>
  </si>
  <si>
    <t>2026-03-16 10:20:42</t>
  </si>
  <si>
    <t>2026-03-19 11:12:03</t>
  </si>
  <si>
    <t>ODVN260315442E728F</t>
  </si>
  <si>
    <t>2603157V2TVD00</t>
  </si>
  <si>
    <t>2026-03-15 17:33:48</t>
  </si>
  <si>
    <t>2026-03-16 08:23:29</t>
  </si>
  <si>
    <t>2026-03-16 08:51:19</t>
  </si>
  <si>
    <t>2026-03-16 10:36:45</t>
  </si>
  <si>
    <t>2026-03-16 10:53:29</t>
  </si>
  <si>
    <t>2026-03-19 11:47:29</t>
  </si>
  <si>
    <t>ODVN26031598F32EE8</t>
  </si>
  <si>
    <t>2603157UFEY5GA</t>
  </si>
  <si>
    <t>2026-03-15 17:11:40</t>
  </si>
  <si>
    <t>2026-03-15 17:17:47</t>
  </si>
  <si>
    <t>2026-03-16 09:30:13</t>
  </si>
  <si>
    <t>2026-03-16 09:52:55</t>
  </si>
  <si>
    <t>2026-03-16 10:58:58</t>
  </si>
  <si>
    <t>2026-03-19 11:12:19</t>
  </si>
  <si>
    <t>ODVN26031595621EFB</t>
  </si>
  <si>
    <t>2603157T7VG5CM</t>
  </si>
  <si>
    <t>2026-03-15 16:31:42</t>
  </si>
  <si>
    <t>2026-03-16 08:23:35</t>
  </si>
  <si>
    <t>2026-03-16 08:51:25</t>
  </si>
  <si>
    <t>2026-03-16 09:14:02</t>
  </si>
  <si>
    <t>2026-03-16 10:10:38</t>
  </si>
  <si>
    <t>2026-03-19 00:45:57</t>
  </si>
  <si>
    <t>ODVN260315DBDFDF28</t>
  </si>
  <si>
    <t>2603157R0DJHNR</t>
  </si>
  <si>
    <t>2026-03-15 14:33:00</t>
  </si>
  <si>
    <t>2026-03-15 14:38:25</t>
  </si>
  <si>
    <t>2026-03-16 08:14:10</t>
  </si>
  <si>
    <t>2026-03-16 08:36:31</t>
  </si>
  <si>
    <t>2026-03-16 08:55:17</t>
  </si>
  <si>
    <t>2026-03-16 12:40:01</t>
  </si>
  <si>
    <t>ODVN26031551495049</t>
  </si>
  <si>
    <t>2603157HC4J6YY</t>
  </si>
  <si>
    <t>2026-03-15 13:50:22</t>
  </si>
  <si>
    <t>2026-03-15 13:51:45</t>
  </si>
  <si>
    <t>2026-03-16 09:30:07</t>
  </si>
  <si>
    <t>2026-03-16 10:42:54</t>
  </si>
  <si>
    <t>2026-03-16 11:11:25</t>
  </si>
  <si>
    <t>2026-03-16 21:01:41</t>
  </si>
  <si>
    <t>ODVN26031539A15FC8</t>
  </si>
  <si>
    <t>2603157EYX2291</t>
  </si>
  <si>
    <t>2026-03-15 12:37:13</t>
  </si>
  <si>
    <t>2026-03-15 14:43:38</t>
  </si>
  <si>
    <t>2026-03-16 08:38:45</t>
  </si>
  <si>
    <t>2026-03-16 09:18:10</t>
  </si>
  <si>
    <t>2026-03-16 09:41:24</t>
  </si>
  <si>
    <t>2026-03-19 10:47:17</t>
  </si>
  <si>
    <t>ODVN2603158C769E3A</t>
  </si>
  <si>
    <t>2603157AW0HHWQ</t>
  </si>
  <si>
    <t>2026-03-15 12:32:55</t>
  </si>
  <si>
    <t>2026-03-15 12:38:30</t>
  </si>
  <si>
    <t>2026-03-16 08:38:40</t>
  </si>
  <si>
    <t>2026-03-16 09:13:30</t>
  </si>
  <si>
    <t>2026-03-16 09:39:03</t>
  </si>
  <si>
    <t>2026-03-16 21:19:30</t>
  </si>
  <si>
    <t>ODVN2603155E49AA98</t>
  </si>
  <si>
    <t>2603157ANEAVXV</t>
  </si>
  <si>
    <t>2026-03-15 12:29:27</t>
  </si>
  <si>
    <t>2026-03-15 12:34:50</t>
  </si>
  <si>
    <t>2026-03-16 09:12:59</t>
  </si>
  <si>
    <t>2026-03-16 10:47:44</t>
  </si>
  <si>
    <t>2026-03-16 11:29:14</t>
  </si>
  <si>
    <t>2026-03-16 19:44:40</t>
  </si>
  <si>
    <t>ODVN260315B26F7F6E</t>
  </si>
  <si>
    <t>2603157AF7XTJC</t>
  </si>
  <si>
    <t>2026-03-15 10:59:25</t>
  </si>
  <si>
    <t>2026-03-15 11:04:39</t>
  </si>
  <si>
    <t>2026-03-16 08:38:34</t>
  </si>
  <si>
    <t>2026-03-16 09:17:47</t>
  </si>
  <si>
    <t>2026-03-16 10:09:06</t>
  </si>
  <si>
    <t>2026-03-16 20:25:22</t>
  </si>
  <si>
    <t>ODVN2603152446709D</t>
  </si>
  <si>
    <t>26031575E798VH</t>
  </si>
  <si>
    <t>2026-03-15 10:41:34</t>
  </si>
  <si>
    <t>2026-03-15 10:48:55</t>
  </si>
  <si>
    <t>2026-03-16 09:12:47</t>
  </si>
  <si>
    <t>2026-03-16 10:34:54</t>
  </si>
  <si>
    <t>2026-03-16 11:17:46</t>
  </si>
  <si>
    <t>2026-03-16 20:41:25</t>
  </si>
  <si>
    <t>ODVN2603151B8646E9</t>
  </si>
  <si>
    <t>26031574EAS3SA</t>
  </si>
  <si>
    <t>2026-03-15 10:14:15</t>
  </si>
  <si>
    <t>2026-03-16 08:16:06</t>
  </si>
  <si>
    <t>2026-03-16 09:30:16</t>
  </si>
  <si>
    <t>2026-03-16 10:38:28</t>
  </si>
  <si>
    <t>2026-03-16 11:14:33</t>
  </si>
  <si>
    <t>2026-03-31 07:00:00</t>
  </si>
  <si>
    <t>ODVN2603151C44CEFF</t>
  </si>
  <si>
    <t>583087700030621209</t>
  </si>
  <si>
    <t>2026-03-15 09:59:47</t>
  </si>
  <si>
    <t>2026-03-15 10:05:16</t>
  </si>
  <si>
    <t>2026-03-16 09:08:33</t>
  </si>
  <si>
    <t>2026-03-16 09:29:35</t>
  </si>
  <si>
    <t>2026-03-16 10:43:04</t>
  </si>
  <si>
    <t>2026-03-16 20:51:11</t>
  </si>
  <si>
    <t>ODVN260315F32E9EB4</t>
  </si>
  <si>
    <t>260315723KX4NT</t>
  </si>
  <si>
    <t>2026-03-15 09:30:46</t>
  </si>
  <si>
    <t>2026-03-15 09:36:05</t>
  </si>
  <si>
    <t>2026-03-16 08:38:29</t>
  </si>
  <si>
    <t>2026-03-16 09:17:25</t>
  </si>
  <si>
    <t>2026-03-16 09:51:03</t>
  </si>
  <si>
    <t>2026-03-16 21:03:52</t>
  </si>
  <si>
    <t>ODVN260315EAC6DE83</t>
  </si>
  <si>
    <t>26031570FQJJNB</t>
  </si>
  <si>
    <t>2026-03-15 09:11:36</t>
  </si>
  <si>
    <t>2026-03-15 09:12:44</t>
  </si>
  <si>
    <t>2026-03-16 08:38:23</t>
  </si>
  <si>
    <t>2026-03-16 09:16:58</t>
  </si>
  <si>
    <t>2026-03-16 10:02:55</t>
  </si>
  <si>
    <t>2026-03-19 11:32:13</t>
  </si>
  <si>
    <t>ODVN2603152F0E8F3F</t>
  </si>
  <si>
    <t>2603156YDB2C70</t>
  </si>
  <si>
    <t>2026-03-15 09:09:24</t>
  </si>
  <si>
    <t>2026-03-15 09:10:44</t>
  </si>
  <si>
    <t>2026-03-16 08:38:18</t>
  </si>
  <si>
    <t>2026-03-16 09:37:51</t>
  </si>
  <si>
    <t>2026-03-16 11:19:50</t>
  </si>
  <si>
    <t>2026-03-16 20:37:24</t>
  </si>
  <si>
    <t>ODVN26031566B77F0A</t>
  </si>
  <si>
    <t>2603156Y9H1B6W</t>
  </si>
  <si>
    <t>2026-03-15 08:08:13</t>
  </si>
  <si>
    <t>2026-03-15 08:14:04</t>
  </si>
  <si>
    <t>2026-03-16 08:38:12</t>
  </si>
  <si>
    <t>2026-03-16 09:13:07</t>
  </si>
  <si>
    <t>2026-03-16 09:51:11</t>
  </si>
  <si>
    <t>2026-03-19 10:01:51</t>
  </si>
  <si>
    <t>ODVN2603152C8DC903</t>
  </si>
  <si>
    <t>2603156UV41GER</t>
  </si>
  <si>
    <t>2026-03-15 07:33:19</t>
  </si>
  <si>
    <t>2026-03-15 07:38:36</t>
  </si>
  <si>
    <t>2026-03-16 09:29:55</t>
  </si>
  <si>
    <t>2026-03-16 09:52:32</t>
  </si>
  <si>
    <t>2026-03-16 10:46:56</t>
  </si>
  <si>
    <t>2026-03-19 11:04:13</t>
  </si>
  <si>
    <t>ODVN260315B5CF3C82</t>
  </si>
  <si>
    <t>2603156SWQ0V9H</t>
  </si>
  <si>
    <t>2026-03-15 07:29:04</t>
  </si>
  <si>
    <t>2026-03-15 07:34:24</t>
  </si>
  <si>
    <t>2026-03-16 09:08:20</t>
  </si>
  <si>
    <t>2026-03-16 09:27:24</t>
  </si>
  <si>
    <t>2026-03-16 09:59:15</t>
  </si>
  <si>
    <t>2026-03-18 11:20:28</t>
  </si>
  <si>
    <t>ODVN26031593724FD1</t>
  </si>
  <si>
    <t>2603156SP3VUCK</t>
  </si>
  <si>
    <t>2026-03-15 07:28:04</t>
  </si>
  <si>
    <t>2026-03-15 07:29:26</t>
  </si>
  <si>
    <t>2026-03-16 09:08:04</t>
  </si>
  <si>
    <t>2026-03-16 10:13:05</t>
  </si>
  <si>
    <t>2026-03-16 10:47:29</t>
  </si>
  <si>
    <t>2026-03-18 11:19:27</t>
  </si>
  <si>
    <t>ODVN26031552EC9D29</t>
  </si>
  <si>
    <t>2603156SM6U2GC</t>
  </si>
  <si>
    <t>2026-03-15 01:43:39</t>
  </si>
  <si>
    <t>2026-03-15 01:44:43</t>
  </si>
  <si>
    <t>2026-03-16 09:07:51</t>
  </si>
  <si>
    <t>2026-03-16 09:48:14</t>
  </si>
  <si>
    <t>2026-03-16 12:37:03</t>
  </si>
  <si>
    <t>ODVN26031560252A3E</t>
  </si>
  <si>
    <t>26031566CB5AP1</t>
  </si>
  <si>
    <t>2026-03-15 01:16:40</t>
  </si>
  <si>
    <t>2026-03-15 01:24:04</t>
  </si>
  <si>
    <t>2026-03-16 08:38:07</t>
  </si>
  <si>
    <t>2026-03-16 09:37:35</t>
  </si>
  <si>
    <t>2026-03-16 10:50:30</t>
  </si>
  <si>
    <t>2026-03-19 11:49:39</t>
  </si>
  <si>
    <t>ODVN260315EDAF286E</t>
  </si>
  <si>
    <t>26031564V702PF</t>
  </si>
  <si>
    <t>2026-03-15 01:03:49</t>
  </si>
  <si>
    <t>2026-03-15 01:15:26</t>
  </si>
  <si>
    <t>2026-03-16 09:29:49</t>
  </si>
  <si>
    <t>2026-03-16 10:29:01</t>
  </si>
  <si>
    <t>2026-03-16 10:56:02</t>
  </si>
  <si>
    <t>2026-03-17 17:39:05</t>
  </si>
  <si>
    <t>ODVN2603156CE255D6</t>
  </si>
  <si>
    <t>2603156457Q4CR</t>
  </si>
  <si>
    <t>2026-03-15 00:48:12</t>
  </si>
  <si>
    <t>2026-03-15 09:27:27</t>
  </si>
  <si>
    <t>2026-03-16 09:30:00</t>
  </si>
  <si>
    <t>2026-03-16 09:52:31</t>
  </si>
  <si>
    <t>2026-03-16 11:01:54</t>
  </si>
  <si>
    <t>2026-03-19 12:14:04</t>
  </si>
  <si>
    <t>ODVN2603151B11F802</t>
  </si>
  <si>
    <t>260315639954YS</t>
  </si>
  <si>
    <t>2026-03-15 00:37:12</t>
  </si>
  <si>
    <t>2026-03-15 01:07:36</t>
  </si>
  <si>
    <t>2026-03-16 08:13:54</t>
  </si>
  <si>
    <t>2026-03-16 08:29:07</t>
  </si>
  <si>
    <t>2026-03-16 09:15:20</t>
  </si>
  <si>
    <t>2026-03-19 10:01:45</t>
  </si>
  <si>
    <t>ODVN260315BF12E6F8</t>
  </si>
  <si>
    <t>26031562NMPR84</t>
  </si>
  <si>
    <t>2026-03-15 00:31:17</t>
  </si>
  <si>
    <t>2026-03-15 01:00:45</t>
  </si>
  <si>
    <t>2026-03-16 08:13:43</t>
  </si>
  <si>
    <t>2026-03-16 08:29:26</t>
  </si>
  <si>
    <t>2026-03-16 09:04:41</t>
  </si>
  <si>
    <t>2026-03-19 10:08:54</t>
  </si>
  <si>
    <t>ODVN260315025D4DFF</t>
  </si>
  <si>
    <t>26031562B14GNY</t>
  </si>
  <si>
    <t>2026-03-15 00:24:05</t>
  </si>
  <si>
    <t>2026-03-15 01:00:49</t>
  </si>
  <si>
    <t>2026-03-16 09:06:20</t>
  </si>
  <si>
    <t>2026-03-16 09:42:12</t>
  </si>
  <si>
    <t>2026-03-16 10:30:59</t>
  </si>
  <si>
    <t>2026-03-16 20:27:19</t>
  </si>
  <si>
    <t>ODVN260315EC74DCE8</t>
  </si>
  <si>
    <t>26031561X54UXP</t>
  </si>
  <si>
    <t>2026-03-15 00:11:16</t>
  </si>
  <si>
    <t>2026-03-15 01:01:49</t>
  </si>
  <si>
    <t>2026-03-16 08:13:48</t>
  </si>
  <si>
    <t>2026-03-16 08:31:43</t>
  </si>
  <si>
    <t>2026-03-16 08:52:48</t>
  </si>
  <si>
    <t>2026-03-16 20:58:42</t>
  </si>
  <si>
    <t>ODVN260315BD135A86</t>
  </si>
  <si>
    <t>260315616KTQJ5</t>
  </si>
  <si>
    <t>2026-03-15 00:09:55</t>
  </si>
  <si>
    <t>2026-03-15 08:10:45</t>
  </si>
  <si>
    <t>2026-03-16 08:14:05</t>
  </si>
  <si>
    <t>2026-03-16 08:29:42</t>
  </si>
  <si>
    <t>2026-03-16 09:41:34</t>
  </si>
  <si>
    <t>2026-03-16 21:11:58</t>
  </si>
  <si>
    <t>ODVN260315B5E04DEF</t>
  </si>
  <si>
    <t>260315614TGRVG</t>
  </si>
  <si>
    <t>2026-03-15 00:03:00</t>
  </si>
  <si>
    <t>2026-03-15 01:02:54</t>
  </si>
  <si>
    <t>2026-03-16 09:05:55</t>
  </si>
  <si>
    <t>2026-03-16 10:00:57</t>
  </si>
  <si>
    <t>2026-03-16 11:13:38</t>
  </si>
  <si>
    <t>2026-03-16 21:11:11</t>
  </si>
  <si>
    <t>ODVN2603159EC08DB7</t>
  </si>
  <si>
    <t>26031560RBWJSU</t>
  </si>
  <si>
    <t>2026-03-14 14:51:47</t>
  </si>
  <si>
    <t>2026-03-14 14:57:14</t>
  </si>
  <si>
    <t>2026-03-14 15:06:38</t>
  </si>
  <si>
    <t>2026-03-14 15:35:21</t>
  </si>
  <si>
    <t>2026-03-14 16:13:43</t>
  </si>
  <si>
    <t>2026-03-15 14:52:29</t>
  </si>
  <si>
    <t>ODVN260314C4F4C840</t>
  </si>
  <si>
    <t>26031451XSWN7W</t>
  </si>
  <si>
    <t>2026-03-14 10:37:15</t>
  </si>
  <si>
    <t>2026-03-14 10:42:44</t>
  </si>
  <si>
    <t>2026-03-14 10:44:22</t>
  </si>
  <si>
    <t>2026-03-14 11:07:22</t>
  </si>
  <si>
    <t>2026-03-14 12:25:07</t>
  </si>
  <si>
    <t>2026-03-15 12:14:27</t>
  </si>
  <si>
    <t>ODVN2603149AF56D41</t>
  </si>
  <si>
    <t>2603144KQNBQMP</t>
  </si>
  <si>
    <t>2026-03-14 09:05:48</t>
  </si>
  <si>
    <t>2026-03-14 09:13:13</t>
  </si>
  <si>
    <t>2026-03-14 14:23:22</t>
  </si>
  <si>
    <t>2026-03-14 15:13:14</t>
  </si>
  <si>
    <t>2026-03-14 16:02:34</t>
  </si>
  <si>
    <t>2026-03-15 12:02:14</t>
  </si>
  <si>
    <t>ODVN260314E51796D0</t>
  </si>
  <si>
    <t>2603144EM5HA2E</t>
  </si>
  <si>
    <t>2026-03-13 15:46:48</t>
  </si>
  <si>
    <t>2026-03-13 15:48:38</t>
  </si>
  <si>
    <t>2026-03-13 16:23:37</t>
  </si>
  <si>
    <t>2026-03-13 17:39:25</t>
  </si>
  <si>
    <t>2026-03-13 18:08:21</t>
  </si>
  <si>
    <t>2026-03-16 19:34:07</t>
  </si>
  <si>
    <t>ODVN260313901ABEEE</t>
  </si>
  <si>
    <t>2603132MJ8HG5D</t>
  </si>
  <si>
    <t>2026-03-13 14:22:58</t>
  </si>
  <si>
    <t>2026-03-13 14:25:31</t>
  </si>
  <si>
    <t>2026-03-13 16:23:32</t>
  </si>
  <si>
    <t>2026-03-13 16:34:50</t>
  </si>
  <si>
    <t>2026-03-13 17:26:51</t>
  </si>
  <si>
    <t>2026-03-16 18:12:11</t>
  </si>
  <si>
    <t>ODVN260313DCBAF275</t>
  </si>
  <si>
    <t>2603132FVCFGVM</t>
  </si>
  <si>
    <t>2026-03-13 13:28:15</t>
  </si>
  <si>
    <t>2026-03-13 13:32:15</t>
  </si>
  <si>
    <t>2026-03-13 13:32:38</t>
  </si>
  <si>
    <t>2026-03-13 14:40:00</t>
  </si>
  <si>
    <t>2026-03-13 14:51:01</t>
  </si>
  <si>
    <t>2026-03-16 15:07:34</t>
  </si>
  <si>
    <t>ODVN2603136C912D88</t>
  </si>
  <si>
    <t>2603132CTGKYCA</t>
  </si>
  <si>
    <t>2026-03-13 13:12:30</t>
  </si>
  <si>
    <t>2026-03-13 13:17:27</t>
  </si>
  <si>
    <t>2026-03-13 13:30:33</t>
  </si>
  <si>
    <t>2026-03-13 14:20:00</t>
  </si>
  <si>
    <t>2026-03-13 14:21:17</t>
  </si>
  <si>
    <t>2026-03-16 15:05:11</t>
  </si>
  <si>
    <t>ODVN2603135FCA7CB9</t>
  </si>
  <si>
    <t>2603132BXCD441</t>
  </si>
  <si>
    <t>2026-03-13 12:42:28</t>
  </si>
  <si>
    <t>2026-03-13 12:43:39</t>
  </si>
  <si>
    <t>2026-03-13 13:11:22</t>
  </si>
  <si>
    <t>2026-03-13 13:17:44</t>
  </si>
  <si>
    <t>2026-03-13 13:39:50</t>
  </si>
  <si>
    <t>2026-03-13 13:40:19</t>
  </si>
  <si>
    <t>ODVN260313876346A7</t>
  </si>
  <si>
    <t>2603132A8J16M8</t>
  </si>
  <si>
    <t>2026-03-13 12:00:09</t>
  </si>
  <si>
    <t>2026-03-13 12:05:29</t>
  </si>
  <si>
    <t>2026-03-13 13:11:17</t>
  </si>
  <si>
    <t>2026-03-13 13:17:29</t>
  </si>
  <si>
    <t>2026-03-13 14:11:16</t>
  </si>
  <si>
    <t>2026-03-13 17:40:56</t>
  </si>
  <si>
    <t>ODVN260313EAFFFD1C</t>
  </si>
  <si>
    <t>26031327W0DYPG</t>
  </si>
  <si>
    <t>2026-03-13 10:56:08</t>
  </si>
  <si>
    <t>2026-03-13 10:57:17</t>
  </si>
  <si>
    <t>2026-03-13 11:24:03</t>
  </si>
  <si>
    <t>2026-03-13 12:03:37</t>
  </si>
  <si>
    <t>2026-03-13 13:18:22</t>
  </si>
  <si>
    <t>2026-03-16 14:33:43</t>
  </si>
  <si>
    <t>ODVN260313E12AEA91</t>
  </si>
  <si>
    <t>26031324AGD8MV</t>
  </si>
  <si>
    <t>2026-03-13 10:24:06</t>
  </si>
  <si>
    <t>2026-03-13 10:31:20</t>
  </si>
  <si>
    <t>2026-03-13 10:31:49</t>
  </si>
  <si>
    <t>2026-03-13 11:06:39</t>
  </si>
  <si>
    <t>2026-03-13 11:52:50</t>
  </si>
  <si>
    <t>2026-03-15 14:58:34</t>
  </si>
  <si>
    <t>ODVN260313008D145F</t>
  </si>
  <si>
    <t>26031322H7EFVR</t>
  </si>
  <si>
    <t>2026-03-13 08:59:14</t>
  </si>
  <si>
    <t>2026-03-13 09:00:23</t>
  </si>
  <si>
    <t>2026-03-13 09:06:13</t>
  </si>
  <si>
    <t>2026-03-13 09:55:51</t>
  </si>
  <si>
    <t>2026-03-13 10:03:38</t>
  </si>
  <si>
    <t>2026-03-13 10:05:21</t>
  </si>
  <si>
    <t>ODVN2603134D4D4B39</t>
  </si>
  <si>
    <t>2603131WSGA94N</t>
  </si>
  <si>
    <t>2026-03-13 08:42:13</t>
  </si>
  <si>
    <t>2026-03-13 08:43:25</t>
  </si>
  <si>
    <t>2026-03-13 08:52:31</t>
  </si>
  <si>
    <t>2026-03-13 09:09:48</t>
  </si>
  <si>
    <t>2026-03-13 09:23:53</t>
  </si>
  <si>
    <t>2026-03-16 10:28:46</t>
  </si>
  <si>
    <t>ODVN26031322368196</t>
  </si>
  <si>
    <t>2603131VU2NDNP</t>
  </si>
  <si>
    <t>2026-03-12 15:30:51</t>
  </si>
  <si>
    <t>2026-03-12 15:36:11</t>
  </si>
  <si>
    <t>2026-03-12 15:56:35</t>
  </si>
  <si>
    <t>2026-03-12 16:12:04</t>
  </si>
  <si>
    <t>2026-03-12 18:13:22</t>
  </si>
  <si>
    <t>2026-03-12 18:54:12</t>
  </si>
  <si>
    <t>ODVN260312654780CF</t>
  </si>
  <si>
    <t>260312036TE8BV</t>
  </si>
  <si>
    <t>2026-03-12 15:10:44</t>
  </si>
  <si>
    <t>2026-03-12 15:16:58</t>
  </si>
  <si>
    <t>2026-03-12 15:32:01</t>
  </si>
  <si>
    <t>2026-03-12 15:52:19</t>
  </si>
  <si>
    <t>2026-03-12 17:12:53</t>
  </si>
  <si>
    <t>2026-03-15 18:36:54</t>
  </si>
  <si>
    <t>ODVN2603121A73B84E</t>
  </si>
  <si>
    <t>260312022V8HUH</t>
  </si>
  <si>
    <t>2026-03-12 13:17:03</t>
  </si>
  <si>
    <t>2026-03-12 13:23:37</t>
  </si>
  <si>
    <t>2026-03-12 13:33:49</t>
  </si>
  <si>
    <t>2026-03-12 14:19:22</t>
  </si>
  <si>
    <t>2026-03-12 14:56:31</t>
  </si>
  <si>
    <t>2026-03-15 15:53:51</t>
  </si>
  <si>
    <t>ODVN26031207F02260</t>
  </si>
  <si>
    <t>260312VY1WKABB</t>
  </si>
  <si>
    <t>2026-03-12 13:16:29</t>
  </si>
  <si>
    <t>2026-03-12 13:26:30</t>
  </si>
  <si>
    <t>2026-03-12 13:27:23</t>
  </si>
  <si>
    <t>2026-03-12 13:44:11</t>
  </si>
  <si>
    <t>2026-03-12 14:10:17</t>
  </si>
  <si>
    <t>2026-03-27 07:00:00</t>
  </si>
  <si>
    <t>ODVN260312B1456692</t>
  </si>
  <si>
    <t>583041928825111727</t>
  </si>
  <si>
    <t>2026-03-12 12:37:36</t>
  </si>
  <si>
    <t>2026-03-12 12:43:24</t>
  </si>
  <si>
    <t>2026-03-12 13:26:04</t>
  </si>
  <si>
    <t>2026-03-12 13:39:34</t>
  </si>
  <si>
    <t>2026-03-12 13:45:34</t>
  </si>
  <si>
    <t>2026-03-15 14:08:20</t>
  </si>
  <si>
    <t>ODVN26031205B5537D</t>
  </si>
  <si>
    <t>260312VVUC6GWA</t>
  </si>
  <si>
    <t>2026-03-12 12:03:13</t>
  </si>
  <si>
    <t>2026-03-12 12:04:22</t>
  </si>
  <si>
    <t>2026-03-12 13:16:10</t>
  </si>
  <si>
    <t>2026-03-12 13:38:41</t>
  </si>
  <si>
    <t>2026-03-12 15:20:17</t>
  </si>
  <si>
    <t>2026-03-13 02:10:00</t>
  </si>
  <si>
    <t>ODVN2603127C9C585D</t>
  </si>
  <si>
    <t>260312VTWVTTPQ</t>
  </si>
  <si>
    <t>2026-03-12 09:44:03</t>
  </si>
  <si>
    <t>2026-03-12 09:49:48</t>
  </si>
  <si>
    <t>2026-03-12 09:51:47</t>
  </si>
  <si>
    <t>2026-03-12 11:05:40</t>
  </si>
  <si>
    <t>2026-03-12 11:26:19</t>
  </si>
  <si>
    <t>2026-03-15 12:35:46</t>
  </si>
  <si>
    <t>ODVN26031291A8A6EC</t>
  </si>
  <si>
    <t>260312VK51JMNM</t>
  </si>
  <si>
    <t>2026-03-12 09:36:05</t>
  </si>
  <si>
    <t>2026-03-12 09:37:15</t>
  </si>
  <si>
    <t>2026-03-12 09:48:57</t>
  </si>
  <si>
    <t>2026-03-12 10:03:38</t>
  </si>
  <si>
    <t>2026-03-12 10:21:40</t>
  </si>
  <si>
    <t>2026-03-15 11:22:09</t>
  </si>
  <si>
    <t>ODVN2603120D2CEA97</t>
  </si>
  <si>
    <t>260312VJPRSEFU</t>
  </si>
  <si>
    <t>2026-03-12 07:53:23</t>
  </si>
  <si>
    <t>2026-03-12 07:54:48</t>
  </si>
  <si>
    <t>2026-03-12 09:33:07</t>
  </si>
  <si>
    <t>2026-03-12 09:47:14</t>
  </si>
  <si>
    <t>2026-03-12 11:14:02</t>
  </si>
  <si>
    <t>2026-03-15 12:49:38</t>
  </si>
  <si>
    <t>ODVN260312449AA7AD</t>
  </si>
  <si>
    <t>260312VCY587S1</t>
  </si>
  <si>
    <t>2026-03-12 07:52:09</t>
  </si>
  <si>
    <t>2026-03-12 07:53:19</t>
  </si>
  <si>
    <t>2026-03-12 09:33:02</t>
  </si>
  <si>
    <t>2026-03-12 09:46:52</t>
  </si>
  <si>
    <t>2026-03-12 11:13:42</t>
  </si>
  <si>
    <t>ODVN260312F4CD9FE2</t>
  </si>
  <si>
    <t>260312VCVXNPC9</t>
  </si>
  <si>
    <t>2026-03-12 06:21:48</t>
  </si>
  <si>
    <t>2026-03-12 06:22:57</t>
  </si>
  <si>
    <t>2026-03-12 08:51:07</t>
  </si>
  <si>
    <t>2026-03-12 09:12:51</t>
  </si>
  <si>
    <t>2026-03-12 09:48:29</t>
  </si>
  <si>
    <t>2026-03-15 10:51:53</t>
  </si>
  <si>
    <t>ODVN260312C08C17FE</t>
  </si>
  <si>
    <t>260312V7UCT553</t>
  </si>
  <si>
    <t>2026-03-12 01:16:24</t>
  </si>
  <si>
    <t>2026-03-12 01:21:38</t>
  </si>
  <si>
    <t>2026-03-12 08:37:16</t>
  </si>
  <si>
    <t>2026-03-12 09:06:00</t>
  </si>
  <si>
    <t>2026-03-12 10:06:23</t>
  </si>
  <si>
    <t>2026-03-15 11:38:41</t>
  </si>
  <si>
    <t>ODVN260312CF158E83</t>
  </si>
  <si>
    <t>260312UPS9M5KH</t>
  </si>
  <si>
    <t>2026-03-12 01:00:59</t>
  </si>
  <si>
    <t>2026-03-12 01:06:18</t>
  </si>
  <si>
    <t>2026-03-12 08:51:02</t>
  </si>
  <si>
    <t>2026-03-12 09:50:28</t>
  </si>
  <si>
    <t>2026-03-12 10:51:37</t>
  </si>
  <si>
    <t>2026-03-15 11:05:09</t>
  </si>
  <si>
    <t>ODVN260312EA09264B</t>
  </si>
  <si>
    <t>260312UNWQGP7S</t>
  </si>
  <si>
    <t>2026-03-11 22:58:25</t>
  </si>
  <si>
    <t>2026-03-12 09:04:38</t>
  </si>
  <si>
    <t>2026-03-12 13:16:03</t>
  </si>
  <si>
    <t>2026-03-12 13:35:56</t>
  </si>
  <si>
    <t>2026-03-12 14:26:54</t>
  </si>
  <si>
    <t>2026-03-12 18:01:54</t>
  </si>
  <si>
    <t>ODVN260311950C48BF</t>
  </si>
  <si>
    <t>260311UF1X6JAQ</t>
  </si>
  <si>
    <t>2026-03-11 22:57:12</t>
  </si>
  <si>
    <t>2026-03-11 22:58:18</t>
  </si>
  <si>
    <t>2026-03-12 08:37:27</t>
  </si>
  <si>
    <t>2026-03-12 08:55:13</t>
  </si>
  <si>
    <t>2026-03-12 09:35:44</t>
  </si>
  <si>
    <t>2026-03-15 10:07:22</t>
  </si>
  <si>
    <t>ODVN260311B9C2F867</t>
  </si>
  <si>
    <t>260311UF0BJDY2</t>
  </si>
  <si>
    <t>2026-03-11 19:47:18</t>
  </si>
  <si>
    <t>2026-03-11 19:48:28</t>
  </si>
  <si>
    <t>2026-03-12 08:41:57</t>
  </si>
  <si>
    <t>2026-03-12 09:43:01</t>
  </si>
  <si>
    <t>2026-03-12 10:27:36</t>
  </si>
  <si>
    <t>2026-03-14 14:37:29</t>
  </si>
  <si>
    <t>ODVN26031199C0907D</t>
  </si>
  <si>
    <t>260311U4CTC0SD</t>
  </si>
  <si>
    <t>2026-03-11 14:21:50</t>
  </si>
  <si>
    <t>2026-03-11 14:29:06</t>
  </si>
  <si>
    <t>2026-03-11 14:33:31</t>
  </si>
  <si>
    <t>2026-03-11 14:48:46</t>
  </si>
  <si>
    <t>2026-03-11 16:03:42</t>
  </si>
  <si>
    <t>2026-03-14 17:44:04</t>
  </si>
  <si>
    <t>ODVN26031192829835</t>
  </si>
  <si>
    <t>260311TJ6U27TG</t>
  </si>
  <si>
    <t>2026-03-11 13:53:51</t>
  </si>
  <si>
    <t>2026-03-11 14:01:06</t>
  </si>
  <si>
    <t>2026-03-11 14:04:07</t>
  </si>
  <si>
    <t>2026-03-11 14:20:17</t>
  </si>
  <si>
    <t>2026-03-11 14:38:36</t>
  </si>
  <si>
    <t>2026-03-14 15:20:02</t>
  </si>
  <si>
    <t>ODVN2603111BED5C34</t>
  </si>
  <si>
    <t>260311TGMSUB5F</t>
  </si>
  <si>
    <t>2026-03-11 13:44:03</t>
  </si>
  <si>
    <t>2026-03-11 13:49:38</t>
  </si>
  <si>
    <t>2026-03-11 13:53:48</t>
  </si>
  <si>
    <t>2026-03-11 14:26:33</t>
  </si>
  <si>
    <t>2026-03-11 15:05:35</t>
  </si>
  <si>
    <t>2026-03-14 16:23:34</t>
  </si>
  <si>
    <t>ODVN2603119D856CC2</t>
  </si>
  <si>
    <t>260311TG2N33S0</t>
  </si>
  <si>
    <t>2026-03-11 13:28:29</t>
  </si>
  <si>
    <t>2026-03-11 13:31:15</t>
  </si>
  <si>
    <t>2026-03-11 13:35:00</t>
  </si>
  <si>
    <t>2026-03-11 14:28:00</t>
  </si>
  <si>
    <t>2026-03-11 15:01:06</t>
  </si>
  <si>
    <t>2026-03-14 16:05:12</t>
  </si>
  <si>
    <t>ODVN260311BDBCCD11</t>
  </si>
  <si>
    <t>260311TF7EBQWH</t>
  </si>
  <si>
    <t>2026-03-11 13:10:04</t>
  </si>
  <si>
    <t>2026-03-11 13:15:46</t>
  </si>
  <si>
    <t>2026-03-11 13:49:44</t>
  </si>
  <si>
    <t>2026-03-11 14:14:42</t>
  </si>
  <si>
    <t>2026-03-11 15:14:17</t>
  </si>
  <si>
    <t>2026-03-14 16:05:11</t>
  </si>
  <si>
    <t>ODVN260311331B72AF</t>
  </si>
  <si>
    <t>260311TE6FKGWN</t>
  </si>
  <si>
    <t>2026-03-11 12:44:14</t>
  </si>
  <si>
    <t>2026-03-11 12:51:36</t>
  </si>
  <si>
    <t>2026-03-11 13:10:24</t>
  </si>
  <si>
    <t>2026-03-11 13:52:13</t>
  </si>
  <si>
    <t>2026-03-11 14:19:07</t>
  </si>
  <si>
    <t>2026-03-12 08:46:15</t>
  </si>
  <si>
    <t>ODVN2603115D71BD45</t>
  </si>
  <si>
    <t>260311TCR9B0YA</t>
  </si>
  <si>
    <t>2026-03-11 12:42:38</t>
  </si>
  <si>
    <t>2026-03-11 12:48:07</t>
  </si>
  <si>
    <t>2026-03-11 13:10:14</t>
  </si>
  <si>
    <t>2026-03-11 13:39:01</t>
  </si>
  <si>
    <t>2026-03-11 14:55:24</t>
  </si>
  <si>
    <t>2026-03-14 15:35:40</t>
  </si>
  <si>
    <t>ODVN260311EA5FD4DA</t>
  </si>
  <si>
    <t>260311TCNERP5N</t>
  </si>
  <si>
    <t>2026-03-11 12:27:57</t>
  </si>
  <si>
    <t>2026-03-11 12:29:16</t>
  </si>
  <si>
    <t>2026-03-11 13:49:39</t>
  </si>
  <si>
    <t>2026-03-11 14:26:01</t>
  </si>
  <si>
    <t>2026-03-11 14:54:41</t>
  </si>
  <si>
    <t>2026-03-12 19:16:08</t>
  </si>
  <si>
    <t>ODVN2603117F80017A</t>
  </si>
  <si>
    <t>260311TBU6JHME</t>
  </si>
  <si>
    <t>2026-03-11 12:19:13</t>
  </si>
  <si>
    <t>2026-03-11 13:17:26</t>
  </si>
  <si>
    <t>2026-03-11 13:49:50</t>
  </si>
  <si>
    <t>2026-03-11 14:18:32</t>
  </si>
  <si>
    <t>2026-03-11 15:29:24</t>
  </si>
  <si>
    <t>2026-03-11 15:40:49</t>
  </si>
  <si>
    <t>ODVN260311618DBD62</t>
  </si>
  <si>
    <t>260311TBBJU942</t>
  </si>
  <si>
    <t>2026-03-11 12:08:07</t>
  </si>
  <si>
    <t>2026-03-11 12:13:38</t>
  </si>
  <si>
    <t>2026-03-11 13:49:34</t>
  </si>
  <si>
    <t>2026-03-11 14:48:09</t>
  </si>
  <si>
    <t>2026-03-11 15:13:21</t>
  </si>
  <si>
    <t>2026-03-14 16:31:06</t>
  </si>
  <si>
    <t>ODVN26031174B08EC2</t>
  </si>
  <si>
    <t>260311TAQQQPA7</t>
  </si>
  <si>
    <t>2026-03-11 11:50:24</t>
  </si>
  <si>
    <t>2026-03-11 11:51:36</t>
  </si>
  <si>
    <t>2026-03-11 13:10:02</t>
  </si>
  <si>
    <t>2026-03-11 13:29:09</t>
  </si>
  <si>
    <t>2026-03-11 14:14:07</t>
  </si>
  <si>
    <t>2026-03-12 08:39:13</t>
  </si>
  <si>
    <t>ODVN26031179166501</t>
  </si>
  <si>
    <t>260311T9QX4YA5</t>
  </si>
  <si>
    <t>2026-03-11 11:49:23</t>
  </si>
  <si>
    <t>2026-03-11 11:54:46</t>
  </si>
  <si>
    <t>2026-03-11 14:25:14</t>
  </si>
  <si>
    <t>2026-03-11 15:25:09</t>
  </si>
  <si>
    <t>2026-03-11 16:02:42</t>
  </si>
  <si>
    <t>2026-03-13 08:27:12</t>
  </si>
  <si>
    <t>ODVN260311DD7C3366</t>
  </si>
  <si>
    <t>260311T9P6V3T8</t>
  </si>
  <si>
    <t>2026-03-11 10:40:57</t>
  </si>
  <si>
    <t>2026-03-11 10:47:20</t>
  </si>
  <si>
    <t>2026-03-11 11:11:08</t>
  </si>
  <si>
    <t>2026-03-11 11:50:59</t>
  </si>
  <si>
    <t>2026-03-11 15:55:00</t>
  </si>
  <si>
    <t>2026-03-14 16:12:44</t>
  </si>
  <si>
    <t>ODVN260311FA9F60EC</t>
  </si>
  <si>
    <t>260311T5UV19FM</t>
  </si>
  <si>
    <t>2026-03-11 10:30:56</t>
  </si>
  <si>
    <t>2026-03-11 10:32:06</t>
  </si>
  <si>
    <t>2026-03-11 10:38:07</t>
  </si>
  <si>
    <t>2026-03-11 10:59:53</t>
  </si>
  <si>
    <t>2026-03-11 12:39:26</t>
  </si>
  <si>
    <t>2026-03-12 09:24:48</t>
  </si>
  <si>
    <t>ODVN260311B0142E55</t>
  </si>
  <si>
    <t>260311T59XT4MC</t>
  </si>
  <si>
    <t>2026-03-11 09:28:52</t>
  </si>
  <si>
    <t>2026-03-11 09:30:07</t>
  </si>
  <si>
    <t>2026-03-11 09:36:14</t>
  </si>
  <si>
    <t>2026-03-11 10:24:52</t>
  </si>
  <si>
    <t>2026-03-11 11:07:18</t>
  </si>
  <si>
    <t>2026-03-14 12:07:41</t>
  </si>
  <si>
    <t>ODVN2603119F173233</t>
  </si>
  <si>
    <t>260311T1TYB4V2</t>
  </si>
  <si>
    <t>2026-03-11 08:45:31</t>
  </si>
  <si>
    <t>2026-03-11 08:46:06</t>
  </si>
  <si>
    <t>2026-03-11 09:05:39</t>
  </si>
  <si>
    <t>2026-03-11 09:27:23</t>
  </si>
  <si>
    <t>2026-03-11 11:04:27</t>
  </si>
  <si>
    <t>2026-03-14 12:36:11</t>
  </si>
  <si>
    <t>ODVN260311F52D7C5B</t>
  </si>
  <si>
    <t>260311SYDDX215</t>
  </si>
  <si>
    <t>2026-03-11 07:42:21</t>
  </si>
  <si>
    <t>2026-03-11 07:49:46</t>
  </si>
  <si>
    <t>2026-03-11 09:05:34</t>
  </si>
  <si>
    <t>2026-03-11 10:09:22</t>
  </si>
  <si>
    <t>2026-03-11 10:52:12</t>
  </si>
  <si>
    <t>2026-03-12 08:33:51</t>
  </si>
  <si>
    <t>ODVN2603117AAA595A</t>
  </si>
  <si>
    <t>260311SUVFE34M</t>
  </si>
  <si>
    <t>2026-03-11 07:34:30</t>
  </si>
  <si>
    <t>2026-03-11 07:39:48</t>
  </si>
  <si>
    <t>2026-03-11 09:05:28</t>
  </si>
  <si>
    <t>2026-03-11 10:01:10</t>
  </si>
  <si>
    <t>2026-03-11 10:29:49</t>
  </si>
  <si>
    <t>2026-03-13 00:01:45</t>
  </si>
  <si>
    <t>ODVN260311238F7413</t>
  </si>
  <si>
    <t>260311SUEF8PJN</t>
  </si>
  <si>
    <t>2026-03-11 06:03:27</t>
  </si>
  <si>
    <t>2026-03-11 06:08:45</t>
  </si>
  <si>
    <t>2026-03-11 09:05:22</t>
  </si>
  <si>
    <t>2026-03-11 09:51:47</t>
  </si>
  <si>
    <t>2026-03-11 10:03:26</t>
  </si>
  <si>
    <t>2026-03-11 10:31:18</t>
  </si>
  <si>
    <t>ODVN260311E58B0973</t>
  </si>
  <si>
    <t>260311SPBNBQJW</t>
  </si>
  <si>
    <t>2026-03-11 05:39:05</t>
  </si>
  <si>
    <t>2026-03-11 12:26:46</t>
  </si>
  <si>
    <t>2026-03-11 14:24:49</t>
  </si>
  <si>
    <t>2026-03-11 14:46:05</t>
  </si>
  <si>
    <t>2026-03-11 15:05:57</t>
  </si>
  <si>
    <t>2026-03-12 08:38:12</t>
  </si>
  <si>
    <t>ODVN2603119C8C605F</t>
  </si>
  <si>
    <t>260311SN032N8Y</t>
  </si>
  <si>
    <t>2026-03-11 00:57:59</t>
  </si>
  <si>
    <t>2026-03-11 01:03:14</t>
  </si>
  <si>
    <t>2026-03-11 09:05:17</t>
  </si>
  <si>
    <t>2026-03-11 09:18:57</t>
  </si>
  <si>
    <t>2026-03-11 09:29:24</t>
  </si>
  <si>
    <t>2026-03-12 08:40:54</t>
  </si>
  <si>
    <t>ODVN26031187711CE6</t>
  </si>
  <si>
    <t>260311S59ECYVU</t>
  </si>
  <si>
    <t>2026-03-10 23:51:10</t>
  </si>
  <si>
    <t>2026-03-10 23:56:25</t>
  </si>
  <si>
    <t>2026-03-11 08:45:43</t>
  </si>
  <si>
    <t>2026-03-11 09:30:37</t>
  </si>
  <si>
    <t>2026-03-11 09:56:12</t>
  </si>
  <si>
    <t>2026-03-14 10:02:28</t>
  </si>
  <si>
    <t>ODVN26031041B610DC</t>
  </si>
  <si>
    <t>260311S1HY44BG</t>
  </si>
  <si>
    <t>2026-03-10 23:51:07</t>
  </si>
  <si>
    <t>2026-03-10 23:56:45</t>
  </si>
  <si>
    <t>2026-03-11 09:05:12</t>
  </si>
  <si>
    <t>2026-03-11 09:40:20</t>
  </si>
  <si>
    <t>2026-03-11 10:00:06</t>
  </si>
  <si>
    <t>2026-03-14 11:25:13</t>
  </si>
  <si>
    <t>ODVN2603108FF62F52</t>
  </si>
  <si>
    <t>260311S1HV94XS</t>
  </si>
  <si>
    <t>2026-03-10 23:21:22</t>
  </si>
  <si>
    <t>2026-03-10 23:28:34</t>
  </si>
  <si>
    <t>2026-03-11 09:05:06</t>
  </si>
  <si>
    <t>2026-03-11 10:17:49</t>
  </si>
  <si>
    <t>2026-03-11 10:44:32</t>
  </si>
  <si>
    <t>2026-03-14 11:15:01</t>
  </si>
  <si>
    <t>ODVN2603104F998234</t>
  </si>
  <si>
    <t>260311RYVMXX3H</t>
  </si>
  <si>
    <t>2026-03-10 23:09:13</t>
  </si>
  <si>
    <t>2026-03-10 23:10:24</t>
  </si>
  <si>
    <t>2026-03-11 09:05:01</t>
  </si>
  <si>
    <t>2026-03-11 10:20:26</t>
  </si>
  <si>
    <t>2026-03-11 11:12:19</t>
  </si>
  <si>
    <t>2026-03-14 12:09:54</t>
  </si>
  <si>
    <t>ODVN260310C5B5A7F9</t>
  </si>
  <si>
    <t>260311RY6WSBWK</t>
  </si>
  <si>
    <t>2026-03-10 19:57:58</t>
  </si>
  <si>
    <t>2026-03-10 19:59:14</t>
  </si>
  <si>
    <t>2026-03-11 08:31:56</t>
  </si>
  <si>
    <t>2026-03-11 09:05:09</t>
  </si>
  <si>
    <t>2026-03-11 10:04:53</t>
  </si>
  <si>
    <t>2026-03-14 11:37:53</t>
  </si>
  <si>
    <t>ODVN26031032DA9B23</t>
  </si>
  <si>
    <t>260310RMGXC8GX</t>
  </si>
  <si>
    <t>2026-03-10 19:16:41</t>
  </si>
  <si>
    <t>2026-03-10 19:22:07</t>
  </si>
  <si>
    <t>2026-03-11 08:40:35</t>
  </si>
  <si>
    <t>2026-03-11 09:55:16</t>
  </si>
  <si>
    <t>2026-03-12 07:31:18</t>
  </si>
  <si>
    <t>ODVN2603109D8FCE2E</t>
  </si>
  <si>
    <t>260310RJ743339</t>
  </si>
  <si>
    <t>2026-03-10 15:09:03</t>
  </si>
  <si>
    <t>2026-03-10 15:09:32</t>
  </si>
  <si>
    <t>2026-03-10 15:11:01</t>
  </si>
  <si>
    <t>2026-03-10 16:30:52</t>
  </si>
  <si>
    <t>2026-03-10 17:23:33</t>
  </si>
  <si>
    <t>2026-03-11 08:32:45</t>
  </si>
  <si>
    <t>ODVN2603100AB36606</t>
  </si>
  <si>
    <t>260310R4BQC0WQ</t>
  </si>
  <si>
    <t>2026-03-10 14:45:36</t>
  </si>
  <si>
    <t>2026-03-10 14:48:32</t>
  </si>
  <si>
    <t>2026-03-10 14:53:01</t>
  </si>
  <si>
    <t>2026-03-10 15:49:10</t>
  </si>
  <si>
    <t>2026-03-10 16:23:47</t>
  </si>
  <si>
    <t>2026-03-13 17:16:58</t>
  </si>
  <si>
    <t>ODVN260310744B6872</t>
  </si>
  <si>
    <t>260310R32DH6KP</t>
  </si>
  <si>
    <t>2026-03-10 14:37:20</t>
  </si>
  <si>
    <t>2026-03-10 14:38:54</t>
  </si>
  <si>
    <t>2026-03-10 14:53:17</t>
  </si>
  <si>
    <t>2026-03-10 15:49:18</t>
  </si>
  <si>
    <t>2026-03-10 17:03:44</t>
  </si>
  <si>
    <t>2026-03-11 08:32:53</t>
  </si>
  <si>
    <t>ODVN260310A4B87FC7</t>
  </si>
  <si>
    <t>260310R2KMGQ9P</t>
  </si>
  <si>
    <t>2026-03-10 14:37:14</t>
  </si>
  <si>
    <t>2026-03-10 14:38:41</t>
  </si>
  <si>
    <t>2026-03-10 14:41:03</t>
  </si>
  <si>
    <t>2026-03-10 14:54:14</t>
  </si>
  <si>
    <t>2026-03-10 15:41:13</t>
  </si>
  <si>
    <t>2026-03-11 08:27:17</t>
  </si>
  <si>
    <t>ODVN2603108E832653</t>
  </si>
  <si>
    <t>260310R2KAY769</t>
  </si>
  <si>
    <t>2026-03-10 13:48:26</t>
  </si>
  <si>
    <t>2026-03-10 13:53:45</t>
  </si>
  <si>
    <t>2026-03-10 14:41:12</t>
  </si>
  <si>
    <t>2026-03-10 14:57:07</t>
  </si>
  <si>
    <t>2026-03-10 15:18:38</t>
  </si>
  <si>
    <t>2026-03-11 08:29:58</t>
  </si>
  <si>
    <t>ODVN2603108870AF4D</t>
  </si>
  <si>
    <t>260310QYV6DX9Y</t>
  </si>
  <si>
    <t>2026-03-10 13:14:29</t>
  </si>
  <si>
    <t>2026-03-10 13:15:27</t>
  </si>
  <si>
    <t>2026-03-10 14:41:08</t>
  </si>
  <si>
    <t>2026-03-10 15:01:37</t>
  </si>
  <si>
    <t>2026-03-10 16:44:51</t>
  </si>
  <si>
    <t>2026-03-10 18:40:34</t>
  </si>
  <si>
    <t>ODVN2603103D22624F</t>
  </si>
  <si>
    <t>260310QWYESS42</t>
  </si>
  <si>
    <t>2026-03-10 13:15:37</t>
  </si>
  <si>
    <t>2026-03-10 13:31:04</t>
  </si>
  <si>
    <t>2026-03-10 13:57:23</t>
  </si>
  <si>
    <t>2026-03-10 15:42:01</t>
  </si>
  <si>
    <t>2026-03-10 16:47:24</t>
  </si>
  <si>
    <t>ODVN260310AAB55FD4</t>
  </si>
  <si>
    <t>260310QWYESS41</t>
  </si>
  <si>
    <t>2026-03-10 12:38:59</t>
  </si>
  <si>
    <t>2026-03-10 12:44:24</t>
  </si>
  <si>
    <t>2026-03-10 14:56:41</t>
  </si>
  <si>
    <t>2026-03-10 15:10:11</t>
  </si>
  <si>
    <t>2026-03-11 08:26:38</t>
  </si>
  <si>
    <t>ODVN2603109E1139DF</t>
  </si>
  <si>
    <t>260310QV00FQMA</t>
  </si>
  <si>
    <t>2026-03-10 11:05:47</t>
  </si>
  <si>
    <t>2026-03-10 13:15:45</t>
  </si>
  <si>
    <t>2026-03-10 13:31:13</t>
  </si>
  <si>
    <t>2026-03-10 13:41:18</t>
  </si>
  <si>
    <t>2026-03-11 01:36:12</t>
  </si>
  <si>
    <t>2026-03-17 07:00:00</t>
  </si>
  <si>
    <t>ODVN2603103AE39B8F</t>
  </si>
  <si>
    <t>583006645176665976</t>
  </si>
  <si>
    <t>2026-03-10 09:45:59</t>
  </si>
  <si>
    <t>2026-03-10 09:47:39</t>
  </si>
  <si>
    <t>2026-03-10 09:50:40</t>
  </si>
  <si>
    <t>2026-03-10 10:33:08</t>
  </si>
  <si>
    <t>2026-03-10 10:51:16</t>
  </si>
  <si>
    <t>2026-03-13 11:12:57</t>
  </si>
  <si>
    <t>ODVN260310EB574B28</t>
  </si>
  <si>
    <t>260310QJAMASYG</t>
  </si>
  <si>
    <t>2026-03-10 09:31:49</t>
  </si>
  <si>
    <t>2026-03-10 09:35:56</t>
  </si>
  <si>
    <t>2026-03-10 09:36:38</t>
  </si>
  <si>
    <t>2026-03-10 10:24:51</t>
  </si>
  <si>
    <t>2026-03-10 10:49:10</t>
  </si>
  <si>
    <t>2026-03-11 08:40:08</t>
  </si>
  <si>
    <t>ODVN2603102C4AF281</t>
  </si>
  <si>
    <t>260310QHHAQEMX</t>
  </si>
  <si>
    <t>2026-03-10 08:39:15</t>
  </si>
  <si>
    <t>2026-03-10 08:44:32</t>
  </si>
  <si>
    <t>2026-03-10 08:51:01</t>
  </si>
  <si>
    <t>2026-03-10 09:12:56</t>
  </si>
  <si>
    <t>2026-03-10 10:19:43</t>
  </si>
  <si>
    <t>2026-03-10 10:26:03</t>
  </si>
  <si>
    <t>ODVN26031097929842</t>
  </si>
  <si>
    <t>260310QEK9V3HB</t>
  </si>
  <si>
    <t>2026-03-10 08:14:25</t>
  </si>
  <si>
    <t>2026-03-10 08:20:22</t>
  </si>
  <si>
    <t>2026-03-10 08:50:18</t>
  </si>
  <si>
    <t>2026-03-10 09:58:58</t>
  </si>
  <si>
    <t>2026-03-10 10:37:52</t>
  </si>
  <si>
    <t>2026-03-11 07:32:17</t>
  </si>
  <si>
    <t>ODVN260310ADF54385</t>
  </si>
  <si>
    <t>260310QD6VU52J</t>
  </si>
  <si>
    <t>2026-03-10 05:45:22</t>
  </si>
  <si>
    <t>2026-03-10 05:51:42</t>
  </si>
  <si>
    <t>2026-03-10 08:36:44</t>
  </si>
  <si>
    <t>2026-03-10 09:00:19</t>
  </si>
  <si>
    <t>2026-03-10 09:19:46</t>
  </si>
  <si>
    <t>2026-03-11 08:33:29</t>
  </si>
  <si>
    <t>ODVN26031030C0C68C</t>
  </si>
  <si>
    <t>260310Q4VD556E</t>
  </si>
  <si>
    <t>2026-03-10 00:21:26</t>
  </si>
  <si>
    <t>2026-03-10 15:35:24</t>
  </si>
  <si>
    <t>2026-03-10 16:16:51</t>
  </si>
  <si>
    <t>2026-03-10 16:29:39</t>
  </si>
  <si>
    <t>2026-03-10 17:03:24</t>
  </si>
  <si>
    <t>2026-03-13 18:26:10</t>
  </si>
  <si>
    <t>ODVN260310F11085DB</t>
  </si>
  <si>
    <t>260310PJS1PN3X</t>
  </si>
  <si>
    <t>2026-03-09 23:27:41</t>
  </si>
  <si>
    <t>2026-03-09 23:32:50</t>
  </si>
  <si>
    <t>2026-03-10 07:57:32</t>
  </si>
  <si>
    <t>2026-03-10 08:34:31</t>
  </si>
  <si>
    <t>2026-03-10 09:24:56</t>
  </si>
  <si>
    <t>2026-03-10 11:30:45</t>
  </si>
  <si>
    <t>ODVN2603097668C8A6</t>
  </si>
  <si>
    <t>260310PFRX381H</t>
  </si>
  <si>
    <t>2026-03-09 14:56:56</t>
  </si>
  <si>
    <t>2026-03-09 14:59:58</t>
  </si>
  <si>
    <t>2026-03-09 15:02:40</t>
  </si>
  <si>
    <t>2026-03-09 15:22:44</t>
  </si>
  <si>
    <t>2026-03-09 17:33:20</t>
  </si>
  <si>
    <t>2026-03-11 13:03:06</t>
  </si>
  <si>
    <t>ODVN2603095991DDCE</t>
  </si>
  <si>
    <t>260309NK7RKC00</t>
  </si>
  <si>
    <t>2026-03-09 14:00:44</t>
  </si>
  <si>
    <t>2026-03-09 14:06:12</t>
  </si>
  <si>
    <t>2026-03-09 14:07:44</t>
  </si>
  <si>
    <t>2026-03-09 14:26:57</t>
  </si>
  <si>
    <t>2026-03-09 15:13:34</t>
  </si>
  <si>
    <t>2026-03-10 12:37:31</t>
  </si>
  <si>
    <t>ODVN260309E821EB12</t>
  </si>
  <si>
    <t>260309NG34XU2E</t>
  </si>
  <si>
    <t>2026-03-09 12:17:10</t>
  </si>
  <si>
    <t>2026-03-09 12:22:43</t>
  </si>
  <si>
    <t>2026-03-09 13:45:08</t>
  </si>
  <si>
    <t>2026-03-10 10:18:22</t>
  </si>
  <si>
    <t>2026-03-10 10:42:27</t>
  </si>
  <si>
    <t>2026-03-11 06:38:33</t>
  </si>
  <si>
    <t>ODVN260309643F6263</t>
  </si>
  <si>
    <t>260309NAA2KMAH</t>
  </si>
  <si>
    <t>2026-03-09 12:12:31</t>
  </si>
  <si>
    <t>2026-03-09 12:13:52</t>
  </si>
  <si>
    <t>2026-03-09 14:57:25</t>
  </si>
  <si>
    <t>2026-03-09 15:55:10</t>
  </si>
  <si>
    <t>2026-03-09 16:33:30</t>
  </si>
  <si>
    <t>2026-03-12 17:28:22</t>
  </si>
  <si>
    <t>ODVN2603090460F028</t>
  </si>
  <si>
    <t>260309NA1QM1JQ</t>
  </si>
  <si>
    <t>2026-03-09 11:21:47</t>
  </si>
  <si>
    <t>2026-03-09 11:28:24</t>
  </si>
  <si>
    <t>2026-03-09 11:38:11</t>
  </si>
  <si>
    <t>2026-03-09 12:12:35</t>
  </si>
  <si>
    <t>2026-03-09 12:27:39</t>
  </si>
  <si>
    <t>2026-03-12 13:16:50</t>
  </si>
  <si>
    <t>ODVN26030943D5E71B</t>
  </si>
  <si>
    <t>260309N771KQEJ</t>
  </si>
  <si>
    <t>2026-03-09 10:35:43</t>
  </si>
  <si>
    <t>2026-03-09 10:41:47</t>
  </si>
  <si>
    <t>2026-03-09 11:38:06</t>
  </si>
  <si>
    <t>2026-03-09 12:26:11</t>
  </si>
  <si>
    <t>2026-03-09 12:46:32</t>
  </si>
  <si>
    <t>2026-03-12 13:02:28</t>
  </si>
  <si>
    <t>ODVN26030988B7BB9D</t>
  </si>
  <si>
    <t>260309N4MNK0AV</t>
  </si>
  <si>
    <t>2026-03-09 08:27:51</t>
  </si>
  <si>
    <t>2026-03-09 08:32:10</t>
  </si>
  <si>
    <t>2026-03-09 09:07:21</t>
  </si>
  <si>
    <t>2026-03-09 15:47:49</t>
  </si>
  <si>
    <t>2026-03-09 16:02:12</t>
  </si>
  <si>
    <t>2026-03-12 17:04:24</t>
  </si>
  <si>
    <t>ODVN2603095104F76F</t>
  </si>
  <si>
    <t>260309MWFW7CUD</t>
  </si>
  <si>
    <t>2026-03-09 08:27:15</t>
  </si>
  <si>
    <t>2026-03-09 08:32:22</t>
  </si>
  <si>
    <t>2026-03-09 08:56:36</t>
  </si>
  <si>
    <t>2026-03-09 09:27:55</t>
  </si>
  <si>
    <t>2026-03-09 10:12:52</t>
  </si>
  <si>
    <t>2026-03-10 10:02:44</t>
  </si>
  <si>
    <t>ODVN260309DDF7CE47</t>
  </si>
  <si>
    <t>260309MWEXPEVK</t>
  </si>
  <si>
    <t>2026-03-09 08:23:10</t>
  </si>
  <si>
    <t>2026-03-09 08:24:23</t>
  </si>
  <si>
    <t>2026-03-09 09:07:16</t>
  </si>
  <si>
    <t>2026-03-09 10:10:30</t>
  </si>
  <si>
    <t>2026-03-09 10:33:29</t>
  </si>
  <si>
    <t>2026-03-12 11:22:11</t>
  </si>
  <si>
    <t>ODVN26030923566093</t>
  </si>
  <si>
    <t>260309MW7N2SQM</t>
  </si>
  <si>
    <t>2026-03-09 07:59:01</t>
  </si>
  <si>
    <t>2026-03-09 08:00:26</t>
  </si>
  <si>
    <t>2026-03-09 08:36:05</t>
  </si>
  <si>
    <t>2026-03-09 11:28:39</t>
  </si>
  <si>
    <t>2026-03-09 12:00:57</t>
  </si>
  <si>
    <t>2026-03-12 13:11:53</t>
  </si>
  <si>
    <t>ODVN2603098848EECB</t>
  </si>
  <si>
    <t>260309MUVF5PH8</t>
  </si>
  <si>
    <t>2026-03-09 07:47:58</t>
  </si>
  <si>
    <t>2026-03-09 07:49:06</t>
  </si>
  <si>
    <t>2026-03-09 09:07:11</t>
  </si>
  <si>
    <t>2026-03-09 10:25:45</t>
  </si>
  <si>
    <t>2026-03-09 10:40:50</t>
  </si>
  <si>
    <t>2026-03-12 11:07:04</t>
  </si>
  <si>
    <t>ODVN2603099AE56393</t>
  </si>
  <si>
    <t>260309MU8PWYEP</t>
  </si>
  <si>
    <t>2026-03-09 07:30:14</t>
  </si>
  <si>
    <t>2026-03-09 07:31:35</t>
  </si>
  <si>
    <t>2026-03-09 09:07:06</t>
  </si>
  <si>
    <t>2026-03-09 10:25:14</t>
  </si>
  <si>
    <t>2026-03-09 10:45:33</t>
  </si>
  <si>
    <t>2026-03-10 17:05:19</t>
  </si>
  <si>
    <t>ODVN26030959D07CD9</t>
  </si>
  <si>
    <t>260309MT907A6M</t>
  </si>
  <si>
    <t>2026-03-09 00:35:42</t>
  </si>
  <si>
    <t>2026-03-09 00:41:03</t>
  </si>
  <si>
    <t>2026-03-09 09:07:01</t>
  </si>
  <si>
    <t>2026-03-09 09:40:30</t>
  </si>
  <si>
    <t>2026-03-09 10:39:26</t>
  </si>
  <si>
    <t>2026-03-12 11:39:27</t>
  </si>
  <si>
    <t>ODVN260309357C162B</t>
  </si>
  <si>
    <t>260309M33MJS0Q</t>
  </si>
  <si>
    <t>2026-03-09 00:30:15</t>
  </si>
  <si>
    <t>2026-03-09 09:06:21</t>
  </si>
  <si>
    <t>2026-03-09 09:07:45</t>
  </si>
  <si>
    <t>2026-03-09 09:40:07</t>
  </si>
  <si>
    <t>2026-03-09 10:39:47</t>
  </si>
  <si>
    <t>2026-03-12 11:49:18</t>
  </si>
  <si>
    <t>ODVN260309C5C805EF</t>
  </si>
  <si>
    <t>260309M2T0K0S7</t>
  </si>
  <si>
    <t>2026-03-09 00:24:46</t>
  </si>
  <si>
    <t>2026-03-09 00:30:03</t>
  </si>
  <si>
    <t>2026-03-09 09:16:12</t>
  </si>
  <si>
    <t>2026-03-09 09:46:21</t>
  </si>
  <si>
    <t>2026-03-09 09:59:37</t>
  </si>
  <si>
    <t>2026-03-12 11:12:17</t>
  </si>
  <si>
    <t>ODVN2603098B817D48</t>
  </si>
  <si>
    <t>260309M2FHUF9M</t>
  </si>
  <si>
    <t>2026-03-08 23:58:20</t>
  </si>
  <si>
    <t>2026-03-09 00:03:43</t>
  </si>
  <si>
    <t>2026-03-09 08:49:07</t>
  </si>
  <si>
    <t>2026-03-09 09:52:33</t>
  </si>
  <si>
    <t>2026-03-09 10:24:11</t>
  </si>
  <si>
    <t>2026-03-12 11:44:25</t>
  </si>
  <si>
    <t>ODVN26030812D4EA14</t>
  </si>
  <si>
    <t>260309M10X8W5D</t>
  </si>
  <si>
    <t>2026-03-08 23:00:54</t>
  </si>
  <si>
    <t>2026-03-08 23:08:42</t>
  </si>
  <si>
    <t>2026-03-09 09:06:55</t>
  </si>
  <si>
    <t>2026-03-09 10:47:48</t>
  </si>
  <si>
    <t>2026-03-09 11:09:34</t>
  </si>
  <si>
    <t>2026-03-12 12:22:01</t>
  </si>
  <si>
    <t>ODVN26030861FB2A3B</t>
  </si>
  <si>
    <t>260309KWT7WWNG</t>
  </si>
  <si>
    <t>2026-03-08 21:55:11</t>
  </si>
  <si>
    <t>2026-03-08 22:00:52</t>
  </si>
  <si>
    <t>2026-03-09 08:35:46</t>
  </si>
  <si>
    <t>2026-03-09 09:02:15</t>
  </si>
  <si>
    <t>2026-03-09 09:46:18</t>
  </si>
  <si>
    <t>2026-03-10 10:03:07</t>
  </si>
  <si>
    <t>ODVN260308EA3A55A0</t>
  </si>
  <si>
    <t>260308KT4QGY1R</t>
  </si>
  <si>
    <t>2026-03-08 21:29:44</t>
  </si>
  <si>
    <t>2026-03-08 21:31:03</t>
  </si>
  <si>
    <t>2026-03-09 09:06:50</t>
  </si>
  <si>
    <t>2026-03-09 10:10:12</t>
  </si>
  <si>
    <t>2026-03-09 10:44:10</t>
  </si>
  <si>
    <t>2026-03-09 15:21:58</t>
  </si>
  <si>
    <t>ODVN26030894F687ED</t>
  </si>
  <si>
    <t>260308KRQ79BQ1</t>
  </si>
  <si>
    <t>2026-03-08 16:12:18</t>
  </si>
  <si>
    <t>2026-03-08 16:19:42</t>
  </si>
  <si>
    <t>2026-03-09 08:49:02</t>
  </si>
  <si>
    <t>2026-03-09 10:37:05</t>
  </si>
  <si>
    <t>2026-03-09 14:08:39</t>
  </si>
  <si>
    <t>2026-03-12 15:11:24</t>
  </si>
  <si>
    <t>ODVN2603082AC9F62C</t>
  </si>
  <si>
    <t>260308K6YKNADV</t>
  </si>
  <si>
    <t>2026-03-08 14:43:42</t>
  </si>
  <si>
    <t>2026-03-08 14:49:12</t>
  </si>
  <si>
    <t>2026-03-09 08:48:58</t>
  </si>
  <si>
    <t>2026-03-09 09:52:18</t>
  </si>
  <si>
    <t>2026-03-09 11:09:50</t>
  </si>
  <si>
    <t>2026-03-09 11:34:24</t>
  </si>
  <si>
    <t>ODVN260308B8418B5E</t>
  </si>
  <si>
    <t>260308K214YC7S</t>
  </si>
  <si>
    <t>2026-03-08 14:40:29</t>
  </si>
  <si>
    <t>2026-03-08 14:47:45</t>
  </si>
  <si>
    <t>2026-03-09 08:48:53</t>
  </si>
  <si>
    <t>2026-03-09 09:51:49</t>
  </si>
  <si>
    <t>2026-03-09 11:09:24</t>
  </si>
  <si>
    <t>2026-03-09 11:34:28</t>
  </si>
  <si>
    <t>ODVN26030832D734DD</t>
  </si>
  <si>
    <t>260308K1UDUY0J</t>
  </si>
  <si>
    <t>2026-03-08 14:34:55</t>
  </si>
  <si>
    <t>2026-03-08 14:40:12</t>
  </si>
  <si>
    <t>2026-03-09 08:48:48</t>
  </si>
  <si>
    <t>2026-03-09 09:51:34</t>
  </si>
  <si>
    <t>2026-03-09 11:08:59</t>
  </si>
  <si>
    <t>2026-03-09 11:34:31</t>
  </si>
  <si>
    <t>ODVN260308608FE343</t>
  </si>
  <si>
    <t>260308K1HF92H7</t>
  </si>
  <si>
    <t>2026-03-08 13:21:35</t>
  </si>
  <si>
    <t>2026-03-08 13:22:42</t>
  </si>
  <si>
    <t>2026-03-09 08:48:43</t>
  </si>
  <si>
    <t>2026-03-09 10:36:33</t>
  </si>
  <si>
    <t>2026-03-09 13:40:34</t>
  </si>
  <si>
    <t>2026-03-09 14:48:04</t>
  </si>
  <si>
    <t>ODVN260308F7C162F4</t>
  </si>
  <si>
    <t>260308JWE7AB3M</t>
  </si>
  <si>
    <t>2026-03-08 11:18:41</t>
  </si>
  <si>
    <t>2026-03-08 12:00:11</t>
  </si>
  <si>
    <t>2026-03-09 08:48:37</t>
  </si>
  <si>
    <t>2026-03-09 10:36:16</t>
  </si>
  <si>
    <t>2026-03-09 14:48:32</t>
  </si>
  <si>
    <t>2026-03-12 15:06:26</t>
  </si>
  <si>
    <t>ODVN260308B5A1C93F</t>
  </si>
  <si>
    <t>260308JPJEWS6T</t>
  </si>
  <si>
    <t>2026-03-08 10:02:50</t>
  </si>
  <si>
    <t>2026-03-08 10:04:11</t>
  </si>
  <si>
    <t>2026-03-09 08:48:32</t>
  </si>
  <si>
    <t>2026-03-09 10:28:52</t>
  </si>
  <si>
    <t>2026-03-09 11:08:47</t>
  </si>
  <si>
    <t>2026-03-12 12:49:01</t>
  </si>
  <si>
    <t>ODVN2603080A989CBD</t>
  </si>
  <si>
    <t>260308JJAWMJFU</t>
  </si>
  <si>
    <t>2026-03-08 09:57:20</t>
  </si>
  <si>
    <t>2026-03-08 10:32:46</t>
  </si>
  <si>
    <t>2026-03-09 07:57:04</t>
  </si>
  <si>
    <t>2026-03-09 09:07:54</t>
  </si>
  <si>
    <t>2026-03-09 09:37:04</t>
  </si>
  <si>
    <t>2026-03-10 10:08:49</t>
  </si>
  <si>
    <t>ODVN26030895610131</t>
  </si>
  <si>
    <t>260308JJ13V239</t>
  </si>
  <si>
    <t>2026-03-08 07:56:47</t>
  </si>
  <si>
    <t>2026-03-08 08:04:10</t>
  </si>
  <si>
    <t>2026-03-09 08:35:34</t>
  </si>
  <si>
    <t>2026-03-09 10:15:21</t>
  </si>
  <si>
    <t>2026-03-09 11:39:46</t>
  </si>
  <si>
    <t>2026-03-10 09:03:33</t>
  </si>
  <si>
    <t>ODVN2603082A7FE472</t>
  </si>
  <si>
    <t>260308JB8WXKE7</t>
  </si>
  <si>
    <t>2026-03-07 21:31:22</t>
  </si>
  <si>
    <t>2026-03-07 21:32:29</t>
  </si>
  <si>
    <t>2026-03-09 09:33:32</t>
  </si>
  <si>
    <t>2026-03-09 10:22:51</t>
  </si>
  <si>
    <t>2026-03-09 10:40:03</t>
  </si>
  <si>
    <t>2026-03-09 12:01:16</t>
  </si>
  <si>
    <t>ODVN2603070D19B4F5</t>
  </si>
  <si>
    <t>260307H8AKAFEJ</t>
  </si>
  <si>
    <t>2026-03-07 14:49:32</t>
  </si>
  <si>
    <t>2026-03-07 14:56:39</t>
  </si>
  <si>
    <t>2026-03-07 16:19:24</t>
  </si>
  <si>
    <t>2026-03-07 16:48:39</t>
  </si>
  <si>
    <t>2026-03-07 17:44:37</t>
  </si>
  <si>
    <t>2026-03-07 18:03:33</t>
  </si>
  <si>
    <t>ODVN2603079786F274</t>
  </si>
  <si>
    <t>260307GHVP8930</t>
  </si>
  <si>
    <t>2026-03-07 10:51:19</t>
  </si>
  <si>
    <t>2026-03-07 10:52:39</t>
  </si>
  <si>
    <t>2026-03-07 12:01:48</t>
  </si>
  <si>
    <t>2026-03-07 12:30:47</t>
  </si>
  <si>
    <t>2026-03-07 14:21:10</t>
  </si>
  <si>
    <t>2026-03-08 08:08:56</t>
  </si>
  <si>
    <t>ODVN260307F1D187F8</t>
  </si>
  <si>
    <t>260307G4JQATF9</t>
  </si>
  <si>
    <t>2026-03-07 09:24:45</t>
  </si>
  <si>
    <t>2026-03-07 09:30:09</t>
  </si>
  <si>
    <t>2026-03-07 10:43:23</t>
  </si>
  <si>
    <t>2026-03-07 11:05:38</t>
  </si>
  <si>
    <t>2026-03-07 11:39:07</t>
  </si>
  <si>
    <t>2026-03-08 08:10:19</t>
  </si>
  <si>
    <t>ODVN2603074B0A5591</t>
  </si>
  <si>
    <t>260307FYQ9YHVK</t>
  </si>
  <si>
    <t>2026-03-07 09:08:33</t>
  </si>
  <si>
    <t>2026-03-07 09:13:57</t>
  </si>
  <si>
    <t>2026-03-07 12:01:42</t>
  </si>
  <si>
    <t>2026-03-07 12:30:09</t>
  </si>
  <si>
    <t>2026-03-07 13:23:37</t>
  </si>
  <si>
    <t>2026-03-10 14:13:15</t>
  </si>
  <si>
    <t>ODVN260307F595CAA9</t>
  </si>
  <si>
    <t>260307FXTX1EYG</t>
  </si>
  <si>
    <t>2026-03-06 22:04:17</t>
  </si>
  <si>
    <t>2026-03-06 22:09:36</t>
  </si>
  <si>
    <t>2026-03-07 08:22:22</t>
  </si>
  <si>
    <t>2026-03-07 09:06:30</t>
  </si>
  <si>
    <t>2026-03-07 09:41:43</t>
  </si>
  <si>
    <t>2026-03-09 07:27:44</t>
  </si>
  <si>
    <t>ODVN2603069653746D</t>
  </si>
  <si>
    <t>260306ESQ1H770</t>
  </si>
  <si>
    <t>2026-03-06 13:49:01</t>
  </si>
  <si>
    <t>2026-03-06 13:54:30</t>
  </si>
  <si>
    <t>2026-03-06 15:51:50</t>
  </si>
  <si>
    <t>2026-03-07 10:18:52</t>
  </si>
  <si>
    <t>2026-03-07 12:16:24</t>
  </si>
  <si>
    <t>2026-03-07 23:59:59</t>
  </si>
  <si>
    <t>ODVN260306DEC44499</t>
  </si>
  <si>
    <t>525992773048327</t>
  </si>
  <si>
    <t>2026-03-06 13:45:35</t>
  </si>
  <si>
    <t>2026-03-06 13:52:58</t>
  </si>
  <si>
    <t>2026-03-06 13:57:50</t>
  </si>
  <si>
    <t>2026-03-06 14:27:32</t>
  </si>
  <si>
    <t>2026-03-06 15:09:08</t>
  </si>
  <si>
    <t>2026-03-09 16:58:17</t>
  </si>
  <si>
    <t>ODVN2603066655F53D</t>
  </si>
  <si>
    <t>260306DWUDGV38</t>
  </si>
  <si>
    <t>2026-03-06 13:25:22</t>
  </si>
  <si>
    <t>2026-03-06 13:31:09</t>
  </si>
  <si>
    <t>2026-03-06 13:55:12</t>
  </si>
  <si>
    <t>2026-03-06 14:11:52</t>
  </si>
  <si>
    <t>2026-03-06 15:25:39</t>
  </si>
  <si>
    <t>2026-03-09 16:44:16</t>
  </si>
  <si>
    <t>ODVN260306641BD68E</t>
  </si>
  <si>
    <t>260306DVQ8NF20</t>
  </si>
  <si>
    <t>2026-03-06 13:17:07</t>
  </si>
  <si>
    <t>2026-03-06 13:18:28</t>
  </si>
  <si>
    <t>2026-03-06 13:38:59</t>
  </si>
  <si>
    <t>2026-03-06 13:51:11</t>
  </si>
  <si>
    <t>2026-03-06 15:13:24</t>
  </si>
  <si>
    <t>2026-03-09 16:20:32</t>
  </si>
  <si>
    <t>ODVN2603067787CA9B</t>
  </si>
  <si>
    <t>260306DV8FNXQW</t>
  </si>
  <si>
    <t>2026-03-06 12:54:17</t>
  </si>
  <si>
    <t>2026-03-06 13:01:29</t>
  </si>
  <si>
    <t>2026-03-06 13:22:58</t>
  </si>
  <si>
    <t>2026-03-06 14:03:26</t>
  </si>
  <si>
    <t>2026-03-06 14:42:11</t>
  </si>
  <si>
    <t>2026-03-09 16:41:32</t>
  </si>
  <si>
    <t>ODVN260306CF383F24</t>
  </si>
  <si>
    <t>260306DTYP2H0F</t>
  </si>
  <si>
    <t>2026-03-06 11:50:52</t>
  </si>
  <si>
    <t>2026-03-06 11:51:51</t>
  </si>
  <si>
    <t>2026-03-06 13:38:54</t>
  </si>
  <si>
    <t>2026-03-06 13:51:34</t>
  </si>
  <si>
    <t>2026-03-06 14:49:43</t>
  </si>
  <si>
    <t>2026-03-07 21:40:46</t>
  </si>
  <si>
    <t>ODVN2603062AC08491</t>
  </si>
  <si>
    <t>260306DQE9CG6N</t>
  </si>
  <si>
    <t>2026-03-06 10:05:28</t>
  </si>
  <si>
    <t>2026-03-06 10:06:38</t>
  </si>
  <si>
    <t>2026-03-06 10:09:06</t>
  </si>
  <si>
    <t>2026-03-06 14:15:53</t>
  </si>
  <si>
    <t>2026-03-06 14:51:59</t>
  </si>
  <si>
    <t>2026-03-07 10:24:16</t>
  </si>
  <si>
    <t>ODVN26030674373550</t>
  </si>
  <si>
    <t>260306DHH6B9Y5</t>
  </si>
  <si>
    <t>2026-03-06 06:08:34</t>
  </si>
  <si>
    <t>2026-03-06 08:13:54</t>
  </si>
  <si>
    <t>2026-03-06 08:46:09</t>
  </si>
  <si>
    <t>2026-03-06 09:24:29</t>
  </si>
  <si>
    <t>2026-03-06 10:11:10</t>
  </si>
  <si>
    <t>2026-03-07 08:52:05</t>
  </si>
  <si>
    <t>ODVN2603062CD43525</t>
  </si>
  <si>
    <t>260306D49JT8D9</t>
  </si>
  <si>
    <t>2026-03-05 22:00:37</t>
  </si>
  <si>
    <t>2026-03-06 10:11:45</t>
  </si>
  <si>
    <t>2026-03-06 10:15:46</t>
  </si>
  <si>
    <t>2026-03-06 10:48:49</t>
  </si>
  <si>
    <t>2026-03-06 11:05:42</t>
  </si>
  <si>
    <t>2026-03-09 12:21:49</t>
  </si>
  <si>
    <t>ODVN260305823FF51A</t>
  </si>
  <si>
    <t>260305C91P1H8F</t>
  </si>
  <si>
    <t>2026-03-05 21:05:45</t>
  </si>
  <si>
    <t>2026-03-06 08:14:08</t>
  </si>
  <si>
    <t>2026-03-06 08:45:57</t>
  </si>
  <si>
    <t>2026-03-06 09:38:16</t>
  </si>
  <si>
    <t>2026-03-06 10:26:20</t>
  </si>
  <si>
    <t>2026-03-06 22:03:43</t>
  </si>
  <si>
    <t>ODVN2603058E9AAA96</t>
  </si>
  <si>
    <t>260305C5YJKCJV</t>
  </si>
  <si>
    <t>2026-03-05 20:08:02</t>
  </si>
  <si>
    <t>2026-03-06 08:14:14</t>
  </si>
  <si>
    <t>2026-03-06 08:45:40</t>
  </si>
  <si>
    <t>2026-03-06 09:14:41</t>
  </si>
  <si>
    <t>2026-03-06 09:47:43</t>
  </si>
  <si>
    <t>2026-03-09 10:39:14</t>
  </si>
  <si>
    <t>ODVN260305477419A4</t>
  </si>
  <si>
    <t>260305C2RC0KMB</t>
  </si>
  <si>
    <t>2026-03-05 18:05:35</t>
  </si>
  <si>
    <t>2026-03-06 08:14:19</t>
  </si>
  <si>
    <t>2026-03-06 08:45:25</t>
  </si>
  <si>
    <t>2026-03-06 10:59:24</t>
  </si>
  <si>
    <t>2026-03-06 11:08:45</t>
  </si>
  <si>
    <t>2026-03-07 10:45:31</t>
  </si>
  <si>
    <t>ODVN2603059218B869</t>
  </si>
  <si>
    <t>260305BUWDCRKY</t>
  </si>
  <si>
    <t>2026-03-05 13:58:10</t>
  </si>
  <si>
    <t>2026-03-05 14:01:58</t>
  </si>
  <si>
    <t>2026-03-05 14:02:34</t>
  </si>
  <si>
    <t>2026-03-05 14:26:47</t>
  </si>
  <si>
    <t>2026-03-05 15:41:58</t>
  </si>
  <si>
    <t>2026-03-08 16:21:24</t>
  </si>
  <si>
    <t>ODVN26030587AF4017</t>
  </si>
  <si>
    <t>260305BE2V87V1</t>
  </si>
  <si>
    <t>2026-03-05 13:40:14</t>
  </si>
  <si>
    <t>2026-03-05 13:46:03</t>
  </si>
  <si>
    <t>2026-03-05 13:52:37</t>
  </si>
  <si>
    <t>2026-03-05 14:01:15</t>
  </si>
  <si>
    <t>2026-03-05 14:53:07</t>
  </si>
  <si>
    <t>2026-03-08 16:32:17</t>
  </si>
  <si>
    <t>ODVN260305C400D0D8</t>
  </si>
  <si>
    <t>260305BD2WX5N8</t>
  </si>
  <si>
    <t>2026-03-05 13:09:20</t>
  </si>
  <si>
    <t>2026-03-05 13:15:09</t>
  </si>
  <si>
    <t>2026-03-05 13:25:16</t>
  </si>
  <si>
    <t>2026-03-05 14:51:49</t>
  </si>
  <si>
    <t>2026-03-05 14:52:27</t>
  </si>
  <si>
    <t>2026-03-08 16:46:45</t>
  </si>
  <si>
    <t>ODVN26030516ABDF47</t>
  </si>
  <si>
    <t>260305BBBHYT7M</t>
  </si>
  <si>
    <t>2026-03-05 12:28:20</t>
  </si>
  <si>
    <t>2026-03-05 12:34:06</t>
  </si>
  <si>
    <t>2026-03-05 13:08:52</t>
  </si>
  <si>
    <t>2026-03-05 13:26:10</t>
  </si>
  <si>
    <t>2026-03-05 14:18:35</t>
  </si>
  <si>
    <t>2026-03-05 21:33:19</t>
  </si>
  <si>
    <t>ODVN260305A47FD60C</t>
  </si>
  <si>
    <t>260305B92AU0QC</t>
  </si>
  <si>
    <t>2026-03-05 11:48:23</t>
  </si>
  <si>
    <t>2026-03-05 11:56:12</t>
  </si>
  <si>
    <t>2026-03-05 14:01:20</t>
  </si>
  <si>
    <t>2026-03-05 14:09:57</t>
  </si>
  <si>
    <t>2026-03-06 14:05:16</t>
  </si>
  <si>
    <t>ODVN260305AD6FC8E2</t>
  </si>
  <si>
    <t>260305B6TWSCHJ</t>
  </si>
  <si>
    <t>2026-03-05 11:36:46</t>
  </si>
  <si>
    <t>2026-03-05 11:37:35</t>
  </si>
  <si>
    <t>2026-03-05 14:45:29</t>
  </si>
  <si>
    <t>2026-03-05 15:25:10</t>
  </si>
  <si>
    <t>2026-03-05 16:38:46</t>
  </si>
  <si>
    <t>2026-03-07 06:29:03</t>
  </si>
  <si>
    <t>ODVN2603054B8D07BC</t>
  </si>
  <si>
    <t>260305B6652VGA</t>
  </si>
  <si>
    <t>2026-03-05 11:31:23</t>
  </si>
  <si>
    <t>2026-03-05 11:36:09</t>
  </si>
  <si>
    <t>2026-03-05 13:25:26</t>
  </si>
  <si>
    <t>2026-03-05 14:42:18</t>
  </si>
  <si>
    <t>2026-03-05 14:59:29</t>
  </si>
  <si>
    <t>2026-03-08 16:50:36</t>
  </si>
  <si>
    <t>ODVN26030521B20AAA</t>
  </si>
  <si>
    <t>260305B5VG29N9</t>
  </si>
  <si>
    <t>2026-03-05 11:23:34</t>
  </si>
  <si>
    <t>2026-03-05 11:25:04</t>
  </si>
  <si>
    <t>2026-03-05 11:27:21</t>
  </si>
  <si>
    <t>2026-03-05 12:57:11</t>
  </si>
  <si>
    <t>2026-03-05 13:19:33</t>
  </si>
  <si>
    <t>2026-03-08 14:43:14</t>
  </si>
  <si>
    <t>ODVN2603052EC2F47D</t>
  </si>
  <si>
    <t>260305B5EHRDXK</t>
  </si>
  <si>
    <t>2026-03-05 10:04:57</t>
  </si>
  <si>
    <t>2026-03-05 10:07:05</t>
  </si>
  <si>
    <t>2026-03-05 10:15:08</t>
  </si>
  <si>
    <t>2026-03-05 10:48:24</t>
  </si>
  <si>
    <t>2026-03-05 11:18:46</t>
  </si>
  <si>
    <t>2026-03-05 14:40:02</t>
  </si>
  <si>
    <t>ODVN260305840CEAC3</t>
  </si>
  <si>
    <t>260305B11Y8F25</t>
  </si>
  <si>
    <t>2026-03-05 09:22:18</t>
  </si>
  <si>
    <t>2026-03-05 09:24:12</t>
  </si>
  <si>
    <t>2026-03-05 09:26:42</t>
  </si>
  <si>
    <t>2026-03-05 09:54:10</t>
  </si>
  <si>
    <t>2026-03-05 10:18:32</t>
  </si>
  <si>
    <t>2026-03-08 13:10:34</t>
  </si>
  <si>
    <t>ODVN26030562713819</t>
  </si>
  <si>
    <t>260305AXNK1AFE</t>
  </si>
  <si>
    <t>2026-03-05 08:20:48</t>
  </si>
  <si>
    <t>2026-03-05 08:30:55</t>
  </si>
  <si>
    <t>2026-03-05 08:39:02</t>
  </si>
  <si>
    <t>2026-03-05 09:26:08</t>
  </si>
  <si>
    <t>2026-03-05 10:14:17</t>
  </si>
  <si>
    <t>2026-03-06 13:31:42</t>
  </si>
  <si>
    <t>ODVN2603059B621586</t>
  </si>
  <si>
    <t>260305AU7QRHK6</t>
  </si>
  <si>
    <t>2026-03-05 07:48:28</t>
  </si>
  <si>
    <t>2026-03-05 08:11:44</t>
  </si>
  <si>
    <t>2026-03-05 08:39:22</t>
  </si>
  <si>
    <t>2026-03-05 09:26:57</t>
  </si>
  <si>
    <t>2026-03-05 10:29:23</t>
  </si>
  <si>
    <t>2026-03-08 12:38:43</t>
  </si>
  <si>
    <t>ODVN260305D955E81A</t>
  </si>
  <si>
    <t>260305ASDWNW1Y</t>
  </si>
  <si>
    <t>2026-03-04 15:03:07</t>
  </si>
  <si>
    <t>2026-03-04 15:04:45</t>
  </si>
  <si>
    <t>2026-03-04 15:05:15</t>
  </si>
  <si>
    <t>2026-03-04 15:40:22</t>
  </si>
  <si>
    <t>2026-03-04 15:53:48</t>
  </si>
  <si>
    <t>2026-03-04 18:03:44</t>
  </si>
  <si>
    <t>ODVN260304EE9BB70B</t>
  </si>
  <si>
    <t>26030491873FR8</t>
  </si>
  <si>
    <t>2026-03-04 12:50:36</t>
  </si>
  <si>
    <t>2026-03-04 12:56:12</t>
  </si>
  <si>
    <t>2026-03-04 13:04:49</t>
  </si>
  <si>
    <t>2026-03-04 13:50:48</t>
  </si>
  <si>
    <t>2026-03-04 15:12:25</t>
  </si>
  <si>
    <t>2026-03-05 08:17:54</t>
  </si>
  <si>
    <t>ODVN260304A79CCDEC</t>
  </si>
  <si>
    <t>2603048STMDXVK</t>
  </si>
  <si>
    <t>2026-03-04 12:20:34</t>
  </si>
  <si>
    <t>2026-03-04 12:26:04</t>
  </si>
  <si>
    <t>2026-03-04 13:04:39</t>
  </si>
  <si>
    <t>2026-03-04 14:09:02</t>
  </si>
  <si>
    <t>2026-03-04 14:31:32</t>
  </si>
  <si>
    <t>2026-03-04 21:18:29</t>
  </si>
  <si>
    <t>ODVN260304F544C0AF</t>
  </si>
  <si>
    <t>2603048R5HVA8H</t>
  </si>
  <si>
    <t>2026-03-04 10:13:33</t>
  </si>
  <si>
    <t>2026-03-04 10:15:08</t>
  </si>
  <si>
    <t>2026-03-04 10:21:50</t>
  </si>
  <si>
    <t>2026-03-04 11:10:20</t>
  </si>
  <si>
    <t>2026-03-04 11:14:40</t>
  </si>
  <si>
    <t>2026-03-07 12:03:03</t>
  </si>
  <si>
    <t>ODVN260304C8F15716</t>
  </si>
  <si>
    <t>2603048H2A3X4C</t>
  </si>
  <si>
    <t>2026-03-04 10:08:25</t>
  </si>
  <si>
    <t>2026-03-04 10:11:37</t>
  </si>
  <si>
    <t>2026-03-04 10:13:20</t>
  </si>
  <si>
    <t>2026-03-04 11:08:31</t>
  </si>
  <si>
    <t>2026-03-04 11:28:08</t>
  </si>
  <si>
    <t>2026-03-06 10:10:46</t>
  </si>
  <si>
    <t>ODVN260304D55C426B</t>
  </si>
  <si>
    <t>2603048GS4CJEU</t>
  </si>
  <si>
    <t>2026-03-04 09:33:40</t>
  </si>
  <si>
    <t>2026-03-04 09:40:09</t>
  </si>
  <si>
    <t>2026-03-04 09:59:02</t>
  </si>
  <si>
    <t>2026-03-04 16:00:48</t>
  </si>
  <si>
    <t>2026-03-04 16:52:39</t>
  </si>
  <si>
    <t>2026-03-05 10:43:16</t>
  </si>
  <si>
    <t>ODVN26030480F5CA4E</t>
  </si>
  <si>
    <t>2603048EU2STB1</t>
  </si>
  <si>
    <t>2026-03-04 09:23:56</t>
  </si>
  <si>
    <t>2026-03-04 09:30:14</t>
  </si>
  <si>
    <t>2026-03-04 09:31:44</t>
  </si>
  <si>
    <t>2026-03-04 09:46:00</t>
  </si>
  <si>
    <t>2026-03-04 10:16:00</t>
  </si>
  <si>
    <t>2026-03-05 14:14:23</t>
  </si>
  <si>
    <t>ODVN260304BED3AE83</t>
  </si>
  <si>
    <t>2603048E9PUU35</t>
  </si>
  <si>
    <t>2026-03-04 06:56:36</t>
  </si>
  <si>
    <t>2026-03-04 08:07:03</t>
  </si>
  <si>
    <t>2026-03-04 09:03:14</t>
  </si>
  <si>
    <t>2026-03-04 10:17:48</t>
  </si>
  <si>
    <t>2026-03-04 11:50:23</t>
  </si>
  <si>
    <t>2026-03-07 12:23:52</t>
  </si>
  <si>
    <t>ODVN260304909D2BD7</t>
  </si>
  <si>
    <t>2603048628BED7</t>
  </si>
  <si>
    <t>2026-03-04 06:48:14</t>
  </si>
  <si>
    <t>2026-03-04 08:07:13</t>
  </si>
  <si>
    <t>2026-03-04 09:18:45</t>
  </si>
  <si>
    <t>2026-03-04 09:58:17</t>
  </si>
  <si>
    <t>2026-03-04 10:41:21</t>
  </si>
  <si>
    <t>2026-03-07 11:14:20</t>
  </si>
  <si>
    <t>ODVN2603042B763DBD</t>
  </si>
  <si>
    <t>26030485K8M5MR</t>
  </si>
  <si>
    <t>2026-03-04 00:31:07</t>
  </si>
  <si>
    <t>2026-03-04 00:37:05</t>
  </si>
  <si>
    <t>2026-03-04 08:52:05</t>
  </si>
  <si>
    <t>2026-03-04 09:48:25</t>
  </si>
  <si>
    <t>2026-03-04 10:26:01</t>
  </si>
  <si>
    <t>2026-03-07 11:41:11</t>
  </si>
  <si>
    <t>ODVN26030499FD0976</t>
  </si>
  <si>
    <t>2603047GGXTH21</t>
  </si>
  <si>
    <t>2026-03-04 00:01:55</t>
  </si>
  <si>
    <t>2026-03-04 00:08:04</t>
  </si>
  <si>
    <t>2026-03-04 09:03:02</t>
  </si>
  <si>
    <t>2026-03-04 09:38:25</t>
  </si>
  <si>
    <t>2026-03-04 10:03:57</t>
  </si>
  <si>
    <t>2026-03-04 12:21:57</t>
  </si>
  <si>
    <t>ODVN260304A635FD25</t>
  </si>
  <si>
    <t>2603047EVQ0CC5</t>
  </si>
  <si>
    <t>2026-03-03 23:49:41</t>
  </si>
  <si>
    <t>2026-03-03 23:56:04</t>
  </si>
  <si>
    <t>2026-03-04 08:52:00</t>
  </si>
  <si>
    <t>2026-03-04 09:08:54</t>
  </si>
  <si>
    <t>2026-03-04 09:42:58</t>
  </si>
  <si>
    <t>2026-03-07 10:36:17</t>
  </si>
  <si>
    <t>ODVN260303EB4F127F</t>
  </si>
  <si>
    <t>2603047E680RTC</t>
  </si>
  <si>
    <t>2026-03-03 23:41:39</t>
  </si>
  <si>
    <t>2026-03-03 23:49:07</t>
  </si>
  <si>
    <t>2026-03-04 08:51:55</t>
  </si>
  <si>
    <t>2026-03-04 09:53:28</t>
  </si>
  <si>
    <t>2026-03-04 10:53:42</t>
  </si>
  <si>
    <t>2026-03-04 23:59:59</t>
  </si>
  <si>
    <t>ODVN2603030AF46666</t>
  </si>
  <si>
    <t>525836549136523</t>
  </si>
  <si>
    <t>2026-03-03 23:35:11</t>
  </si>
  <si>
    <t>2026-03-03 23:41:05</t>
  </si>
  <si>
    <t>2026-03-04 08:51:53</t>
  </si>
  <si>
    <t>2026-03-04 09:52:39</t>
  </si>
  <si>
    <t>2026-03-04 10:05:05</t>
  </si>
  <si>
    <t>2026-03-05 10:46:12</t>
  </si>
  <si>
    <t>ODVN260303CE951EA4</t>
  </si>
  <si>
    <t>2603047DCAAC6A</t>
  </si>
  <si>
    <t>2026-03-03 23:28:01</t>
  </si>
  <si>
    <t>2026-03-03 23:30:03</t>
  </si>
  <si>
    <t>2026-03-04 07:57:20</t>
  </si>
  <si>
    <t>2026-03-04 09:03:38</t>
  </si>
  <si>
    <t>2026-03-04 09:36:20</t>
  </si>
  <si>
    <t>2026-03-04 12:20:00</t>
  </si>
  <si>
    <t>ODVN2603038689E710</t>
  </si>
  <si>
    <t>2603047D047VS1</t>
  </si>
  <si>
    <t>2026-03-03 23:24:18</t>
  </si>
  <si>
    <t>2026-03-04 08:07:20</t>
  </si>
  <si>
    <t>2026-03-04 08:52:07</t>
  </si>
  <si>
    <t>2026-03-04 09:19:10</t>
  </si>
  <si>
    <t>2026-03-04 09:34:57</t>
  </si>
  <si>
    <t>2026-03-19 07:00:00</t>
  </si>
  <si>
    <t>ODVN2603035CEBDACA</t>
  </si>
  <si>
    <t>582895129806079725</t>
  </si>
  <si>
    <t>2026-03-03 23:14:50</t>
  </si>
  <si>
    <t>2026-03-03 23:21:05</t>
  </si>
  <si>
    <t>2026-03-04 08:51:47</t>
  </si>
  <si>
    <t>2026-03-04 09:27:25</t>
  </si>
  <si>
    <t>2026-03-04 09:59:45</t>
  </si>
  <si>
    <t>2026-03-06 17:40:15</t>
  </si>
  <si>
    <t>ODVN260303CCE7F725</t>
  </si>
  <si>
    <t>2603047C8HW6M6</t>
  </si>
  <si>
    <t>2026-03-03 23:10:49</t>
  </si>
  <si>
    <t>2026-03-03 23:12:06</t>
  </si>
  <si>
    <t>2026-03-04 09:02:50</t>
  </si>
  <si>
    <t>2026-03-04 10:08:48</t>
  </si>
  <si>
    <t>2026-03-04 11:21:17</t>
  </si>
  <si>
    <t>2026-03-07 12:45:26</t>
  </si>
  <si>
    <t>ODVN2603033B9CA644</t>
  </si>
  <si>
    <t>2603047C1C2B8X</t>
  </si>
  <si>
    <t>2026-03-03 22:50:46</t>
  </si>
  <si>
    <t>2026-03-03 22:56:11</t>
  </si>
  <si>
    <t>2026-03-04 08:51:42</t>
  </si>
  <si>
    <t>2026-03-04 10:00:54</t>
  </si>
  <si>
    <t>2026-03-04 10:23:01</t>
  </si>
  <si>
    <t>2026-03-05 09:15:57</t>
  </si>
  <si>
    <t>ODVN260303A4EAD633</t>
  </si>
  <si>
    <t>2603037AWGS27C</t>
  </si>
  <si>
    <t>2026-03-03 22:35:54</t>
  </si>
  <si>
    <t>2026-03-03 22:37:08</t>
  </si>
  <si>
    <t>2026-03-04 08:51:33</t>
  </si>
  <si>
    <t>2026-03-04 14:18:11</t>
  </si>
  <si>
    <t>2026-03-04 15:14:47</t>
  </si>
  <si>
    <t>2026-03-07 16:43:07</t>
  </si>
  <si>
    <t>ODVN260303C7BB8DB7</t>
  </si>
  <si>
    <t>2603037A2X20VM</t>
  </si>
  <si>
    <t>2026-03-03 22:35:35</t>
  </si>
  <si>
    <t>2026-03-03 22:41:02</t>
  </si>
  <si>
    <t>2026-03-04 08:51:38</t>
  </si>
  <si>
    <t>2026-03-04 09:09:12</t>
  </si>
  <si>
    <t>2026-03-04 10:02:05</t>
  </si>
  <si>
    <t>2026-03-07 11:55:58</t>
  </si>
  <si>
    <t>ODVN260303103D6A1B</t>
  </si>
  <si>
    <t>2603037A284RSP</t>
  </si>
  <si>
    <t>2026-03-03 22:18:05</t>
  </si>
  <si>
    <t>2026-03-03 22:24:06</t>
  </si>
  <si>
    <t>2026-03-04 08:51:28</t>
  </si>
  <si>
    <t>2026-03-04 09:39:13</t>
  </si>
  <si>
    <t>2026-03-04 09:50:41</t>
  </si>
  <si>
    <t>2026-03-07 10:08:20</t>
  </si>
  <si>
    <t>ODVN260303622B3C28</t>
  </si>
  <si>
    <t>2603037931KMNE</t>
  </si>
  <si>
    <t>2026-03-03 22:17:35</t>
  </si>
  <si>
    <t>2026-03-03 22:19:07</t>
  </si>
  <si>
    <t>2026-03-04 08:51:18</t>
  </si>
  <si>
    <t>2026-03-04 15:21:45</t>
  </si>
  <si>
    <t>2026-03-04 15:56:05</t>
  </si>
  <si>
    <t>2026-03-05 10:02:05</t>
  </si>
  <si>
    <t>ODVN2603032F1E2102</t>
  </si>
  <si>
    <t>26030379250AEU</t>
  </si>
  <si>
    <t>2026-03-03 22:16:19</t>
  </si>
  <si>
    <t>2026-03-03 22:18:14</t>
  </si>
  <si>
    <t>2026-03-04 08:51:13</t>
  </si>
  <si>
    <t>2026-03-04 09:26:58</t>
  </si>
  <si>
    <t>2026-03-04 09:46:37</t>
  </si>
  <si>
    <t>2026-03-05 01:01:16</t>
  </si>
  <si>
    <t>ODVN260303B4A7D9C0</t>
  </si>
  <si>
    <t>26030378YWG1P0</t>
  </si>
  <si>
    <t>2026-03-03 22:14:36</t>
  </si>
  <si>
    <t>2026-03-03 22:20:11</t>
  </si>
  <si>
    <t>2026-03-04 08:51:23</t>
  </si>
  <si>
    <t>2026-03-04 09:38:56</t>
  </si>
  <si>
    <t>2026-03-04 09:50:25</t>
  </si>
  <si>
    <t>2026-03-07 10:55:46</t>
  </si>
  <si>
    <t>ODVN2603031F82EEA8</t>
  </si>
  <si>
    <t>26030378VUA843</t>
  </si>
  <si>
    <t>2026-03-03 22:09:03</t>
  </si>
  <si>
    <t>2026-03-03 22:11:07</t>
  </si>
  <si>
    <t>2026-03-04 09:18:40</t>
  </si>
  <si>
    <t>2026-03-04 10:48:38</t>
  </si>
  <si>
    <t>2026-03-04 11:07:39</t>
  </si>
  <si>
    <t>2026-03-04 21:40:12</t>
  </si>
  <si>
    <t>ODVN26030356891C75</t>
  </si>
  <si>
    <t>26030378JWPF7B</t>
  </si>
  <si>
    <t>2026-03-03 22:06:56</t>
  </si>
  <si>
    <t>2026-03-03 22:13:05</t>
  </si>
  <si>
    <t>2026-03-04 08:51:07</t>
  </si>
  <si>
    <t>2026-03-04 09:28:23</t>
  </si>
  <si>
    <t>2026-03-04 09:28:38</t>
  </si>
  <si>
    <t>2026-03-05 06:36:57</t>
  </si>
  <si>
    <t>ODVN260303755F6336</t>
  </si>
  <si>
    <t>26030378F4KT5X</t>
  </si>
  <si>
    <t>2026-03-03 21:59:50</t>
  </si>
  <si>
    <t>2026-03-03 22:06:15</t>
  </si>
  <si>
    <t>2026-03-04 08:51:02</t>
  </si>
  <si>
    <t>2026-03-04 15:07:20</t>
  </si>
  <si>
    <t>2026-03-04 16:42:32</t>
  </si>
  <si>
    <t>2026-03-07 18:36:30</t>
  </si>
  <si>
    <t>ODVN260303BAE0E256</t>
  </si>
  <si>
    <t>260303782EA0FE</t>
  </si>
  <si>
    <t>2026-03-03 21:54:43</t>
  </si>
  <si>
    <t>2026-03-03 22:00:07</t>
  </si>
  <si>
    <t>2026-03-04 09:18:35</t>
  </si>
  <si>
    <t>2026-03-04 09:54:25</t>
  </si>
  <si>
    <t>2026-03-04 10:16:18</t>
  </si>
  <si>
    <t>2026-03-07 11:17:31</t>
  </si>
  <si>
    <t>ODVN26030373533BF4</t>
  </si>
  <si>
    <t>26030377S8MKT5</t>
  </si>
  <si>
    <t>2026-03-03 21:48:18</t>
  </si>
  <si>
    <t>2026-03-03 21:50:05</t>
  </si>
  <si>
    <t>2026-03-04 09:02:38</t>
  </si>
  <si>
    <t>2026-03-04 09:38:32</t>
  </si>
  <si>
    <t>2026-03-04 10:20:27</t>
  </si>
  <si>
    <t>2026-03-07 11:26:04</t>
  </si>
  <si>
    <t>ODVN26030348ED9784</t>
  </si>
  <si>
    <t>26030377DTD5MV</t>
  </si>
  <si>
    <t>2026-03-03 21:23:13</t>
  </si>
  <si>
    <t>2026-03-03 21:29:07</t>
  </si>
  <si>
    <t>2026-03-04 09:02:27</t>
  </si>
  <si>
    <t>2026-03-04 09:22:38</t>
  </si>
  <si>
    <t>2026-03-04 10:17:17</t>
  </si>
  <si>
    <t>2026-03-07 11:58:32</t>
  </si>
  <si>
    <t>ODVN260303DFC6FF2E</t>
  </si>
  <si>
    <t>260303760X5F4B</t>
  </si>
  <si>
    <t>2026-03-03 21:18:45</t>
  </si>
  <si>
    <t>2026-03-03 21:20:14</t>
  </si>
  <si>
    <t>2026-03-04 09:02:22</t>
  </si>
  <si>
    <t>2026-03-04 09:32:22</t>
  </si>
  <si>
    <t>2026-03-04 10:07:50</t>
  </si>
  <si>
    <t>ODVN2603033C953C7A</t>
  </si>
  <si>
    <t>26030375RYHWWK</t>
  </si>
  <si>
    <t>2026-03-03 21:17:05</t>
  </si>
  <si>
    <t>2026-03-03 21:19:03</t>
  </si>
  <si>
    <t>2026-03-04 09:02:09</t>
  </si>
  <si>
    <t>2026-03-04 09:32:08</t>
  </si>
  <si>
    <t>2026-03-04 10:06:13</t>
  </si>
  <si>
    <t>2026-03-07 11:34:55</t>
  </si>
  <si>
    <t>ODVN26030339E50BCC</t>
  </si>
  <si>
    <t>26030375P05PRF</t>
  </si>
  <si>
    <t>2026-03-03 21:05:05</t>
  </si>
  <si>
    <t>2026-03-03 21:11:27</t>
  </si>
  <si>
    <t>2026-03-04 09:01:52</t>
  </si>
  <si>
    <t>2026-03-04 10:02:01</t>
  </si>
  <si>
    <t>2026-03-04 10:19:33</t>
  </si>
  <si>
    <t>2026-03-07 11:37:52</t>
  </si>
  <si>
    <t>ODVN26030333C837B5</t>
  </si>
  <si>
    <t>26030374YVJK9C</t>
  </si>
  <si>
    <t>2026-03-03 20:50:29</t>
  </si>
  <si>
    <t>2026-03-03 20:56:13</t>
  </si>
  <si>
    <t>2026-03-04 09:18:30</t>
  </si>
  <si>
    <t>2026-03-04 10:20:51</t>
  </si>
  <si>
    <t>2026-03-04 10:46:59</t>
  </si>
  <si>
    <t>2026-03-07 11:26:21</t>
  </si>
  <si>
    <t>ODVN260303511CCC2B</t>
  </si>
  <si>
    <t>260303746A92C0</t>
  </si>
  <si>
    <t>2026-03-03 20:01:52</t>
  </si>
  <si>
    <t>2026-03-03 20:04:05</t>
  </si>
  <si>
    <t>2026-03-04 09:01:25</t>
  </si>
  <si>
    <t>2026-03-04 11:24:20</t>
  </si>
  <si>
    <t>2026-03-04 11:38:04</t>
  </si>
  <si>
    <t>2026-03-07 12:39:27</t>
  </si>
  <si>
    <t>ODVN2603038E79A3A1</t>
  </si>
  <si>
    <t>26030371FG6NXR</t>
  </si>
  <si>
    <t>2026-03-03 18:54:25</t>
  </si>
  <si>
    <t>2026-03-03 18:56:06</t>
  </si>
  <si>
    <t>2026-03-04 09:18:25</t>
  </si>
  <si>
    <t>2026-03-04 10:22:49</t>
  </si>
  <si>
    <t>2026-03-04 10:56:48</t>
  </si>
  <si>
    <t>2026-03-07 11:38:07</t>
  </si>
  <si>
    <t>ODVN26030338173719</t>
  </si>
  <si>
    <t>2603036WPVQVYV</t>
  </si>
  <si>
    <t>2026-03-03 15:46:59</t>
  </si>
  <si>
    <t>2026-03-03 15:49:09</t>
  </si>
  <si>
    <t>2026-03-04 09:01:10</t>
  </si>
  <si>
    <t>2026-03-04 10:09:52</t>
  </si>
  <si>
    <t>2026-03-04 11:03:43</t>
  </si>
  <si>
    <t>2026-03-04 20:20:22</t>
  </si>
  <si>
    <t>ODVN26030340DDEEAD</t>
  </si>
  <si>
    <t>2603036K7QNHJG</t>
  </si>
  <si>
    <t>2026-03-03 15:41:46</t>
  </si>
  <si>
    <t>2026-03-03 15:43:08</t>
  </si>
  <si>
    <t>2026-03-03 16:09:16</t>
  </si>
  <si>
    <t>2026-03-04 09:36:04</t>
  </si>
  <si>
    <t>2026-03-04 09:57:24</t>
  </si>
  <si>
    <t>ODVN260303C24C92C6</t>
  </si>
  <si>
    <t>2603036JXC6527</t>
  </si>
  <si>
    <t>2026-03-03 14:41:06</t>
  </si>
  <si>
    <t>2026-03-05 12:02:14</t>
  </si>
  <si>
    <t>2026-03-05 13:09:01</t>
  </si>
  <si>
    <t>2026-03-05 14:18:09</t>
  </si>
  <si>
    <t>2026-03-05 14:35:58</t>
  </si>
  <si>
    <t>2026-03-05 15:10:10</t>
  </si>
  <si>
    <t>ODVN26030382F130B2</t>
  </si>
  <si>
    <t>2603036FHVURB9</t>
  </si>
  <si>
    <t>2026-03-03 14:39:23</t>
  </si>
  <si>
    <t>2026-03-03 14:41:49</t>
  </si>
  <si>
    <t>2026-03-03 14:42:44</t>
  </si>
  <si>
    <t>2026-03-03 15:06:15</t>
  </si>
  <si>
    <t>2026-03-03 16:11:09</t>
  </si>
  <si>
    <t>2026-03-06 17:24:06</t>
  </si>
  <si>
    <t>ODVN260303D8D025E2</t>
  </si>
  <si>
    <t>2603036FETK1A0</t>
  </si>
  <si>
    <t>2026-03-03 14:32:38</t>
  </si>
  <si>
    <t>2026-03-03 14:38:07</t>
  </si>
  <si>
    <t>2026-03-03 15:02:16</t>
  </si>
  <si>
    <t>2026-03-03 15:20:37</t>
  </si>
  <si>
    <t>2026-03-03 16:00:31</t>
  </si>
  <si>
    <t>2026-03-06 21:05:59</t>
  </si>
  <si>
    <t>ODVN260303571098E8</t>
  </si>
  <si>
    <t>2603036F2SAR5U</t>
  </si>
  <si>
    <t>2026-03-03 14:04:00</t>
  </si>
  <si>
    <t>2026-03-03 14:06:02</t>
  </si>
  <si>
    <t>2026-03-03 14:08:45</t>
  </si>
  <si>
    <t>2026-03-03 15:49:43</t>
  </si>
  <si>
    <t>2026-03-03 16:00:18</t>
  </si>
  <si>
    <t>2026-03-06 17:13:34</t>
  </si>
  <si>
    <t>ODVN26030398A1CBEE</t>
  </si>
  <si>
    <t>2603036DFJVNGG</t>
  </si>
  <si>
    <t>2026-03-03 14:00:42</t>
  </si>
  <si>
    <t>2026-03-03 14:02:04</t>
  </si>
  <si>
    <t>2026-03-03 14:04:34</t>
  </si>
  <si>
    <t>2026-03-03 14:58:35</t>
  </si>
  <si>
    <t>2026-03-03 15:38:19</t>
  </si>
  <si>
    <t>2026-03-05 23:28:15</t>
  </si>
  <si>
    <t>ODVN260303B8902869</t>
  </si>
  <si>
    <t>2603036D9Q1JHD</t>
  </si>
  <si>
    <t>2026-03-03 13:50:30</t>
  </si>
  <si>
    <t>2026-03-03 13:56:08</t>
  </si>
  <si>
    <t>2026-03-03 14:20:43</t>
  </si>
  <si>
    <t>2026-03-03 14:37:37</t>
  </si>
  <si>
    <t>2026-03-03 15:16:31</t>
  </si>
  <si>
    <t>2026-03-06 16:24:25</t>
  </si>
  <si>
    <t>ODVN260303E27B95F8</t>
  </si>
  <si>
    <t>2603036CQEDFEM</t>
  </si>
  <si>
    <t>2026-03-03 13:45:39</t>
  </si>
  <si>
    <t>2026-03-03 13:48:11</t>
  </si>
  <si>
    <t>2026-03-03 13:51:22</t>
  </si>
  <si>
    <t>2026-03-03 14:17:14</t>
  </si>
  <si>
    <t>2026-03-03 15:33:50</t>
  </si>
  <si>
    <t>2026-03-03 18:26:34</t>
  </si>
  <si>
    <t>ODVN2603033C070763</t>
  </si>
  <si>
    <t>2603036CE4XQB5</t>
  </si>
  <si>
    <t>2026-03-03 13:40:40</t>
  </si>
  <si>
    <t>2026-03-03 13:46:12</t>
  </si>
  <si>
    <t>2026-03-03 14:20:31</t>
  </si>
  <si>
    <t>2026-03-03 14:45:28</t>
  </si>
  <si>
    <t>2026-03-03 15:25:31</t>
  </si>
  <si>
    <t>2026-03-03 22:28:47</t>
  </si>
  <si>
    <t>ODVN260303800C04E7</t>
  </si>
  <si>
    <t>2603036C5TSF34</t>
  </si>
  <si>
    <t>2026-03-03 13:40:07</t>
  </si>
  <si>
    <t>2026-03-03 13:43:07</t>
  </si>
  <si>
    <t>2026-03-03 13:49:14</t>
  </si>
  <si>
    <t>2026-03-04 14:45:22</t>
  </si>
  <si>
    <t>2026-03-04 15:51:55</t>
  </si>
  <si>
    <t>2026-03-07 16:12:47</t>
  </si>
  <si>
    <t>ODVN2603031E1178B5</t>
  </si>
  <si>
    <t>2603036C4VARSF</t>
  </si>
  <si>
    <t>2026-03-03 13:39:49</t>
  </si>
  <si>
    <t>2026-03-03 13:48:41</t>
  </si>
  <si>
    <t>2026-03-03 14:20:38</t>
  </si>
  <si>
    <t>2026-03-03 14:45:55</t>
  </si>
  <si>
    <t>2026-03-03 15:26:10</t>
  </si>
  <si>
    <t>2026-03-04 17:57:42</t>
  </si>
  <si>
    <t>ODVN260303F7FE1F23</t>
  </si>
  <si>
    <t>2603036C4B5TER</t>
  </si>
  <si>
    <t>2026-03-03 12:50:10</t>
  </si>
  <si>
    <t>2026-03-03 12:56:10</t>
  </si>
  <si>
    <t>2026-03-03 13:24:11</t>
  </si>
  <si>
    <t>2026-03-03 14:59:43</t>
  </si>
  <si>
    <t>2026-03-03 15:45:08</t>
  </si>
  <si>
    <t>2026-03-04 17:51:13</t>
  </si>
  <si>
    <t>ODVN260303A78242FF</t>
  </si>
  <si>
    <t>26030369BH6WRA</t>
  </si>
  <si>
    <t>2026-03-03 12:47:06</t>
  </si>
  <si>
    <t>2026-03-03 12:54:09</t>
  </si>
  <si>
    <t>2026-03-03 14:20:23</t>
  </si>
  <si>
    <t>2026-03-03 15:34:32</t>
  </si>
  <si>
    <t>2026-03-03 16:31:04</t>
  </si>
  <si>
    <t>2026-03-05 08:50:57</t>
  </si>
  <si>
    <t>ODVN2603036C24FF15</t>
  </si>
  <si>
    <t>2603036961QEAY</t>
  </si>
  <si>
    <t>2026-03-03 12:40:14</t>
  </si>
  <si>
    <t>2026-03-03 12:46:11</t>
  </si>
  <si>
    <t>2026-03-03 14:20:17</t>
  </si>
  <si>
    <t>2026-03-03 14:53:33</t>
  </si>
  <si>
    <t>2026-03-03 15:31:56</t>
  </si>
  <si>
    <t>2026-03-06 16:49:11</t>
  </si>
  <si>
    <t>ODVN2603031501F5EE</t>
  </si>
  <si>
    <t>26030368SRRQ6H</t>
  </si>
  <si>
    <t>2026-03-03 12:37:29</t>
  </si>
  <si>
    <t>2026-03-03 12:43:07</t>
  </si>
  <si>
    <t>2026-03-03 13:24:05</t>
  </si>
  <si>
    <t>2026-03-03 13:51:40</t>
  </si>
  <si>
    <t>2026-03-03 14:24:04</t>
  </si>
  <si>
    <t>2026-03-03 14:50:01</t>
  </si>
  <si>
    <t>ODVN260303E138EC27</t>
  </si>
  <si>
    <t>26030368MVBSHA</t>
  </si>
  <si>
    <t>2026-03-03 12:25:05</t>
  </si>
  <si>
    <t>2026-03-03 12:31:07</t>
  </si>
  <si>
    <t>2026-03-03 13:23:59</t>
  </si>
  <si>
    <t>2026-03-03 14:27:29</t>
  </si>
  <si>
    <t>2026-03-03 14:39:13</t>
  </si>
  <si>
    <t>2026-03-04 07:18:05</t>
  </si>
  <si>
    <t>ODVN260303F2EBA959</t>
  </si>
  <si>
    <t>26030367XNWQ4Q</t>
  </si>
  <si>
    <t>2026-03-03 12:22:54</t>
  </si>
  <si>
    <t>2026-03-03 12:25:13</t>
  </si>
  <si>
    <t>2026-03-03 13:12:39</t>
  </si>
  <si>
    <t>2026-03-03 14:30:57</t>
  </si>
  <si>
    <t>2026-03-03 14:53:41</t>
  </si>
  <si>
    <t>ODVN26030350C826FD</t>
  </si>
  <si>
    <t>26030367TS12XP</t>
  </si>
  <si>
    <t>2026-03-03 12:14:54</t>
  </si>
  <si>
    <t>2026-03-03 14:20:11</t>
  </si>
  <si>
    <t>2026-03-03 14:53:18</t>
  </si>
  <si>
    <t>2026-03-03 15:31:43</t>
  </si>
  <si>
    <t>2026-03-06 16:27:06</t>
  </si>
  <si>
    <t>ODVN260303250A60FF</t>
  </si>
  <si>
    <t>26030367CG59V1</t>
  </si>
  <si>
    <t>2026-03-03 12:02:15</t>
  </si>
  <si>
    <t>2026-03-03 16:15:38</t>
  </si>
  <si>
    <t>2026-03-03 16:19:06</t>
  </si>
  <si>
    <t>2026-03-03 17:26:37</t>
  </si>
  <si>
    <t>2026-03-03 18:22:55</t>
  </si>
  <si>
    <t>2026-03-06 19:49:03</t>
  </si>
  <si>
    <t>ODVN2603030C65565C</t>
  </si>
  <si>
    <t>26030366NVCAU5</t>
  </si>
  <si>
    <t>2026-03-03 12:01:17</t>
  </si>
  <si>
    <t>2026-03-03 12:14:05</t>
  </si>
  <si>
    <t>2026-03-03 13:12:27</t>
  </si>
  <si>
    <t>2026-03-03 13:41:25</t>
  </si>
  <si>
    <t>2026-03-03 14:32:09</t>
  </si>
  <si>
    <t>2026-03-06 15:31:44</t>
  </si>
  <si>
    <t>ODVN260303CA215068</t>
  </si>
  <si>
    <t>26030366M51J67</t>
  </si>
  <si>
    <t>2026-03-03 11:34:54</t>
  </si>
  <si>
    <t>2026-03-03 11:38:00</t>
  </si>
  <si>
    <t>2026-03-03 16:19:01</t>
  </si>
  <si>
    <t>2026-03-03 17:24:18</t>
  </si>
  <si>
    <t>2026-03-03 18:44:33</t>
  </si>
  <si>
    <t>2026-03-06 19:46:34</t>
  </si>
  <si>
    <t>ODVN260303F3B9C886</t>
  </si>
  <si>
    <t>260303654YCBXR</t>
  </si>
  <si>
    <t>2026-03-03 11:27:11</t>
  </si>
  <si>
    <t>2026-03-03 11:28:59</t>
  </si>
  <si>
    <t>2026-03-03 11:36:52</t>
  </si>
  <si>
    <t>2026-03-03 12:19:39</t>
  </si>
  <si>
    <t>2026-03-03 13:03:05</t>
  </si>
  <si>
    <t>2026-03-04 17:46:13</t>
  </si>
  <si>
    <t>ODVN260303BAD791A9</t>
  </si>
  <si>
    <t>26030364Q5TQN2</t>
  </si>
  <si>
    <t>2026-03-03 11:25:35</t>
  </si>
  <si>
    <t>2026-03-03 11:28:32</t>
  </si>
  <si>
    <t>2026-03-03 11:36:38</t>
  </si>
  <si>
    <t>2026-03-03 12:29:37</t>
  </si>
  <si>
    <t>2026-03-03 13:43:44</t>
  </si>
  <si>
    <t>2026-03-04 18:00:21</t>
  </si>
  <si>
    <t>ODVN2603035BFB1DD0</t>
  </si>
  <si>
    <t>26030364M6EARA</t>
  </si>
  <si>
    <t>2026-03-03 11:20:40</t>
  </si>
  <si>
    <t>2026-03-03 11:24:45</t>
  </si>
  <si>
    <t>2026-03-03 11:28:31</t>
  </si>
  <si>
    <t>2026-03-03 13:18:13</t>
  </si>
  <si>
    <t>2026-03-03 13:58:26</t>
  </si>
  <si>
    <t>2026-03-04 18:10:05</t>
  </si>
  <si>
    <t>ODVN2603031A1585F3</t>
  </si>
  <si>
    <t>26030364BGXMHJ</t>
  </si>
  <si>
    <t>2026-03-03 11:12:30</t>
  </si>
  <si>
    <t>2026-03-04 11:11:09</t>
  </si>
  <si>
    <t>2026-03-04 13:58:11</t>
  </si>
  <si>
    <t>2026-03-04 14:22:47</t>
  </si>
  <si>
    <t>2026-03-04 14:40:43</t>
  </si>
  <si>
    <t>2026-03-04 17:40:05</t>
  </si>
  <si>
    <t>ODVN26030375E831BA</t>
  </si>
  <si>
    <t>26030363VWN0PQ</t>
  </si>
  <si>
    <t>2026-03-03 10:38:11</t>
  </si>
  <si>
    <t>2026-03-03 10:45:22</t>
  </si>
  <si>
    <t>2026-03-03 11:10:30</t>
  </si>
  <si>
    <t>2026-03-03 12:14:32</t>
  </si>
  <si>
    <t>2026-03-03 13:10:00</t>
  </si>
  <si>
    <t>2026-03-04 17:59:13</t>
  </si>
  <si>
    <t>ODVN260303242F49BB</t>
  </si>
  <si>
    <t>26030361YH24WV</t>
  </si>
  <si>
    <t>2026-03-03 10:18:56</t>
  </si>
  <si>
    <t>2026-03-03 10:27:39</t>
  </si>
  <si>
    <t>2026-03-03 11:01:56</t>
  </si>
  <si>
    <t>2026-03-03 11:43:29</t>
  </si>
  <si>
    <t>2026-03-03 12:08:16</t>
  </si>
  <si>
    <t>2026-03-04 17:49:26</t>
  </si>
  <si>
    <t>ODVN260303EF1C077D</t>
  </si>
  <si>
    <t>26030360W0PF8H</t>
  </si>
  <si>
    <t>2026-03-03 10:16:26</t>
  </si>
  <si>
    <t>2026-03-03 10:24:21</t>
  </si>
  <si>
    <t>2026-03-03 10:44:00</t>
  </si>
  <si>
    <t>2026-03-03 11:25:48</t>
  </si>
  <si>
    <t>2026-03-03 12:03:20</t>
  </si>
  <si>
    <t>2026-03-04 18:04:29</t>
  </si>
  <si>
    <t>ODVN260303B5D1C25F</t>
  </si>
  <si>
    <t>26030360RMGMGQ</t>
  </si>
  <si>
    <t>2026-03-03 10:05:44</t>
  </si>
  <si>
    <t>2026-03-03 10:08:10</t>
  </si>
  <si>
    <t>2026-03-03 10:31:41</t>
  </si>
  <si>
    <t>2026-03-03 12:26:02</t>
  </si>
  <si>
    <t>2026-03-03 12:41:54</t>
  </si>
  <si>
    <t>2026-03-06 13:18:05</t>
  </si>
  <si>
    <t>ODVN260303AEE24DF4</t>
  </si>
  <si>
    <t>260303605H5YNX</t>
  </si>
  <si>
    <t>2026-03-03 09:42:59</t>
  </si>
  <si>
    <t>2026-03-03 09:44:10</t>
  </si>
  <si>
    <t>2026-03-03 10:28:42</t>
  </si>
  <si>
    <t>2026-03-03 11:14:45</t>
  </si>
  <si>
    <t>2026-03-03 12:20:36</t>
  </si>
  <si>
    <t>2026-03-06 13:33:55</t>
  </si>
  <si>
    <t>ODVN260303217A5CC3</t>
  </si>
  <si>
    <t>2603035XVUDKUM</t>
  </si>
  <si>
    <t>2026-03-03 09:29:47</t>
  </si>
  <si>
    <t>2026-03-03 09:38:14</t>
  </si>
  <si>
    <t>2026-03-03 10:28:37</t>
  </si>
  <si>
    <t>2026-03-03 11:25:28</t>
  </si>
  <si>
    <t>2026-03-03 11:33:00</t>
  </si>
  <si>
    <t>2026-03-04 17:55:17</t>
  </si>
  <si>
    <t>ODVN26030343FE3C71</t>
  </si>
  <si>
    <t>2603035X583BBP</t>
  </si>
  <si>
    <t>2026-03-03 09:05:31</t>
  </si>
  <si>
    <t>2026-03-03 09:07:25</t>
  </si>
  <si>
    <t>2026-03-03 09:31:38</t>
  </si>
  <si>
    <t>2026-03-03 09:42:49</t>
  </si>
  <si>
    <t>2026-03-03 10:11:11</t>
  </si>
  <si>
    <t>2026-03-04 10:20:32</t>
  </si>
  <si>
    <t>ODVN26030356FC769B</t>
  </si>
  <si>
    <t>2603035VSTKE3D</t>
  </si>
  <si>
    <t>2026-03-03 09:00:45</t>
  </si>
  <si>
    <t>2026-03-03 09:06:14</t>
  </si>
  <si>
    <t>2026-03-03 09:19:27</t>
  </si>
  <si>
    <t>2026-03-03 10:13:17</t>
  </si>
  <si>
    <t>2026-03-03 10:27:50</t>
  </si>
  <si>
    <t>2026-03-06 11:42:37</t>
  </si>
  <si>
    <t>ODVN2603032D95853C</t>
  </si>
  <si>
    <t>2603035VHATUGW</t>
  </si>
  <si>
    <t>2026-03-03 08:58:19</t>
  </si>
  <si>
    <t>2026-03-03 09:00:20</t>
  </si>
  <si>
    <t>2026-03-03 09:18:52</t>
  </si>
  <si>
    <t>2026-03-03 10:34:59</t>
  </si>
  <si>
    <t>2026-03-03 11:26:29</t>
  </si>
  <si>
    <t>2026-03-04 18:17:33</t>
  </si>
  <si>
    <t>ODVN26030381EC5FC5</t>
  </si>
  <si>
    <t>2603035VCYJQQM</t>
  </si>
  <si>
    <t>2026-03-03 08:58:04</t>
  </si>
  <si>
    <t>2026-03-03 09:04:13</t>
  </si>
  <si>
    <t>2026-03-03 09:19:04</t>
  </si>
  <si>
    <t>2026-03-03 09:57:03</t>
  </si>
  <si>
    <t>2026-03-03 10:47:33</t>
  </si>
  <si>
    <t>2026-03-06 11:20:10</t>
  </si>
  <si>
    <t>ODVN260303FBFBA02F</t>
  </si>
  <si>
    <t>2603035VCG9DGK</t>
  </si>
  <si>
    <t>2026-03-03 08:52:48</t>
  </si>
  <si>
    <t>2026-03-03 08:59:06</t>
  </si>
  <si>
    <t>2026-03-03 09:57:50</t>
  </si>
  <si>
    <t>2026-03-03 10:32:43</t>
  </si>
  <si>
    <t>2026-03-03 11:08:52</t>
  </si>
  <si>
    <t>2026-03-06 12:04:55</t>
  </si>
  <si>
    <t>ODVN2603039D22864A</t>
  </si>
  <si>
    <t>2603035V303K9S</t>
  </si>
  <si>
    <t>2026-03-03 08:47:53</t>
  </si>
  <si>
    <t>2026-03-03 08:49:16</t>
  </si>
  <si>
    <t>2026-03-03 09:57:45</t>
  </si>
  <si>
    <t>2026-03-03 14:41:57</t>
  </si>
  <si>
    <t>2026-03-03 15:01:30</t>
  </si>
  <si>
    <t>2026-03-04 17:27:41</t>
  </si>
  <si>
    <t>ODVN260303FBCD2515</t>
  </si>
  <si>
    <t>2603035UTAMBF1</t>
  </si>
  <si>
    <t>2026-03-03 08:42:19</t>
  </si>
  <si>
    <t>2026-03-03 08:44:07</t>
  </si>
  <si>
    <t>2026-03-03 09:57:39</t>
  </si>
  <si>
    <t>2026-03-04 10:09:39</t>
  </si>
  <si>
    <t>2026-03-04 10:23:49</t>
  </si>
  <si>
    <t>2026-03-04 22:53:27</t>
  </si>
  <si>
    <t>ODVN26030338BEAC5C</t>
  </si>
  <si>
    <t>2603035UGC11C3</t>
  </si>
  <si>
    <t>2026-03-03 07:55:37</t>
  </si>
  <si>
    <t>2026-03-03 08:03:12</t>
  </si>
  <si>
    <t>2026-03-03 08:56:26</t>
  </si>
  <si>
    <t>2026-03-03 09:57:19</t>
  </si>
  <si>
    <t>2026-03-03 10:41:57</t>
  </si>
  <si>
    <t>2026-03-04 18:16:51</t>
  </si>
  <si>
    <t>ODVN2603036ED3DE66</t>
  </si>
  <si>
    <t>2603035RVVT2YK</t>
  </si>
  <si>
    <t>2026-03-03 06:40:10</t>
  </si>
  <si>
    <t>2026-03-03 06:46:14</t>
  </si>
  <si>
    <t>2026-03-03 08:43:29</t>
  </si>
  <si>
    <t>2026-03-03 09:16:57</t>
  </si>
  <si>
    <t>2026-03-03 09:55:07</t>
  </si>
  <si>
    <t>2026-03-04 08:11:50</t>
  </si>
  <si>
    <t>ODVN260303A95046B6</t>
  </si>
  <si>
    <t>2603035MNWNJUU</t>
  </si>
  <si>
    <t>2026-03-03 06:15:21</t>
  </si>
  <si>
    <t>2026-03-03 06:21:09</t>
  </si>
  <si>
    <t>2026-03-03 08:43:23</t>
  </si>
  <si>
    <t>2026-03-03 09:11:45</t>
  </si>
  <si>
    <t>2026-03-03 09:34:19</t>
  </si>
  <si>
    <t>2026-03-04 17:27:38</t>
  </si>
  <si>
    <t>ODVN260303EA72B9E9</t>
  </si>
  <si>
    <t>2603035K9JHS47</t>
  </si>
  <si>
    <t>2026-03-03 06:05:25</t>
  </si>
  <si>
    <t>2026-03-03 06:07:05</t>
  </si>
  <si>
    <t>2026-03-03 08:57:03</t>
  </si>
  <si>
    <t>2026-03-03 09:50:41</t>
  </si>
  <si>
    <t>2026-03-03 10:26:47</t>
  </si>
  <si>
    <t>2026-03-03 12:47:47</t>
  </si>
  <si>
    <t>ODVN2603037D49DCB1</t>
  </si>
  <si>
    <t>2603035JQT6EHK</t>
  </si>
  <si>
    <t>2026-03-03 05:46:00</t>
  </si>
  <si>
    <t>2026-03-03 05:47:32</t>
  </si>
  <si>
    <t>2026-03-03 08:56:58</t>
  </si>
  <si>
    <t>2026-03-03 09:50:26</t>
  </si>
  <si>
    <t>2026-03-03 10:24:55</t>
  </si>
  <si>
    <t>2026-03-03 12:48:08</t>
  </si>
  <si>
    <t>ODVN2603032712C734</t>
  </si>
  <si>
    <t>2603035HN35GG2</t>
  </si>
  <si>
    <t>2026-03-03 03:48:20</t>
  </si>
  <si>
    <t>2026-03-03 03:54:09</t>
  </si>
  <si>
    <t>2026-03-03 08:43:18</t>
  </si>
  <si>
    <t>2026-03-03 10:04:02</t>
  </si>
  <si>
    <t>2026-03-03 10:10:49</t>
  </si>
  <si>
    <t>2026-03-03 10:12:34</t>
  </si>
  <si>
    <t>ODVN2603038FA25894</t>
  </si>
  <si>
    <t>2603035B2N8EWW</t>
  </si>
  <si>
    <t>2026-03-03 03:13:03</t>
  </si>
  <si>
    <t>2026-03-03 03:25:05</t>
  </si>
  <si>
    <t>2026-03-03 08:43:12</t>
  </si>
  <si>
    <t>2026-03-03 09:32:41</t>
  </si>
  <si>
    <t>2026-03-03 10:26:04</t>
  </si>
  <si>
    <t>2026-03-03 14:45:50</t>
  </si>
  <si>
    <t>ODVN2603035CE6DC77</t>
  </si>
  <si>
    <t>260303593K97N9</t>
  </si>
  <si>
    <t>2026-03-03 02:48:11</t>
  </si>
  <si>
    <t>2026-03-03 03:04:09</t>
  </si>
  <si>
    <t>2026-03-03 08:43:07</t>
  </si>
  <si>
    <t>2026-03-03 10:35:31</t>
  </si>
  <si>
    <t>2026-03-03 10:59:18</t>
  </si>
  <si>
    <t>2026-03-04 17:54:32</t>
  </si>
  <si>
    <t>ODVN26030363C41775</t>
  </si>
  <si>
    <t>26030357Q4DEVC</t>
  </si>
  <si>
    <t>2026-03-03 02:38:09</t>
  </si>
  <si>
    <t>2026-03-03 02:48:07</t>
  </si>
  <si>
    <t>2026-03-03 08:56:53</t>
  </si>
  <si>
    <t>2026-03-03 14:36:55</t>
  </si>
  <si>
    <t>2026-03-03 15:08:49</t>
  </si>
  <si>
    <t>2026-03-03 16:47:33</t>
  </si>
  <si>
    <t>ODVN2603039CD08F89</t>
  </si>
  <si>
    <t>2603035752EUF5</t>
  </si>
  <si>
    <t>2026-03-03 01:40:38</t>
  </si>
  <si>
    <t>2026-03-03 02:20:11</t>
  </si>
  <si>
    <t>2026-03-03 08:56:05</t>
  </si>
  <si>
    <t>2026-03-03 10:53:09</t>
  </si>
  <si>
    <t>2026-03-03 11:45:19</t>
  </si>
  <si>
    <t>2026-03-06 12:31:35</t>
  </si>
  <si>
    <t>ODVN260303BE19F86B</t>
  </si>
  <si>
    <t>26030353XB5V7U</t>
  </si>
  <si>
    <t>2026-03-03 01:40:35</t>
  </si>
  <si>
    <t>2026-03-03 08:22:27</t>
  </si>
  <si>
    <t>2026-03-03 09:09:16</t>
  </si>
  <si>
    <t>2026-03-03 09:10:23</t>
  </si>
  <si>
    <t>2026-03-05 06:35:24</t>
  </si>
  <si>
    <t>ODVN2603031608287D</t>
  </si>
  <si>
    <t>26030353WMA4QY</t>
  </si>
  <si>
    <t>2026-03-03 01:39:55</t>
  </si>
  <si>
    <t>2026-03-03 02:20:15</t>
  </si>
  <si>
    <t>2026-03-03 08:43:01</t>
  </si>
  <si>
    <t>2026-03-03 10:08:59</t>
  </si>
  <si>
    <t>2026-03-03 10:18:59</t>
  </si>
  <si>
    <t>2026-03-04 17:55:45</t>
  </si>
  <si>
    <t>ODVN260303CAE3FF51</t>
  </si>
  <si>
    <t>26030353W23EAH</t>
  </si>
  <si>
    <t>2026-03-03 01:20:44</t>
  </si>
  <si>
    <t>2026-03-03 02:51:06</t>
  </si>
  <si>
    <t>2026-03-03 08:22:37</t>
  </si>
  <si>
    <t>2026-03-03 09:45:50</t>
  </si>
  <si>
    <t>2026-03-03 10:16:56</t>
  </si>
  <si>
    <t>2026-03-06 11:30:24</t>
  </si>
  <si>
    <t>ODVN2603030FC69AFF</t>
  </si>
  <si>
    <t>26030352TRE7UQ</t>
  </si>
  <si>
    <t>2026-03-03 01:19:19</t>
  </si>
  <si>
    <t>2026-03-03 02:20:16</t>
  </si>
  <si>
    <t>2026-03-03 08:22:32</t>
  </si>
  <si>
    <t>2026-03-03 10:16:12</t>
  </si>
  <si>
    <t>2026-03-03 10:40:56</t>
  </si>
  <si>
    <t>2026-03-06 11:01:59</t>
  </si>
  <si>
    <t>ODVN260303368C1F8C</t>
  </si>
  <si>
    <t>26030352QKDM24</t>
  </si>
  <si>
    <t>2026-03-03 00:49:21</t>
  </si>
  <si>
    <t>2026-03-03 02:01:33</t>
  </si>
  <si>
    <t>2026-03-03 09:27:19</t>
  </si>
  <si>
    <t>2026-03-03 11:11:19</t>
  </si>
  <si>
    <t>2026-03-03 12:05:42</t>
  </si>
  <si>
    <t>2026-03-06 13:49:36</t>
  </si>
  <si>
    <t>ODVN260303A2916B45</t>
  </si>
  <si>
    <t>260303512MNX1X</t>
  </si>
  <si>
    <t>2026-03-03 00:48:59</t>
  </si>
  <si>
    <t>2026-03-03 02:32:02</t>
  </si>
  <si>
    <t>2026-03-03 09:27:30</t>
  </si>
  <si>
    <t>2026-03-03 11:11:17</t>
  </si>
  <si>
    <t>2026-03-03 12:05:30</t>
  </si>
  <si>
    <t>2026-03-06 13:36:26</t>
  </si>
  <si>
    <t>ODVN2603034FC960F4</t>
  </si>
  <si>
    <t>260303511YQE01</t>
  </si>
  <si>
    <t>2026-03-03 00:46:00</t>
  </si>
  <si>
    <t>2026-03-03 08:55:26</t>
  </si>
  <si>
    <t>2026-03-03 10:08:54</t>
  </si>
  <si>
    <t>2026-03-03 10:53:27</t>
  </si>
  <si>
    <t>2026-03-04 17:50:17</t>
  </si>
  <si>
    <t>ODVN260303BD092F7B</t>
  </si>
  <si>
    <t>26030350VN029R</t>
  </si>
  <si>
    <t>2026-03-03 00:32:41</t>
  </si>
  <si>
    <t>2026-03-03 02:01:37</t>
  </si>
  <si>
    <t>2026-03-03 08:22:11</t>
  </si>
  <si>
    <t>2026-03-03 08:53:33</t>
  </si>
  <si>
    <t>2026-03-03 09:50:09</t>
  </si>
  <si>
    <t>2026-03-06 10:49:18</t>
  </si>
  <si>
    <t>ODVN260303097A6C83</t>
  </si>
  <si>
    <t>260303504TYPNU</t>
  </si>
  <si>
    <t>2026-03-03 00:27:53</t>
  </si>
  <si>
    <t>2026-03-03 09:26:13</t>
  </si>
  <si>
    <t>2026-03-03 10:06:11</t>
  </si>
  <si>
    <t>2026-03-03 10:25:39</t>
  </si>
  <si>
    <t>2026-03-03 11:05:29</t>
  </si>
  <si>
    <t>2026-03-03 23:41:48</t>
  </si>
  <si>
    <t>ODVN260303F05DD7FC</t>
  </si>
  <si>
    <t>2603034YUMCD3S</t>
  </si>
  <si>
    <t>2026-03-03 00:22:54</t>
  </si>
  <si>
    <t>2026-03-03 02:01:40</t>
  </si>
  <si>
    <t>2026-03-03 08:22:16</t>
  </si>
  <si>
    <t>2026-03-03 08:40:20</t>
  </si>
  <si>
    <t>2026-03-03 08:59:32</t>
  </si>
  <si>
    <t>2026-03-06 10:44:23</t>
  </si>
  <si>
    <t>ODVN26030347A6FE51</t>
  </si>
  <si>
    <t>2603034YK8BEG9</t>
  </si>
  <si>
    <t>2026-03-03 00:22:34</t>
  </si>
  <si>
    <t>2026-03-03 02:01:41</t>
  </si>
  <si>
    <t>2026-03-03 08:22:22</t>
  </si>
  <si>
    <t>2026-03-03 09:48:38</t>
  </si>
  <si>
    <t>2026-03-03 09:56:12</t>
  </si>
  <si>
    <t>2026-03-03 20:48:33</t>
  </si>
  <si>
    <t>ODVN26030375E342BE</t>
  </si>
  <si>
    <t>2603034YJR5E8J</t>
  </si>
  <si>
    <t>2026-03-03 00:21:04</t>
  </si>
  <si>
    <t>2026-03-03 02:01:42</t>
  </si>
  <si>
    <t>2026-03-03 08:42:43</t>
  </si>
  <si>
    <t>2026-03-03 09:32:21</t>
  </si>
  <si>
    <t>2026-03-03 10:58:20</t>
  </si>
  <si>
    <t>2026-03-06 11:30:22</t>
  </si>
  <si>
    <t>ODVN2603033DD61206</t>
  </si>
  <si>
    <t>2603034YFEAPHK</t>
  </si>
  <si>
    <t>2026-03-03 00:20:45</t>
  </si>
  <si>
    <t>2026-03-03 02:01:43</t>
  </si>
  <si>
    <t>2026-03-03 09:27:25</t>
  </si>
  <si>
    <t>2026-03-03 09:43:18</t>
  </si>
  <si>
    <t>2026-03-03 10:26:33</t>
  </si>
  <si>
    <t>2026-03-06 11:02:18</t>
  </si>
  <si>
    <t>ODVN2603039434012A</t>
  </si>
  <si>
    <t>2603034YFG6VYG</t>
  </si>
  <si>
    <t>2026-03-03 00:18:25</t>
  </si>
  <si>
    <t>2026-03-03 02:02:36</t>
  </si>
  <si>
    <t>2026-03-03 08:42:50</t>
  </si>
  <si>
    <t>2026-03-03 09:18:35</t>
  </si>
  <si>
    <t>2026-03-03 09:27:41</t>
  </si>
  <si>
    <t>2026-03-03 20:48:43</t>
  </si>
  <si>
    <t>ODVN26030363ED8E71</t>
  </si>
  <si>
    <t>2603034YBAPT0X</t>
  </si>
  <si>
    <t>2026-03-03 00:12:40</t>
  </si>
  <si>
    <t>2026-03-03 02:02:39</t>
  </si>
  <si>
    <t>2026-03-03 08:42:55</t>
  </si>
  <si>
    <t>2026-03-03 10:04:05</t>
  </si>
  <si>
    <t>2026-03-03 10:13:37</t>
  </si>
  <si>
    <t>2026-03-06 11:13:53</t>
  </si>
  <si>
    <t>ODVN26030337CE6114</t>
  </si>
  <si>
    <t>2603034Y11NQM0</t>
  </si>
  <si>
    <t>2026-03-03 00:09:00</t>
  </si>
  <si>
    <t>2026-03-03 02:00:26</t>
  </si>
  <si>
    <t>2026-03-03 08:21:56</t>
  </si>
  <si>
    <t>2026-03-03 08:33:46</t>
  </si>
  <si>
    <t>2026-03-03 08:57:38</t>
  </si>
  <si>
    <t>2026-03-04 17:59:23</t>
  </si>
  <si>
    <t>ODVN260303C9FAD3AB</t>
  </si>
  <si>
    <t>2603034XTFUJ97</t>
  </si>
  <si>
    <t>2026-03-03 00:08:58</t>
  </si>
  <si>
    <t>2026-03-03 09:26:36</t>
  </si>
  <si>
    <t>2026-03-03 10:00:40</t>
  </si>
  <si>
    <t>2026-03-03 10:56:37</t>
  </si>
  <si>
    <t>2026-03-03 11:26:50</t>
  </si>
  <si>
    <t>2026-03-04 17:48:34</t>
  </si>
  <si>
    <t>ODVN260303D1133E18</t>
  </si>
  <si>
    <t>2603034XTDWUR6</t>
  </si>
  <si>
    <t>2026-03-03 00:07:43</t>
  </si>
  <si>
    <t>2026-03-03 02:00:29</t>
  </si>
  <si>
    <t>2026-03-03 08:42:36</t>
  </si>
  <si>
    <t>2026-03-03 09:36:31</t>
  </si>
  <si>
    <t>2026-03-03 10:15:31</t>
  </si>
  <si>
    <t>2026-03-06 11:04:51</t>
  </si>
  <si>
    <t>ODVN26030392C8CC0D</t>
  </si>
  <si>
    <t>2603034XR6CRYN</t>
  </si>
  <si>
    <t>2026-03-03 00:05:53</t>
  </si>
  <si>
    <t>2026-03-03 02:00:28</t>
  </si>
  <si>
    <t>2026-03-03 08:55:00</t>
  </si>
  <si>
    <t>2026-03-03 09:57:53</t>
  </si>
  <si>
    <t>2026-03-03 10:20:14</t>
  </si>
  <si>
    <t>2026-03-04 00:46:32</t>
  </si>
  <si>
    <t>ODVN260303C1799B86</t>
  </si>
  <si>
    <t>2603034XMWFPT5</t>
  </si>
  <si>
    <t>2026-03-03 00:05:42</t>
  </si>
  <si>
    <t>2026-03-03 02:00:27</t>
  </si>
  <si>
    <t>2026-03-03 08:54:30</t>
  </si>
  <si>
    <t>2026-03-03 12:10:00</t>
  </si>
  <si>
    <t>2026-03-03 12:56:23</t>
  </si>
  <si>
    <t>2026-03-06 13:47:10</t>
  </si>
  <si>
    <t>ODVN2603037D304EDF</t>
  </si>
  <si>
    <t>2603034XKY1APW</t>
  </si>
  <si>
    <t>2026-03-03 00:05:02</t>
  </si>
  <si>
    <t>2026-03-03 08:54:35</t>
  </si>
  <si>
    <t>2026-03-03 09:15:54</t>
  </si>
  <si>
    <t>2026-03-03 09:50:39</t>
  </si>
  <si>
    <t>2026-03-04 17:43:04</t>
  </si>
  <si>
    <t>ODVN2603032B78A133</t>
  </si>
  <si>
    <t>2603034XJRVK05</t>
  </si>
  <si>
    <t>2026-03-03 00:04:58</t>
  </si>
  <si>
    <t>2026-03-03 08:42:30</t>
  </si>
  <si>
    <t>2026-03-03 09:33:15</t>
  </si>
  <si>
    <t>2026-03-03 10:03:44</t>
  </si>
  <si>
    <t>2026-03-06 11:39:18</t>
  </si>
  <si>
    <t>ODVN260303F345CCD2</t>
  </si>
  <si>
    <t>2603034XK9164V</t>
  </si>
  <si>
    <t>2026-03-03 00:04:23</t>
  </si>
  <si>
    <t>2026-03-03 08:22:01</t>
  </si>
  <si>
    <t>2026-03-03 09:10:39</t>
  </si>
  <si>
    <t>2026-03-03 10:16:10</t>
  </si>
  <si>
    <t>2026-03-04 18:03:13</t>
  </si>
  <si>
    <t>ODVN2603039809A14D</t>
  </si>
  <si>
    <t>2603034XJ7Q4UW</t>
  </si>
  <si>
    <t>2026-03-03 00:04:16</t>
  </si>
  <si>
    <t>2026-03-03 20:11:12</t>
  </si>
  <si>
    <t>2026-03-04 09:01:37</t>
  </si>
  <si>
    <t>2026-03-04 10:52:59</t>
  </si>
  <si>
    <t>2026-03-04 11:55:26</t>
  </si>
  <si>
    <t>2026-03-07 12:35:38</t>
  </si>
  <si>
    <t>ODVN260303D10E167F</t>
  </si>
  <si>
    <t>2603034XJ0Y9NU</t>
  </si>
  <si>
    <t>2026-03-03 00:03:17</t>
  </si>
  <si>
    <t>2026-03-03 08:22:06</t>
  </si>
  <si>
    <t>2026-03-03 14:59:21</t>
  </si>
  <si>
    <t>2026-03-03 15:34:41</t>
  </si>
  <si>
    <t>2026-03-04 18:16:53</t>
  </si>
  <si>
    <t>ODVN2603031F5F3B7C</t>
  </si>
  <si>
    <t>2603034XG8R7JK</t>
  </si>
  <si>
    <t>2026-03-03 00:02:50</t>
  </si>
  <si>
    <t>2026-03-03 07:54:42</t>
  </si>
  <si>
    <t>2026-03-03 08:10:23</t>
  </si>
  <si>
    <t>2026-03-03 08:38:43</t>
  </si>
  <si>
    <t>2026-03-04 18:11:53</t>
  </si>
  <si>
    <t>ODVN26030359065DA2</t>
  </si>
  <si>
    <t>2603034XFEXJ0G</t>
  </si>
  <si>
    <t>2026-03-03 00:02:09</t>
  </si>
  <si>
    <t>2026-03-03 08:55:12</t>
  </si>
  <si>
    <t>2026-03-03 10:16:45</t>
  </si>
  <si>
    <t>2026-03-03 10:33:18</t>
  </si>
  <si>
    <t>2026-03-05 08:22:51</t>
  </si>
  <si>
    <t>ODVN26030326DA2488</t>
  </si>
  <si>
    <t>2603034XDKWA84</t>
  </si>
  <si>
    <t>2026-03-03 00:01:31</t>
  </si>
  <si>
    <t>2026-03-03 08:42:21</t>
  </si>
  <si>
    <t>2026-03-03 10:41:07</t>
  </si>
  <si>
    <t>2026-03-03 10:54:22</t>
  </si>
  <si>
    <t>2026-03-04 17:58:01</t>
  </si>
  <si>
    <t>ODVN26030322FABF83</t>
  </si>
  <si>
    <t>2603034XCFNJKS</t>
  </si>
  <si>
    <t>2026-03-03 00:01:27</t>
  </si>
  <si>
    <t>2026-03-03 09:27:11</t>
  </si>
  <si>
    <t>2026-03-03 09:43:21</t>
  </si>
  <si>
    <t>2026-03-03 10:38:47</t>
  </si>
  <si>
    <t>2026-03-06 09:21:14</t>
  </si>
  <si>
    <t>ODVN260303536BC92C</t>
  </si>
  <si>
    <t>2603034XCYUWGQ</t>
  </si>
  <si>
    <t>2026-03-03 00:01:14</t>
  </si>
  <si>
    <t>2026-03-03 09:27:04</t>
  </si>
  <si>
    <t>2026-03-03 09:43:10</t>
  </si>
  <si>
    <t>2026-03-03 10:36:49</t>
  </si>
  <si>
    <t>2026-03-03 13:43:19</t>
  </si>
  <si>
    <t>ODVN26030364C42DF9</t>
  </si>
  <si>
    <t>2603034XCFM34D</t>
  </si>
  <si>
    <t>2026-03-03 00:00:35</t>
  </si>
  <si>
    <t>2026-03-03 02:00:25</t>
  </si>
  <si>
    <t>2026-03-03 09:26:58</t>
  </si>
  <si>
    <t>2026-03-03 11:22:21</t>
  </si>
  <si>
    <t>2026-03-03 11:56:13</t>
  </si>
  <si>
    <t>2026-03-06 12:41:56</t>
  </si>
  <si>
    <t>ODVN260303F4B7C259</t>
  </si>
  <si>
    <t>2603034XBF5KQK</t>
  </si>
  <si>
    <t>2026-03-02 23:55:01</t>
  </si>
  <si>
    <t>2026-03-03 09:26:52</t>
  </si>
  <si>
    <t>2026-03-03 09:39:31</t>
  </si>
  <si>
    <t>2026-03-03 11:19:33</t>
  </si>
  <si>
    <t>2026-03-03 13:07:30</t>
  </si>
  <si>
    <t>ODVN260302389E9655</t>
  </si>
  <si>
    <t>2603034X1EQ8XS</t>
  </si>
  <si>
    <t>2026-03-02 23:36:32</t>
  </si>
  <si>
    <t>2026-03-03 08:21:51</t>
  </si>
  <si>
    <t>2026-03-03 08:48:21</t>
  </si>
  <si>
    <t>2026-03-03 09:55:47</t>
  </si>
  <si>
    <t>2026-03-04 16:13:42</t>
  </si>
  <si>
    <t>ODVN260302E39FEFFF</t>
  </si>
  <si>
    <t>2603034W0D4QV9</t>
  </si>
  <si>
    <t>2026-03-02 22:14:21</t>
  </si>
  <si>
    <t>2026-03-03 08:56:47</t>
  </si>
  <si>
    <t>2026-03-03 11:38:56</t>
  </si>
  <si>
    <t>2026-03-04 16:10:27</t>
  </si>
  <si>
    <t>ODVN26030299D51289</t>
  </si>
  <si>
    <t>2603024RDFFESA</t>
  </si>
  <si>
    <t>2026-03-02 19:14:59</t>
  </si>
  <si>
    <t>2026-03-03 02:00:23</t>
  </si>
  <si>
    <t>2026-03-03 07:54:36</t>
  </si>
  <si>
    <t>2026-03-03 08:09:38</t>
  </si>
  <si>
    <t>2026-03-03 09:07:38</t>
  </si>
  <si>
    <t>2026-03-06 10:27:33</t>
  </si>
  <si>
    <t>ODVN260302271E6BA7</t>
  </si>
  <si>
    <t>2603024ECN76D6</t>
  </si>
  <si>
    <t>2026-03-02 19:10:17</t>
  </si>
  <si>
    <t>2026-03-03 09:26:47</t>
  </si>
  <si>
    <t>2026-03-03 10:07:58</t>
  </si>
  <si>
    <t>2026-03-03 11:26:24</t>
  </si>
  <si>
    <t>2026-03-03 13:50:28</t>
  </si>
  <si>
    <t>ODVN2603026A5CD24F</t>
  </si>
  <si>
    <t>2603024E4B42U7</t>
  </si>
  <si>
    <t>2026-03-02 19:01:23</t>
  </si>
  <si>
    <t>2026-03-03 08:56:41</t>
  </si>
  <si>
    <t>2026-03-03 09:39:25</t>
  </si>
  <si>
    <t>2026-03-03 10:33:23</t>
  </si>
  <si>
    <t>2026-03-06 11:17:20</t>
  </si>
  <si>
    <t>ODVN260302A56D95A3</t>
  </si>
  <si>
    <t>2603024DMDUFJ2</t>
  </si>
  <si>
    <t>2026-03-02 14:28:17</t>
  </si>
  <si>
    <t>2026-03-02 14:33:14</t>
  </si>
  <si>
    <t>2026-03-02 14:47:26</t>
  </si>
  <si>
    <t>2026-03-03 09:04:16</t>
  </si>
  <si>
    <t>2026-03-03 09:50:37</t>
  </si>
  <si>
    <t>2026-03-04 15:21:51</t>
  </si>
  <si>
    <t>ODVN260302AAAC554B</t>
  </si>
  <si>
    <t>2603023XC2XB6S</t>
  </si>
  <si>
    <t>2026-03-02 13:49:29</t>
  </si>
  <si>
    <t>2026-03-02 13:51:06</t>
  </si>
  <si>
    <t>2026-03-02 13:56:57</t>
  </si>
  <si>
    <t>2026-03-02 15:10:21</t>
  </si>
  <si>
    <t>2026-03-02 15:58:39</t>
  </si>
  <si>
    <t>2026-03-05 16:10:21</t>
  </si>
  <si>
    <t>ODVN2603026AFB648B</t>
  </si>
  <si>
    <t>2603023V6PSBJ3</t>
  </si>
  <si>
    <t>2026-03-02 12:58:02</t>
  </si>
  <si>
    <t>2026-03-02 13:06:40</t>
  </si>
  <si>
    <t>2026-03-02 13:53:52</t>
  </si>
  <si>
    <t>2026-03-02 14:14:55</t>
  </si>
  <si>
    <t>2026-03-02 14:36:18</t>
  </si>
  <si>
    <t>2026-03-03 19:59:57</t>
  </si>
  <si>
    <t>ODVN260302734B32E9</t>
  </si>
  <si>
    <t>2603023SANUC10</t>
  </si>
  <si>
    <t>2026-03-02 12:25:38</t>
  </si>
  <si>
    <t>2026-03-02 12:32:59</t>
  </si>
  <si>
    <t>2026-03-02 13:02:06</t>
  </si>
  <si>
    <t>2026-03-02 13:35:02</t>
  </si>
  <si>
    <t>2026-03-02 14:28:42</t>
  </si>
  <si>
    <t>2026-03-03 19:47:06</t>
  </si>
  <si>
    <t>ODVN26030291264817</t>
  </si>
  <si>
    <t>2603023QG4VYS8</t>
  </si>
  <si>
    <t>2026-03-02 12:02:47</t>
  </si>
  <si>
    <t>2026-03-02 12:05:00</t>
  </si>
  <si>
    <t>2026-03-02 13:01:52</t>
  </si>
  <si>
    <t>2026-03-02 13:42:20</t>
  </si>
  <si>
    <t>2026-03-02 14:29:15</t>
  </si>
  <si>
    <t>2026-03-03 19:46:15</t>
  </si>
  <si>
    <t>ODVN260302CE303363</t>
  </si>
  <si>
    <t>2603023P7VCWPW</t>
  </si>
  <si>
    <t>2026-03-02 11:14:33</t>
  </si>
  <si>
    <t>2026-03-02 11:16:23</t>
  </si>
  <si>
    <t>2026-03-02 13:30:27</t>
  </si>
  <si>
    <t>2026-03-02 13:58:58</t>
  </si>
  <si>
    <t>2026-03-02 15:34:56</t>
  </si>
  <si>
    <t>2026-03-03 08:47:29</t>
  </si>
  <si>
    <t>ODVN2603021B0D9A05</t>
  </si>
  <si>
    <t>2603023KHNFGFK</t>
  </si>
  <si>
    <t>2026-03-02 11:12:38</t>
  </si>
  <si>
    <t>2026-03-02 11:19:17</t>
  </si>
  <si>
    <t>2026-03-02 13:30:33</t>
  </si>
  <si>
    <t>2026-03-03 08:15:04</t>
  </si>
  <si>
    <t>2026-03-03 09:09:51</t>
  </si>
  <si>
    <t>2026-03-04 15:09:23</t>
  </si>
  <si>
    <t>ODVN2603027D831E35</t>
  </si>
  <si>
    <t>2603023KE3YDNH</t>
  </si>
  <si>
    <t>2026-03-02 08:54:49</t>
  </si>
  <si>
    <t>2026-03-02 08:56:12</t>
  </si>
  <si>
    <t>2026-03-02 09:50:09</t>
  </si>
  <si>
    <t>2026-03-02 10:14:33</t>
  </si>
  <si>
    <t>2026-03-02 11:18:49</t>
  </si>
  <si>
    <t>2026-03-05 12:13:25</t>
  </si>
  <si>
    <t>ODVN26030259E6245C</t>
  </si>
  <si>
    <t>2603023BQRUVU4</t>
  </si>
  <si>
    <t>2026-03-02 08:44:58</t>
  </si>
  <si>
    <t>2026-03-02 08:53:07</t>
  </si>
  <si>
    <t>2026-03-02 09:59:07</t>
  </si>
  <si>
    <t>2026-03-02 11:02:27</t>
  </si>
  <si>
    <t>2026-03-02 12:04:19</t>
  </si>
  <si>
    <t>2026-03-05 13:47:13</t>
  </si>
  <si>
    <t>ODVN2603022388F45F</t>
  </si>
  <si>
    <t>2603023B668A2D</t>
  </si>
  <si>
    <t>2026-03-02 08:24:53</t>
  </si>
  <si>
    <t>2026-03-02 08:31:03</t>
  </si>
  <si>
    <t>2026-03-02 09:25:24</t>
  </si>
  <si>
    <t>2026-03-02 10:16:14</t>
  </si>
  <si>
    <t>2026-03-02 11:07:38</t>
  </si>
  <si>
    <t>2026-03-03 19:47:08</t>
  </si>
  <si>
    <t>ODVN26030291BD70BB</t>
  </si>
  <si>
    <t>2603023A292BX1</t>
  </si>
  <si>
    <t>2026-03-02 06:25:43</t>
  </si>
  <si>
    <t>2026-03-02 06:31:02</t>
  </si>
  <si>
    <t>2026-03-02 09:25:13</t>
  </si>
  <si>
    <t>2026-03-02 10:28:55</t>
  </si>
  <si>
    <t>2026-03-02 11:06:16</t>
  </si>
  <si>
    <t>2026-03-05 12:45:48</t>
  </si>
  <si>
    <t>ODVN260302FA684227</t>
  </si>
  <si>
    <t>26030233CJA0K0</t>
  </si>
  <si>
    <t>2026-03-02 00:27:16</t>
  </si>
  <si>
    <t>2026-03-02 06:25:10</t>
  </si>
  <si>
    <t>2026-03-02 09:24:35</t>
  </si>
  <si>
    <t>2026-03-02 10:31:14</t>
  </si>
  <si>
    <t>2026-03-02 11:13:04</t>
  </si>
  <si>
    <t>2026-03-05 12:18:31</t>
  </si>
  <si>
    <t>ODVN260302516D5443</t>
  </si>
  <si>
    <t>2603022FC7MCTE</t>
  </si>
  <si>
    <t>2026-03-02 00:02:30</t>
  </si>
  <si>
    <t>2026-03-02 06:25:11</t>
  </si>
  <si>
    <t>2026-03-02 09:24:40</t>
  </si>
  <si>
    <t>2026-03-02 10:35:24</t>
  </si>
  <si>
    <t>2026-03-02 11:23:58</t>
  </si>
  <si>
    <t>2026-03-05 12:02:34</t>
  </si>
  <si>
    <t>ODVN26030271806818</t>
  </si>
  <si>
    <t>2603022DYXDKSM</t>
  </si>
  <si>
    <t>2026-03-01 23:41:09</t>
  </si>
  <si>
    <t>2026-03-02 09:24:45</t>
  </si>
  <si>
    <t>2026-03-02 14:18:27</t>
  </si>
  <si>
    <t>2026-03-02 14:53:31</t>
  </si>
  <si>
    <t>2026-03-05 15:30:30</t>
  </si>
  <si>
    <t>ODVN260301B26BA1D7</t>
  </si>
  <si>
    <t>2603022CSRSV77</t>
  </si>
  <si>
    <t>2026-03-01 23:23:33</t>
  </si>
  <si>
    <t>2026-03-02 06:56:08</t>
  </si>
  <si>
    <t>2026-03-02 09:25:19</t>
  </si>
  <si>
    <t>2026-03-02 14:18:25</t>
  </si>
  <si>
    <t>2026-03-02 14:25:51</t>
  </si>
  <si>
    <t>2026-03-03 18:47:49</t>
  </si>
  <si>
    <t>ODVN2603019DA8A7B3</t>
  </si>
  <si>
    <t>2603022BT9NPCN</t>
  </si>
  <si>
    <t>2026-03-01 23:11:46</t>
  </si>
  <si>
    <t>2026-03-02 06:25:12</t>
  </si>
  <si>
    <t>2026-03-02 09:24:50</t>
  </si>
  <si>
    <t>2026-03-02 09:39:15</t>
  </si>
  <si>
    <t>2026-03-02 09:45:11</t>
  </si>
  <si>
    <t>2026-03-03 23:02:46</t>
  </si>
  <si>
    <t>ODVN260301E81395FA</t>
  </si>
  <si>
    <t>2603022B57FQUK</t>
  </si>
  <si>
    <t>2026-03-01 22:47:26</t>
  </si>
  <si>
    <t>2026-03-02 06:25:13</t>
  </si>
  <si>
    <t>2026-03-02 09:25:00</t>
  </si>
  <si>
    <t>2026-03-02 09:37:16</t>
  </si>
  <si>
    <t>2026-03-02 10:09:00</t>
  </si>
  <si>
    <t>2026-03-02 10:16:54</t>
  </si>
  <si>
    <t>ODVN2603018A5FB404</t>
  </si>
  <si>
    <t>26030129SQ2WG9</t>
  </si>
  <si>
    <t>2026-03-01 22:34:25</t>
  </si>
  <si>
    <t>2026-03-02 09:24:55</t>
  </si>
  <si>
    <t>2026-03-03 08:25:11</t>
  </si>
  <si>
    <t>2026-03-03 09:30:36</t>
  </si>
  <si>
    <t>2026-03-03 10:53:29</t>
  </si>
  <si>
    <t>ODVN260301E8BB0AA2</t>
  </si>
  <si>
    <t>260301292E8R5K</t>
  </si>
  <si>
    <t>2026-03-01 22:14:48</t>
  </si>
  <si>
    <t>2026-03-02 09:20:44</t>
  </si>
  <si>
    <t>2026-03-02 09:51:42</t>
  </si>
  <si>
    <t>2026-03-02 11:16:40</t>
  </si>
  <si>
    <t>2026-03-02 23:10:25</t>
  </si>
  <si>
    <t>ODVN260301A242570F</t>
  </si>
  <si>
    <t>26030127YBU11S</t>
  </si>
  <si>
    <t>2026-03-01 16:27:02</t>
  </si>
  <si>
    <t>2026-03-02 08:38:47</t>
  </si>
  <si>
    <t>2026-03-02 09:54:18</t>
  </si>
  <si>
    <t>2026-03-02 10:57:25</t>
  </si>
  <si>
    <t>2026-03-05 11:45:06</t>
  </si>
  <si>
    <t>ODVN2603016E15EB12</t>
  </si>
  <si>
    <t>2603011MHGDGV4</t>
  </si>
  <si>
    <t>2026-03-01 16:14:00</t>
  </si>
  <si>
    <t>2026-03-02 09:14:29</t>
  </si>
  <si>
    <t>2026-03-02 11:04:55</t>
  </si>
  <si>
    <t>2026-03-02 11:47:43</t>
  </si>
  <si>
    <t>2026-03-02 22:57:47</t>
  </si>
  <si>
    <t>ODVN260301EC177E8D</t>
  </si>
  <si>
    <t>2603011KT5PF7H</t>
  </si>
  <si>
    <t>2026-03-01 14:05:16</t>
  </si>
  <si>
    <t>2026-03-02 08:13:30</t>
  </si>
  <si>
    <t>2026-03-02 09:24:05</t>
  </si>
  <si>
    <t>2026-03-02 10:54:56</t>
  </si>
  <si>
    <t>2026-03-02 11:25:31</t>
  </si>
  <si>
    <t>2026-03-03 07:44:02</t>
  </si>
  <si>
    <t>ODVN26030131442AB3</t>
  </si>
  <si>
    <t>2603011CM0F8WX</t>
  </si>
  <si>
    <t>2026-03-01 13:11:51</t>
  </si>
  <si>
    <t>2026-03-02 06:56:07</t>
  </si>
  <si>
    <t>2026-03-02 07:52:47</t>
  </si>
  <si>
    <t>2026-03-02 09:08:56</t>
  </si>
  <si>
    <t>2026-03-02 10:40:52</t>
  </si>
  <si>
    <t>2026-03-05 11:45:02</t>
  </si>
  <si>
    <t>ODVN260301A1D5E848</t>
  </si>
  <si>
    <t>26030119MFXFK4</t>
  </si>
  <si>
    <t>2026-03-01 11:40:16</t>
  </si>
  <si>
    <t>2026-03-02 09:14:23</t>
  </si>
  <si>
    <t>2026-03-02 11:08:39</t>
  </si>
  <si>
    <t>2026-03-02 11:27:18</t>
  </si>
  <si>
    <t>2026-03-05 12:29:20</t>
  </si>
  <si>
    <t>ODVN2603013D770CE5</t>
  </si>
  <si>
    <t>26030114GPHKUT</t>
  </si>
  <si>
    <t>2026-03-01 11:11:57</t>
  </si>
  <si>
    <t>2026-03-02 06:25:09</t>
  </si>
  <si>
    <t>2026-03-02 08:38:37</t>
  </si>
  <si>
    <t>2026-03-02 09:58:51</t>
  </si>
  <si>
    <t>2026-03-02 10:31:53</t>
  </si>
  <si>
    <t>2026-03-02 14:21:21</t>
  </si>
  <si>
    <t>ODVN26030130FBE2ED</t>
  </si>
  <si>
    <t>26030112X29RAJ</t>
  </si>
  <si>
    <t>2026-03-01 06:35:41</t>
  </si>
  <si>
    <t>2026-03-02 09:14:12</t>
  </si>
  <si>
    <t>2026-03-02 09:47:04</t>
  </si>
  <si>
    <t>2026-03-02 10:49:47</t>
  </si>
  <si>
    <t>2026-03-05 11:26:05</t>
  </si>
  <si>
    <t>ODVN260301069E1542</t>
  </si>
  <si>
    <t>2603010KG334R5</t>
  </si>
  <si>
    <t>2026-03-01 00:36:09</t>
  </si>
  <si>
    <t>2026-03-02 09:14:17</t>
  </si>
  <si>
    <t>2026-03-02 11:04:44</t>
  </si>
  <si>
    <t>2026-03-02 11:19:39</t>
  </si>
  <si>
    <t>2026-03-04 23:44:11</t>
  </si>
  <si>
    <t>ODVN2603011A6B591D</t>
  </si>
  <si>
    <t>260301W2QGR51T</t>
  </si>
  <si>
    <t>2026-02-28 18:35:19</t>
  </si>
  <si>
    <t>2026-02-28 18:37:09</t>
  </si>
  <si>
    <t>2026-03-02 09:20:38</t>
  </si>
  <si>
    <t>2026-03-02 09:49:58</t>
  </si>
  <si>
    <t>2026-03-02 10:45:36</t>
  </si>
  <si>
    <t>2026-03-02 11:24:48</t>
  </si>
  <si>
    <t>ODVN260228B59248B7</t>
  </si>
  <si>
    <t>260228VEJ8T7GU</t>
  </si>
  <si>
    <t>2026-02-28 16:25:28</t>
  </si>
  <si>
    <t>2026-02-28 16:30:03</t>
  </si>
  <si>
    <t>2026-02-28 16:37:14</t>
  </si>
  <si>
    <t>2026-02-28 16:54:21</t>
  </si>
  <si>
    <t>2026-02-28 17:45:38</t>
  </si>
  <si>
    <t>2026-03-03 18:36:21</t>
  </si>
  <si>
    <t>ODVN2602285D473B2C</t>
  </si>
  <si>
    <t>260228V7A3NMXT</t>
  </si>
  <si>
    <t>2026-02-28 14:54:57</t>
  </si>
  <si>
    <t>2026-02-28 14:57:07</t>
  </si>
  <si>
    <t>2026-02-28 16:37:09</t>
  </si>
  <si>
    <t>2026-02-28 16:54:00</t>
  </si>
  <si>
    <t>2026-02-28 18:31:00</t>
  </si>
  <si>
    <t>2026-03-03 19:20:56</t>
  </si>
  <si>
    <t>ODVN260228DF75D458</t>
  </si>
  <si>
    <t>260228V288908R</t>
  </si>
  <si>
    <t>2026-02-28 14:10:40</t>
  </si>
  <si>
    <t>2026-02-28 14:16:05</t>
  </si>
  <si>
    <t>2026-02-28 16:37:04</t>
  </si>
  <si>
    <t>2026-02-28 16:53:39</t>
  </si>
  <si>
    <t>2026-02-28 18:07:41</t>
  </si>
  <si>
    <t>2026-03-01 11:10:24</t>
  </si>
  <si>
    <t>ODVN2602283E8C1166</t>
  </si>
  <si>
    <t>260228UYS2AH0N</t>
  </si>
  <si>
    <t>2026-02-28 11:20:36</t>
  </si>
  <si>
    <t>2026-02-28 11:26:08</t>
  </si>
  <si>
    <t>2026-02-28 16:36:59</t>
  </si>
  <si>
    <t>2026-02-28 18:42:01</t>
  </si>
  <si>
    <t>2026-03-03 19:09:28</t>
  </si>
  <si>
    <t>ODVN2602289A9403DC</t>
  </si>
  <si>
    <t>260228UP8B21X7</t>
  </si>
  <si>
    <t>2026-02-28 10:59:37</t>
  </si>
  <si>
    <t>2026-02-28 11:07:07</t>
  </si>
  <si>
    <t>2026-02-28 15:50:24</t>
  </si>
  <si>
    <t>2026-03-02 09:10:26</t>
  </si>
  <si>
    <t>2026-03-02 11:01:18</t>
  </si>
  <si>
    <t>2026-03-02 23:17:38</t>
  </si>
  <si>
    <t>ODVN260228D36D8D14</t>
  </si>
  <si>
    <t>260228UN3DCNAR</t>
  </si>
  <si>
    <t>2026-02-28 10:37:31</t>
  </si>
  <si>
    <t>2026-02-28 10:43:02</t>
  </si>
  <si>
    <t>2026-02-28 15:50:13</t>
  </si>
  <si>
    <t>2026-02-28 16:29:42</t>
  </si>
  <si>
    <t>2026-02-28 17:16:17</t>
  </si>
  <si>
    <t>2026-03-01 08:51:45</t>
  </si>
  <si>
    <t>ODVN260228CAB7F9FE</t>
  </si>
  <si>
    <t>260228UKUVTC6B</t>
  </si>
  <si>
    <t>2026-02-28 09:57:08</t>
  </si>
  <si>
    <t>2026-02-28 09:59:04</t>
  </si>
  <si>
    <t>2026-02-28 10:29:39</t>
  </si>
  <si>
    <t>2026-02-28 10:42:41</t>
  </si>
  <si>
    <t>2026-02-28 11:29:39</t>
  </si>
  <si>
    <t>2026-03-01 09:04:46</t>
  </si>
  <si>
    <t>ODVN260228464732E9</t>
  </si>
  <si>
    <t>260228UHKQ0A62</t>
  </si>
  <si>
    <t>2026-02-28 09:07:44</t>
  </si>
  <si>
    <t>2026-02-28 09:09:03</t>
  </si>
  <si>
    <t>2026-02-28 09:12:52</t>
  </si>
  <si>
    <t>2026-02-28 09:59:38</t>
  </si>
  <si>
    <t>2026-02-28 10:43:06</t>
  </si>
  <si>
    <t>2026-03-01 08:53:51</t>
  </si>
  <si>
    <t>ODVN260228369FD1BF</t>
  </si>
  <si>
    <t>260228UEUBD34K</t>
  </si>
  <si>
    <t>2026-02-28 08:52:38</t>
  </si>
  <si>
    <t>2026-02-28 08:59:06</t>
  </si>
  <si>
    <t>2026-02-28 09:01:20</t>
  </si>
  <si>
    <t>2026-02-28 09:33:25</t>
  </si>
  <si>
    <t>2026-02-28 10:15:56</t>
  </si>
  <si>
    <t>2026-03-01 12:37:42</t>
  </si>
  <si>
    <t>ODVN26022804BCC8B4</t>
  </si>
  <si>
    <t>260228UE0BC33C</t>
  </si>
  <si>
    <t>2026-02-28 05:29:31</t>
  </si>
  <si>
    <t>2026-02-28 16:30:13</t>
  </si>
  <si>
    <t>2026-02-28 16:37:16</t>
  </si>
  <si>
    <t>2026-02-28 16:58:07</t>
  </si>
  <si>
    <t>2026-02-28 17:33:26</t>
  </si>
  <si>
    <t>2026-03-15 07:00:00</t>
  </si>
  <si>
    <t>ODVN260228F4E0580A</t>
  </si>
  <si>
    <t>582820641108755993</t>
  </si>
  <si>
    <t>2026-02-27 21:07:01</t>
  </si>
  <si>
    <t>2026-02-28 07:56:05</t>
  </si>
  <si>
    <t>2026-02-28 08:46:47</t>
  </si>
  <si>
    <t>2026-02-28 09:46:57</t>
  </si>
  <si>
    <t>2026-02-28 10:29:20</t>
  </si>
  <si>
    <t>2026-03-01 20:02:52</t>
  </si>
  <si>
    <t>ODVN2602275F5FDD64</t>
  </si>
  <si>
    <t>260227T6JKPBRQ</t>
  </si>
  <si>
    <t>2026-02-27 14:33:19</t>
  </si>
  <si>
    <t>2026-02-27 14:34:58</t>
  </si>
  <si>
    <t>2026-02-27 14:43:28</t>
  </si>
  <si>
    <t>2026-02-27 15:01:57</t>
  </si>
  <si>
    <t>2026-02-27 16:16:06</t>
  </si>
  <si>
    <t>2026-03-01 19:27:17</t>
  </si>
  <si>
    <t>ODVN260227C1502BE7</t>
  </si>
  <si>
    <t>260227SGJKY3TN</t>
  </si>
  <si>
    <t>2026-02-27 14:32:06</t>
  </si>
  <si>
    <t>2026-02-27 14:35:16</t>
  </si>
  <si>
    <t>2026-02-27 14:43:33</t>
  </si>
  <si>
    <t>2026-03-02 10:55:16</t>
  </si>
  <si>
    <t>2026-03-02 11:13:19</t>
  </si>
  <si>
    <t>2026-03-05 12:25:36</t>
  </si>
  <si>
    <t>ODVN2602277A81B0A1</t>
  </si>
  <si>
    <t>260227SGGF8P2H</t>
  </si>
  <si>
    <t>2026-02-27 14:13:56</t>
  </si>
  <si>
    <t>2026-02-27 14:15:38</t>
  </si>
  <si>
    <t>2026-02-27 14:20:29</t>
  </si>
  <si>
    <t>2026-02-27 14:56:48</t>
  </si>
  <si>
    <t>2026-02-27 15:20:18</t>
  </si>
  <si>
    <t>2026-03-02 07:58:55</t>
  </si>
  <si>
    <t>ODVN260227BCA91DF1</t>
  </si>
  <si>
    <t>260227SFFYTVCE</t>
  </si>
  <si>
    <t>2026-02-27 13:45:10</t>
  </si>
  <si>
    <t>2026-02-27 13:47:10</t>
  </si>
  <si>
    <t>2026-02-27 13:49:54</t>
  </si>
  <si>
    <t>2026-02-27 16:05:56</t>
  </si>
  <si>
    <t>2026-02-27 17:11:39</t>
  </si>
  <si>
    <t>2026-03-02 18:30:53</t>
  </si>
  <si>
    <t>ODVN260227C493C83F</t>
  </si>
  <si>
    <t>260227SDVHQ48E</t>
  </si>
  <si>
    <t>2026-02-27 12:59:37</t>
  </si>
  <si>
    <t>2026-02-27 13:05:21</t>
  </si>
  <si>
    <t>2026-02-27 16:23:48</t>
  </si>
  <si>
    <t>2026-02-27 17:06:31</t>
  </si>
  <si>
    <t>2026-02-27 17:48:09</t>
  </si>
  <si>
    <t>2026-03-02 18:14:15</t>
  </si>
  <si>
    <t>ODVN26022710AF2962</t>
  </si>
  <si>
    <t>260227SBAEDNF8</t>
  </si>
  <si>
    <t>2026-02-27 10:22:15</t>
  </si>
  <si>
    <t>2026-02-27 10:24:33</t>
  </si>
  <si>
    <t>2026-02-27 10:25:21</t>
  </si>
  <si>
    <t>2026-02-27 11:24:16</t>
  </si>
  <si>
    <t>2026-02-27 11:46:11</t>
  </si>
  <si>
    <t>2026-03-02 12:49:43</t>
  </si>
  <si>
    <t>ODVN260227A5660F66</t>
  </si>
  <si>
    <t>260227S2HPQRJG</t>
  </si>
  <si>
    <t>2026-02-27 09:41:48</t>
  </si>
  <si>
    <t>2026-02-27 09:44:43</t>
  </si>
  <si>
    <t>2026-02-27 09:45:59</t>
  </si>
  <si>
    <t>2026-02-27 10:13:05</t>
  </si>
  <si>
    <t>2026-02-27 11:23:39</t>
  </si>
  <si>
    <t>2026-03-02 12:32:20</t>
  </si>
  <si>
    <t>ODVN2602278AF8D3CC</t>
  </si>
  <si>
    <t>260227S09C720T</t>
  </si>
  <si>
    <t>2026-02-27 07:54:18</t>
  </si>
  <si>
    <t>2026-02-27 07:56:01</t>
  </si>
  <si>
    <t>2026-02-27 08:45:25</t>
  </si>
  <si>
    <t>2026-02-27 09:08:37</t>
  </si>
  <si>
    <t>2026-02-27 10:16:13</t>
  </si>
  <si>
    <t>2026-03-01 21:06:52</t>
  </si>
  <si>
    <t>ODVN260227FB027BE9</t>
  </si>
  <si>
    <t>260227RT941SUE</t>
  </si>
  <si>
    <t>2026-02-26 15:16:39</t>
  </si>
  <si>
    <t>2026-02-26 15:18:08</t>
  </si>
  <si>
    <t>2026-02-26 15:27:28</t>
  </si>
  <si>
    <t>2026-02-27 10:27:30</t>
  </si>
  <si>
    <t>2026-02-27 10:36:47</t>
  </si>
  <si>
    <t>2026-03-02 11:57:56</t>
  </si>
  <si>
    <t>ODVN260226895F8860</t>
  </si>
  <si>
    <t>260226Q2H6252U</t>
  </si>
  <si>
    <t>2026-02-26 15:13:33</t>
  </si>
  <si>
    <t>2026-02-26 15:15:11</t>
  </si>
  <si>
    <t>2026-02-26 15:27:23</t>
  </si>
  <si>
    <t>2026-02-26 15:59:21</t>
  </si>
  <si>
    <t>2026-02-26 16:32:14</t>
  </si>
  <si>
    <t>2026-03-01 18:21:37</t>
  </si>
  <si>
    <t>ODVN260226BEFAB6D4</t>
  </si>
  <si>
    <t>260226Q2BPJ8UA</t>
  </si>
  <si>
    <t>2026-02-26 15:09:14</t>
  </si>
  <si>
    <t>2026-02-26 15:11:09</t>
  </si>
  <si>
    <t>2026-02-26 15:27:14</t>
  </si>
  <si>
    <t>2026-02-26 15:58:56</t>
  </si>
  <si>
    <t>2026-02-26 16:30:58</t>
  </si>
  <si>
    <t>2026-03-01 19:02:38</t>
  </si>
  <si>
    <t>ODVN2602260D62F146</t>
  </si>
  <si>
    <t>260226Q23XKAYU</t>
  </si>
  <si>
    <t>2026-02-26 13:22:15</t>
  </si>
  <si>
    <t>2026-02-26 13:24:09</t>
  </si>
  <si>
    <t>2026-02-26 13:26:10</t>
  </si>
  <si>
    <t>2026-02-26 15:09:37</t>
  </si>
  <si>
    <t>2026-02-26 15:47:46</t>
  </si>
  <si>
    <t>2026-03-01 16:09:32</t>
  </si>
  <si>
    <t>ODVN2602268F7AC484</t>
  </si>
  <si>
    <t>260226PV4MXSEJ</t>
  </si>
  <si>
    <t>2026-02-26 10:49:55</t>
  </si>
  <si>
    <t>2026-02-26 10:51:17</t>
  </si>
  <si>
    <t>2026-02-26 11:08:11</t>
  </si>
  <si>
    <t>2026-02-26 11:54:50</t>
  </si>
  <si>
    <t>2026-02-26 12:19:02</t>
  </si>
  <si>
    <t>2026-03-01 14:38:52</t>
  </si>
  <si>
    <t>ODVN2602260875B61C</t>
  </si>
  <si>
    <t>260226PKM7ESQK</t>
  </si>
  <si>
    <t>2026-02-26 10:26:57</t>
  </si>
  <si>
    <t>2026-02-26 10:31:09</t>
  </si>
  <si>
    <t>2026-02-26 13:52:10</t>
  </si>
  <si>
    <t>2026-02-26 14:03:12</t>
  </si>
  <si>
    <t>2026-02-26 15:04:47</t>
  </si>
  <si>
    <t>2026-03-01 16:35:07</t>
  </si>
  <si>
    <t>ODVN260226FD004D7F</t>
  </si>
  <si>
    <t>260226PJB693HT</t>
  </si>
  <si>
    <t>2026-02-26 09:07:39</t>
  </si>
  <si>
    <t>2026-02-26 09:13:10</t>
  </si>
  <si>
    <t>2026-02-26 09:43:47</t>
  </si>
  <si>
    <t>2026-02-26 10:16:54</t>
  </si>
  <si>
    <t>2026-02-26 13:44:23</t>
  </si>
  <si>
    <t>2026-03-01 14:51:50</t>
  </si>
  <si>
    <t>ODVN26022607A275E4</t>
  </si>
  <si>
    <t>260226PDWCP2RF</t>
  </si>
  <si>
    <t>2026-02-26 01:58:39</t>
  </si>
  <si>
    <t>2026-02-26 08:36:58</t>
  </si>
  <si>
    <t>2026-02-26 10:10:33</t>
  </si>
  <si>
    <t>2026-02-26 12:03:50</t>
  </si>
  <si>
    <t>2026-02-26 13:26:49</t>
  </si>
  <si>
    <t>2026-03-13 07:00:00</t>
  </si>
  <si>
    <t>ODVN2602268F841345</t>
  </si>
  <si>
    <t>582783452440463185</t>
  </si>
  <si>
    <t>2026-02-25 21:15:21</t>
  </si>
  <si>
    <t>2026-02-25 21:21:12</t>
  </si>
  <si>
    <t>2026-02-26 09:14:24</t>
  </si>
  <si>
    <t>2026-02-26 14:52:54</t>
  </si>
  <si>
    <t>2026-02-26 15:49:26</t>
  </si>
  <si>
    <t>2026-03-01 16:51:20</t>
  </si>
  <si>
    <t>ODVN26022590E17CD1</t>
  </si>
  <si>
    <t>260225N63PHKJU</t>
  </si>
  <si>
    <t>2026-02-25 13:15:02</t>
  </si>
  <si>
    <t>2026-02-25 13:21:12</t>
  </si>
  <si>
    <t>2026-02-25 13:30:59</t>
  </si>
  <si>
    <t>2026-02-26 14:08:06</t>
  </si>
  <si>
    <t>2026-02-26 14:27:23</t>
  </si>
  <si>
    <t>2026-03-01 16:51:05</t>
  </si>
  <si>
    <t>ODVN2602250A3C8446</t>
  </si>
  <si>
    <t>260225MB8THV5Y</t>
  </si>
  <si>
    <t>2026-02-25 12:07:14</t>
  </si>
  <si>
    <t>2026-02-25 12:09:08</t>
  </si>
  <si>
    <t>2026-02-25 13:30:40</t>
  </si>
  <si>
    <t>2026-02-26 15:18:49</t>
  </si>
  <si>
    <t>2026-02-26 16:03:39</t>
  </si>
  <si>
    <t>2026-03-01 18:30:42</t>
  </si>
  <si>
    <t>ODVN260225E1A0B033</t>
  </si>
  <si>
    <t>260225M7FK0HYH</t>
  </si>
  <si>
    <t>2026-02-25 11:55:41</t>
  </si>
  <si>
    <t>2026-02-26 08:25:06</t>
  </si>
  <si>
    <t>2026-02-26 08:51:56</t>
  </si>
  <si>
    <t>2026-02-26 15:11:50</t>
  </si>
  <si>
    <t>2026-02-26 15:43:59</t>
  </si>
  <si>
    <t>2026-03-01 15:05:40</t>
  </si>
  <si>
    <t>ODVN260225E16C270B</t>
  </si>
  <si>
    <t>260225M6TX49N2</t>
  </si>
  <si>
    <t>2026-02-24 13:06:54</t>
  </si>
  <si>
    <t>2026-02-24 13:08:15</t>
  </si>
  <si>
    <t>2026-02-24 13:24:14</t>
  </si>
  <si>
    <t>2026-02-27 14:23:25</t>
  </si>
  <si>
    <t>2026-02-27 14:33:03</t>
  </si>
  <si>
    <t>2026-03-02 15:00:51</t>
  </si>
  <si>
    <t>ODVN26022411F5648A</t>
  </si>
  <si>
    <t>260224HTBBPE5M</t>
  </si>
  <si>
    <t>2026-02-24 13:00:58</t>
  </si>
  <si>
    <t>2026-02-24 13:03:09</t>
  </si>
  <si>
    <t>2026-02-24 13:24:09</t>
  </si>
  <si>
    <t>2026-02-26 10:17:46</t>
  </si>
  <si>
    <t>2026-02-26 10:30:15</t>
  </si>
  <si>
    <t>2026-03-01 11:02:01</t>
  </si>
  <si>
    <t>ODVN26022425CCFE0E</t>
  </si>
  <si>
    <t>260224HT0R6DHC</t>
  </si>
  <si>
    <t>01/03/2026-31/03/2026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</si>
</sst>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Arial"/>
      <family val="2"/>
    </font>
    <font>
      <sz val="16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b/>
      <sz val="10"/>
      <color rgb="FF000000"/>
      <name val="Arial"/>
      <family val="2"/>
    </font>
    <font>
      <b/>
      <i/>
      <sz val="12"/>
      <color theme="1"/>
      <name val="Calibri"/>
      <family val="2"/>
    </font>
    <font>
      <sz val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theme="8" tint="0.39997558519241921"/>
        <bgColor rgb="FFA2C4C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rgb="FF999999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6">
    <xf numFmtId="0" fontId="0" fillId="0" borderId="0" xfId="0"/>
    <xf numFmtId="0" fontId="1" fillId="2" borderId="0" xfId="0" applyFont="1" applyFill="1"/>
    <xf numFmtId="0" fontId="4" fillId="2" borderId="0" xfId="0" applyFont="1" applyFill="1"/>
    <xf numFmtId="164" fontId="0" fillId="0" borderId="0" xfId="1" applyNumberFormat="1" applyFont="1"/>
    <xf numFmtId="0" fontId="5" fillId="0" borderId="0" xfId="0" applyFont="1"/>
    <xf numFmtId="0" fontId="6" fillId="0" borderId="0" xfId="0" applyFont="1"/>
    <xf numFmtId="43" fontId="6" fillId="0" borderId="0" xfId="0" applyNumberFormat="1" applyFont="1"/>
    <xf numFmtId="164" fontId="6" fillId="0" borderId="0" xfId="1" applyNumberFormat="1" applyFont="1"/>
    <xf numFmtId="0" fontId="7" fillId="0" borderId="0" xfId="0" applyFont="1"/>
    <xf numFmtId="43" fontId="8" fillId="0" borderId="0" xfId="0" applyNumberFormat="1" applyFont="1"/>
    <xf numFmtId="0" fontId="9" fillId="0" borderId="0" xfId="0" applyFont="1"/>
    <xf numFmtId="0" fontId="8" fillId="0" borderId="0" xfId="0" applyFont="1"/>
    <xf numFmtId="9" fontId="8" fillId="0" borderId="0" xfId="0" applyNumberFormat="1" applyFont="1"/>
    <xf numFmtId="164" fontId="8" fillId="0" borderId="0" xfId="1" applyNumberFormat="1" applyFont="1"/>
    <xf numFmtId="43" fontId="10" fillId="4" borderId="1" xfId="0" applyNumberFormat="1" applyFont="1" applyFill="1" applyBorder="1" applyAlignment="1">
      <alignment horizontal="center" vertical="center" wrapText="1"/>
    </xf>
    <xf numFmtId="9" fontId="10" fillId="5" borderId="1" xfId="0" applyNumberFormat="1" applyFont="1" applyFill="1" applyBorder="1" applyAlignment="1">
      <alignment horizontal="center" vertical="center" wrapText="1"/>
    </xf>
    <xf numFmtId="43" fontId="10" fillId="6" borderId="1" xfId="0" applyNumberFormat="1" applyFont="1" applyFill="1" applyBorder="1" applyAlignment="1">
      <alignment horizontal="center" vertical="center"/>
    </xf>
    <xf numFmtId="164" fontId="10" fillId="5" borderId="1" xfId="1" applyNumberFormat="1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vertical="center"/>
    </xf>
    <xf numFmtId="9" fontId="11" fillId="0" borderId="1" xfId="0" applyNumberFormat="1" applyFont="1" applyBorder="1" applyAlignment="1">
      <alignment vertical="center"/>
    </xf>
    <xf numFmtId="3" fontId="12" fillId="0" borderId="0" xfId="0" applyNumberFormat="1" applyFont="1"/>
    <xf numFmtId="164" fontId="11" fillId="0" borderId="1" xfId="1" applyNumberFormat="1" applyFont="1" applyBorder="1" applyAlignment="1">
      <alignment vertical="center"/>
    </xf>
    <xf numFmtId="164" fontId="7" fillId="0" borderId="0" xfId="0" applyNumberFormat="1" applyFont="1"/>
    <xf numFmtId="43" fontId="7" fillId="0" borderId="0" xfId="0" applyNumberFormat="1" applyFont="1"/>
    <xf numFmtId="164" fontId="9" fillId="0" borderId="1" xfId="0" applyNumberFormat="1" applyFont="1" applyBorder="1" applyAlignment="1">
      <alignment vertical="center"/>
    </xf>
    <xf numFmtId="43" fontId="11" fillId="0" borderId="0" xfId="0" applyNumberFormat="1" applyFont="1"/>
    <xf numFmtId="164" fontId="11" fillId="0" borderId="0" xfId="1" applyNumberFormat="1" applyFont="1"/>
    <xf numFmtId="164" fontId="11" fillId="0" borderId="3" xfId="0" applyNumberFormat="1" applyFont="1" applyBorder="1" applyAlignment="1">
      <alignment vertical="center"/>
    </xf>
    <xf numFmtId="164" fontId="11" fillId="0" borderId="3" xfId="1" applyNumberFormat="1" applyFont="1" applyBorder="1" applyAlignment="1">
      <alignment vertical="center"/>
    </xf>
    <xf numFmtId="9" fontId="11" fillId="0" borderId="3" xfId="2" applyFont="1" applyBorder="1" applyAlignment="1">
      <alignment vertical="center"/>
    </xf>
    <xf numFmtId="164" fontId="11" fillId="0" borderId="10" xfId="0" applyNumberFormat="1" applyFont="1" applyBorder="1" applyAlignment="1">
      <alignment vertical="center"/>
    </xf>
    <xf numFmtId="0" fontId="3" fillId="0" borderId="0" xfId="0" applyFont="1"/>
    <xf numFmtId="164" fontId="3" fillId="0" borderId="0" xfId="1" applyNumberFormat="1" applyFont="1"/>
    <xf numFmtId="164" fontId="4" fillId="2" borderId="0" xfId="1" applyNumberFormat="1" applyFont="1" applyFill="1"/>
    <xf numFmtId="164" fontId="11" fillId="0" borderId="6" xfId="0" applyNumberFormat="1" applyFont="1" applyBorder="1" applyAlignment="1">
      <alignment vertical="center"/>
    </xf>
    <xf numFmtId="164" fontId="11" fillId="0" borderId="12" xfId="0" applyNumberFormat="1" applyFont="1" applyBorder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vertical="center"/>
    </xf>
    <xf numFmtId="0" fontId="15" fillId="0" borderId="0" xfId="0" applyFont="1"/>
    <xf numFmtId="164" fontId="6" fillId="0" borderId="0" xfId="0" applyNumberFormat="1" applyFont="1"/>
    <xf numFmtId="164" fontId="11" fillId="9" borderId="1" xfId="1" applyNumberFormat="1" applyFont="1" applyFill="1" applyBorder="1" applyAlignment="1">
      <alignment vertical="center"/>
    </xf>
    <xf numFmtId="164" fontId="11" fillId="10" borderId="3" xfId="1" applyNumberFormat="1" applyFont="1" applyFill="1" applyBorder="1" applyAlignment="1">
      <alignment vertical="center"/>
    </xf>
    <xf numFmtId="9" fontId="0" fillId="0" borderId="0" xfId="0" applyNumberFormat="1"/>
    <xf numFmtId="164" fontId="1" fillId="2" borderId="0" xfId="1" applyNumberFormat="1" applyFont="1" applyFill="1"/>
    <xf numFmtId="165" fontId="0" fillId="0" borderId="0" xfId="0" applyNumberFormat="1"/>
    <xf numFmtId="0" fontId="16" fillId="2" borderId="0" xfId="0" applyFont="1" applyFill="1"/>
    <xf numFmtId="0" fontId="13" fillId="0" borderId="7" xfId="0" applyFont="1" applyBorder="1" applyAlignment="1">
      <alignment horizontal="center" vertical="center"/>
    </xf>
    <xf numFmtId="0" fontId="14" fillId="0" borderId="8" xfId="0" applyFont="1" applyBorder="1"/>
    <xf numFmtId="0" fontId="14" fillId="0" borderId="9" xfId="0" applyFont="1" applyBorder="1"/>
    <xf numFmtId="0" fontId="13" fillId="0" borderId="4" xfId="0" applyFont="1" applyBorder="1" applyAlignment="1">
      <alignment horizontal="center" vertical="center"/>
    </xf>
    <xf numFmtId="0" fontId="14" fillId="0" borderId="5" xfId="0" applyFont="1" applyBorder="1"/>
    <xf numFmtId="0" fontId="14" fillId="0" borderId="6" xfId="0" applyFont="1" applyBorder="1"/>
    <xf numFmtId="0" fontId="13" fillId="8" borderId="11" xfId="0" applyFont="1" applyFill="1" applyBorder="1" applyAlignment="1">
      <alignment horizontal="center" vertical="center"/>
    </xf>
    <xf numFmtId="0" fontId="14" fillId="8" borderId="11" xfId="0" applyFont="1" applyFill="1" applyBorder="1"/>
    <xf numFmtId="16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COM.BOXME\GBS\ZOTT\Nghiem%20thu\2026\Thang%2003\Sao%20ke\Income%20Lazada%202026.T3%20Zott.xlsx" TargetMode="External"/><Relationship Id="rId1" Type="http://schemas.openxmlformats.org/officeDocument/2006/relationships/externalLinkPath" Target="Sao%20ke/Income%20Lazada%202026.T3%20Zot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COM.BOXME\GBS\ZOTT\Nghiem%20thu\2026\Thang%2003\Sao%20ke\Income%20Shopee%202026.T03%20ZOTT.xlsx" TargetMode="External"/><Relationship Id="rId1" Type="http://schemas.openxmlformats.org/officeDocument/2006/relationships/externalLinkPath" Target="Sao%20ke/Income%20Shopee%202026.T03%20ZOT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COM.BOXME\GBS\ZOTT\Nghiem%20thu\2026\Thang%2003\Sao%20ke\Income%20Tiktok%202026.T3%20Zott.xlsx" TargetMode="External"/><Relationship Id="rId1" Type="http://schemas.openxmlformats.org/officeDocument/2006/relationships/externalLinkPath" Target="Sao%20ke/Income%20Tiktok%202026.T3%20Zot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action Overview"/>
      <sheetName val="Sheet3"/>
      <sheetName val="Sheet2"/>
      <sheetName val="Screenshot"/>
    </sheetNames>
    <sheetDataSet>
      <sheetData sheetId="0" refreshError="1"/>
      <sheetData sheetId="1" refreshError="1"/>
      <sheetData sheetId="2">
        <row r="1">
          <cell r="F1" t="str">
            <v>Row Labels</v>
          </cell>
          <cell r="G1" t="str">
            <v>Sum of Amount</v>
          </cell>
        </row>
        <row r="2">
          <cell r="F2" t="str">
            <v>523586247432246</v>
          </cell>
          <cell r="G2">
            <v>160000</v>
          </cell>
        </row>
        <row r="3">
          <cell r="F3" t="str">
            <v>525836549136523</v>
          </cell>
          <cell r="G3">
            <v>552000</v>
          </cell>
        </row>
        <row r="4">
          <cell r="F4" t="str">
            <v>525992773048327</v>
          </cell>
          <cell r="G4">
            <v>390000</v>
          </cell>
        </row>
        <row r="5">
          <cell r="F5" t="str">
            <v>(blank)</v>
          </cell>
        </row>
        <row r="6">
          <cell r="F6" t="str">
            <v>Grand Total</v>
          </cell>
          <cell r="G6">
            <v>1102000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ummary"/>
      <sheetName val="Service Fee Details"/>
      <sheetName val="Adjustment"/>
      <sheetName val="Income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M1" t="str">
            <v>NMV</v>
          </cell>
        </row>
        <row r="3">
          <cell r="C3" t="str">
            <v>Order ID</v>
          </cell>
        </row>
        <row r="4">
          <cell r="C4" t="str">
            <v>260331JEART4VD</v>
          </cell>
          <cell r="M4">
            <v>124000</v>
          </cell>
        </row>
        <row r="5">
          <cell r="C5" t="str">
            <v>260331J7DCVUWV</v>
          </cell>
          <cell r="M5">
            <v>268000</v>
          </cell>
        </row>
        <row r="6">
          <cell r="C6" t="str">
            <v>260330H0R9XA8V</v>
          </cell>
          <cell r="M6">
            <v>357000</v>
          </cell>
        </row>
        <row r="7">
          <cell r="C7" t="str">
            <v>260330GK601BKA</v>
          </cell>
          <cell r="M7">
            <v>124000</v>
          </cell>
        </row>
        <row r="8">
          <cell r="C8" t="str">
            <v>260330FV398093</v>
          </cell>
          <cell r="M8">
            <v>308000</v>
          </cell>
        </row>
        <row r="9">
          <cell r="C9" t="str">
            <v>260330FMA99BAT</v>
          </cell>
          <cell r="M9">
            <v>181000</v>
          </cell>
        </row>
        <row r="10">
          <cell r="C10" t="str">
            <v>260330FJ1YQG72</v>
          </cell>
          <cell r="M10">
            <v>130000</v>
          </cell>
        </row>
        <row r="11">
          <cell r="C11" t="str">
            <v>260330FEB87NYJ</v>
          </cell>
          <cell r="M11">
            <v>181000</v>
          </cell>
        </row>
        <row r="12">
          <cell r="C12" t="str">
            <v>260330FTPRGQR6</v>
          </cell>
          <cell r="M12">
            <v>357000</v>
          </cell>
        </row>
        <row r="13">
          <cell r="C13" t="str">
            <v>260329EFXJ7M2E</v>
          </cell>
          <cell r="M13">
            <v>124000</v>
          </cell>
        </row>
        <row r="14">
          <cell r="C14" t="str">
            <v>260329C112YQ1G</v>
          </cell>
          <cell r="M14">
            <v>357000</v>
          </cell>
        </row>
        <row r="15">
          <cell r="C15" t="str">
            <v>2603278MUGQYXR</v>
          </cell>
          <cell r="M15">
            <v>357000</v>
          </cell>
        </row>
        <row r="16">
          <cell r="C16" t="str">
            <v>2603278KB9PRRF</v>
          </cell>
          <cell r="M16">
            <v>140500</v>
          </cell>
        </row>
        <row r="17">
          <cell r="C17" t="str">
            <v>2603278JUG6HAD</v>
          </cell>
          <cell r="M17">
            <v>352000</v>
          </cell>
        </row>
        <row r="18">
          <cell r="C18" t="str">
            <v>2603278JS6TBGW</v>
          </cell>
          <cell r="M18">
            <v>181000</v>
          </cell>
        </row>
        <row r="19">
          <cell r="C19" t="str">
            <v>2603278AXKBKVY</v>
          </cell>
          <cell r="M19">
            <v>357000</v>
          </cell>
        </row>
        <row r="20">
          <cell r="C20" t="str">
            <v>26032784B41TE0</v>
          </cell>
          <cell r="M20">
            <v>325000</v>
          </cell>
        </row>
        <row r="21">
          <cell r="C21" t="str">
            <v>2603277UK57YSC</v>
          </cell>
          <cell r="M21">
            <v>380000</v>
          </cell>
        </row>
        <row r="22">
          <cell r="C22" t="str">
            <v>260327732KQYB7</v>
          </cell>
          <cell r="M22">
            <v>145000</v>
          </cell>
        </row>
        <row r="23">
          <cell r="C23" t="str">
            <v>26032771QV6N4D</v>
          </cell>
          <cell r="M23">
            <v>360000</v>
          </cell>
        </row>
        <row r="24">
          <cell r="C24" t="str">
            <v>2603266XUGS4M0</v>
          </cell>
          <cell r="M24">
            <v>124000</v>
          </cell>
        </row>
        <row r="25">
          <cell r="C25" t="str">
            <v>2603266MCR63F5</v>
          </cell>
          <cell r="M25">
            <v>192000</v>
          </cell>
        </row>
        <row r="26">
          <cell r="C26" t="str">
            <v>26032660PU9TXE</v>
          </cell>
          <cell r="M26">
            <v>145000</v>
          </cell>
        </row>
        <row r="27">
          <cell r="C27" t="str">
            <v>2603265UX4NP2B</v>
          </cell>
          <cell r="M27">
            <v>357000</v>
          </cell>
        </row>
        <row r="28">
          <cell r="C28" t="str">
            <v>2603265TSHGT9V</v>
          </cell>
          <cell r="M28">
            <v>357000</v>
          </cell>
        </row>
        <row r="29">
          <cell r="C29" t="str">
            <v>2603265T7YTXG2</v>
          </cell>
          <cell r="M29">
            <v>356000</v>
          </cell>
        </row>
        <row r="30">
          <cell r="C30" t="str">
            <v>2603265PUQ51NH</v>
          </cell>
          <cell r="M30">
            <v>124000</v>
          </cell>
        </row>
        <row r="31">
          <cell r="C31" t="str">
            <v>26032543G06GAB</v>
          </cell>
          <cell r="M31">
            <v>357000</v>
          </cell>
        </row>
        <row r="32">
          <cell r="C32" t="str">
            <v>2603253PXTT972</v>
          </cell>
          <cell r="M32">
            <v>154000</v>
          </cell>
        </row>
        <row r="33">
          <cell r="C33" t="str">
            <v>2603289JDNY4D7</v>
          </cell>
          <cell r="M33">
            <v>140500</v>
          </cell>
        </row>
        <row r="34">
          <cell r="C34" t="str">
            <v>2603279BVF6W9A</v>
          </cell>
          <cell r="M34">
            <v>357000</v>
          </cell>
        </row>
        <row r="35">
          <cell r="C35" t="str">
            <v>2603279B8QU1RU</v>
          </cell>
          <cell r="M35">
            <v>357000</v>
          </cell>
        </row>
        <row r="36">
          <cell r="C36" t="str">
            <v>2603278JFKP8A8</v>
          </cell>
          <cell r="M36">
            <v>356000</v>
          </cell>
        </row>
        <row r="37">
          <cell r="C37" t="str">
            <v>2603278B5XV70H</v>
          </cell>
          <cell r="M37">
            <v>144000</v>
          </cell>
        </row>
        <row r="38">
          <cell r="C38" t="str">
            <v>26032789TN70Y7</v>
          </cell>
          <cell r="M38">
            <v>145000</v>
          </cell>
        </row>
        <row r="39">
          <cell r="C39" t="str">
            <v>26032789QAC0ET</v>
          </cell>
          <cell r="M39">
            <v>251000</v>
          </cell>
        </row>
        <row r="40">
          <cell r="C40" t="str">
            <v>260327848CAWH3</v>
          </cell>
          <cell r="M40">
            <v>185000</v>
          </cell>
        </row>
        <row r="41">
          <cell r="C41" t="str">
            <v>260327840MBKC7</v>
          </cell>
          <cell r="M41">
            <v>145000</v>
          </cell>
        </row>
        <row r="42">
          <cell r="C42" t="str">
            <v>2603265XT0U3RP</v>
          </cell>
          <cell r="M42">
            <v>789000</v>
          </cell>
        </row>
        <row r="43">
          <cell r="C43" t="str">
            <v>2603253K0XDSMN</v>
          </cell>
          <cell r="M43">
            <v>124000</v>
          </cell>
        </row>
        <row r="44">
          <cell r="C44" t="str">
            <v>2603253JY2DK5V</v>
          </cell>
          <cell r="M44">
            <v>181000</v>
          </cell>
        </row>
        <row r="45">
          <cell r="C45" t="str">
            <v>2603253J97ARJE</v>
          </cell>
          <cell r="M45">
            <v>334000</v>
          </cell>
        </row>
        <row r="46">
          <cell r="C46" t="str">
            <v>2603253HRN22SV</v>
          </cell>
          <cell r="M46">
            <v>708000</v>
          </cell>
        </row>
        <row r="47">
          <cell r="C47" t="str">
            <v>2603253F79GGQS</v>
          </cell>
          <cell r="M47">
            <v>124000</v>
          </cell>
        </row>
        <row r="48">
          <cell r="C48" t="str">
            <v>2603253EN00GMR</v>
          </cell>
          <cell r="M48">
            <v>140500</v>
          </cell>
        </row>
        <row r="49">
          <cell r="C49" t="str">
            <v>2603253EJGTJFR</v>
          </cell>
          <cell r="M49">
            <v>124000</v>
          </cell>
        </row>
        <row r="50">
          <cell r="C50" t="str">
            <v>2603253ECMX1F5</v>
          </cell>
          <cell r="M50">
            <v>140500</v>
          </cell>
        </row>
        <row r="51">
          <cell r="C51" t="str">
            <v>2603253822V0M5</v>
          </cell>
          <cell r="M51">
            <v>268000</v>
          </cell>
        </row>
        <row r="52">
          <cell r="C52" t="str">
            <v>26032535S82N9D</v>
          </cell>
          <cell r="M52">
            <v>357000</v>
          </cell>
        </row>
        <row r="53">
          <cell r="C53" t="str">
            <v>2603252XQJUCEG</v>
          </cell>
          <cell r="M53">
            <v>124000</v>
          </cell>
        </row>
        <row r="54">
          <cell r="C54" t="str">
            <v>2603252WDG8CHN</v>
          </cell>
          <cell r="M54">
            <v>181000</v>
          </cell>
        </row>
        <row r="55">
          <cell r="C55" t="str">
            <v>2603252VF5EHEQ</v>
          </cell>
          <cell r="M55">
            <v>241000</v>
          </cell>
        </row>
        <row r="56">
          <cell r="C56" t="str">
            <v>2603252U13YDYF</v>
          </cell>
          <cell r="M56">
            <v>181000</v>
          </cell>
        </row>
        <row r="57">
          <cell r="C57" t="str">
            <v>2603252965ER8H</v>
          </cell>
          <cell r="M57">
            <v>181000</v>
          </cell>
        </row>
        <row r="58">
          <cell r="C58" t="str">
            <v>26032525WE81KY</v>
          </cell>
          <cell r="M58">
            <v>357000</v>
          </cell>
        </row>
        <row r="59">
          <cell r="C59" t="str">
            <v>26032523NQPQ09</v>
          </cell>
          <cell r="M59">
            <v>357000</v>
          </cell>
        </row>
        <row r="60">
          <cell r="C60" t="str">
            <v>260325227W0TFH</v>
          </cell>
          <cell r="M60">
            <v>352000</v>
          </cell>
        </row>
        <row r="61">
          <cell r="C61" t="str">
            <v>260325224M2ME6</v>
          </cell>
          <cell r="M61">
            <v>357000</v>
          </cell>
        </row>
        <row r="62">
          <cell r="C62" t="str">
            <v>260325220Q4TVJ</v>
          </cell>
          <cell r="M62">
            <v>352000</v>
          </cell>
        </row>
        <row r="63">
          <cell r="C63" t="str">
            <v>260325219115JT</v>
          </cell>
          <cell r="M63">
            <v>365000</v>
          </cell>
        </row>
        <row r="64">
          <cell r="C64" t="str">
            <v>2603251YM82479</v>
          </cell>
          <cell r="M64">
            <v>107000</v>
          </cell>
        </row>
        <row r="65">
          <cell r="C65" t="str">
            <v>2603241QTBFN25</v>
          </cell>
          <cell r="M65">
            <v>327000</v>
          </cell>
        </row>
        <row r="66">
          <cell r="C66" t="str">
            <v>2603241QRP134R</v>
          </cell>
          <cell r="M66">
            <v>267500</v>
          </cell>
        </row>
        <row r="67">
          <cell r="C67" t="str">
            <v>2603265YUEUK3X</v>
          </cell>
          <cell r="M67">
            <v>357000</v>
          </cell>
        </row>
        <row r="68">
          <cell r="C68" t="str">
            <v>2603265SEM71A0</v>
          </cell>
          <cell r="M68">
            <v>455000</v>
          </cell>
        </row>
        <row r="69">
          <cell r="C69" t="str">
            <v>2603265SDKT4KM</v>
          </cell>
          <cell r="M69">
            <v>181000</v>
          </cell>
        </row>
        <row r="70">
          <cell r="C70" t="str">
            <v>2603264GDCMQAU</v>
          </cell>
          <cell r="M70">
            <v>140500</v>
          </cell>
        </row>
        <row r="71">
          <cell r="C71" t="str">
            <v>2603254EXN7EM7</v>
          </cell>
          <cell r="M71">
            <v>356500</v>
          </cell>
        </row>
        <row r="72">
          <cell r="C72" t="str">
            <v>2603252TJER7DR</v>
          </cell>
          <cell r="M72">
            <v>357000</v>
          </cell>
        </row>
        <row r="73">
          <cell r="C73" t="str">
            <v>260324VRNVPDF3</v>
          </cell>
          <cell r="M73">
            <v>380000</v>
          </cell>
        </row>
        <row r="74">
          <cell r="C74" t="str">
            <v>26032414MX07UH</v>
          </cell>
          <cell r="M74">
            <v>140500</v>
          </cell>
        </row>
        <row r="75">
          <cell r="C75" t="str">
            <v>260324108QVHGB</v>
          </cell>
          <cell r="M75">
            <v>325000</v>
          </cell>
        </row>
        <row r="76">
          <cell r="C76" t="str">
            <v>2603240NUQJ606</v>
          </cell>
          <cell r="M76">
            <v>124000</v>
          </cell>
        </row>
        <row r="77">
          <cell r="C77" t="str">
            <v>2603240NMU77PK</v>
          </cell>
          <cell r="M77">
            <v>124000</v>
          </cell>
        </row>
        <row r="78">
          <cell r="C78" t="str">
            <v>2603240MJYTXBB</v>
          </cell>
          <cell r="M78">
            <v>357000</v>
          </cell>
        </row>
        <row r="79">
          <cell r="C79" t="str">
            <v>2603240MHRQYRY</v>
          </cell>
          <cell r="M79">
            <v>357000</v>
          </cell>
        </row>
        <row r="80">
          <cell r="C80" t="str">
            <v>2603240HCNW6UM</v>
          </cell>
          <cell r="M80">
            <v>181000</v>
          </cell>
        </row>
        <row r="81">
          <cell r="C81" t="str">
            <v>2603240FSVVCER</v>
          </cell>
          <cell r="M81">
            <v>357000</v>
          </cell>
        </row>
        <row r="82">
          <cell r="C82" t="str">
            <v>2603240EMB83N8</v>
          </cell>
          <cell r="M82">
            <v>145000</v>
          </cell>
        </row>
        <row r="83">
          <cell r="C83" t="str">
            <v>260324042P2HV2</v>
          </cell>
          <cell r="M83">
            <v>357000</v>
          </cell>
        </row>
        <row r="84">
          <cell r="C84" t="str">
            <v>260323UKAC1BXF</v>
          </cell>
          <cell r="M84">
            <v>357000</v>
          </cell>
        </row>
        <row r="85">
          <cell r="C85" t="str">
            <v>2603265WB5NRG1</v>
          </cell>
          <cell r="M85">
            <v>181000</v>
          </cell>
        </row>
        <row r="86">
          <cell r="C86" t="str">
            <v>2603264FQ29SD9</v>
          </cell>
          <cell r="M86">
            <v>257500</v>
          </cell>
        </row>
        <row r="87">
          <cell r="C87" t="str">
            <v>26032546H1A901</v>
          </cell>
          <cell r="M87">
            <v>357000</v>
          </cell>
        </row>
        <row r="88">
          <cell r="C88" t="str">
            <v>26032545X8G1AK</v>
          </cell>
          <cell r="M88">
            <v>357000</v>
          </cell>
        </row>
        <row r="89">
          <cell r="C89" t="str">
            <v>2603253ME1ACGX</v>
          </cell>
          <cell r="M89">
            <v>352000</v>
          </cell>
        </row>
        <row r="90">
          <cell r="C90" t="str">
            <v>2603253GC82JC3</v>
          </cell>
          <cell r="M90">
            <v>432000</v>
          </cell>
        </row>
        <row r="91">
          <cell r="C91" t="str">
            <v>2603253G177QVV</v>
          </cell>
          <cell r="M91">
            <v>352000</v>
          </cell>
        </row>
        <row r="92">
          <cell r="C92" t="str">
            <v>2603253CKY2UVJ</v>
          </cell>
          <cell r="M92">
            <v>357000</v>
          </cell>
        </row>
        <row r="93">
          <cell r="C93" t="str">
            <v>2603253BDY4R9B</v>
          </cell>
          <cell r="M93">
            <v>123000</v>
          </cell>
        </row>
        <row r="94">
          <cell r="C94" t="str">
            <v>2603253AQYB1PD</v>
          </cell>
          <cell r="M94">
            <v>357000</v>
          </cell>
        </row>
        <row r="95">
          <cell r="C95" t="str">
            <v>2603253AA20A0H</v>
          </cell>
          <cell r="M95">
            <v>352000</v>
          </cell>
        </row>
        <row r="96">
          <cell r="C96" t="str">
            <v>26032532S6BC0A</v>
          </cell>
          <cell r="M96">
            <v>352000</v>
          </cell>
        </row>
        <row r="97">
          <cell r="C97" t="str">
            <v>26032531G379AR</v>
          </cell>
          <cell r="M97">
            <v>357000</v>
          </cell>
        </row>
        <row r="98">
          <cell r="C98" t="str">
            <v>26032531CUB5VS</v>
          </cell>
          <cell r="M98">
            <v>536500</v>
          </cell>
        </row>
        <row r="99">
          <cell r="C99" t="str">
            <v>2603252VJ8MH5C</v>
          </cell>
          <cell r="M99">
            <v>124000</v>
          </cell>
        </row>
        <row r="100">
          <cell r="C100" t="str">
            <v>26032525J9JA3K</v>
          </cell>
          <cell r="M100">
            <v>357000</v>
          </cell>
        </row>
        <row r="101">
          <cell r="C101" t="str">
            <v>26032522VMRUFG</v>
          </cell>
          <cell r="M101">
            <v>181000</v>
          </cell>
        </row>
        <row r="102">
          <cell r="C102" t="str">
            <v>2603241U4WST6K</v>
          </cell>
          <cell r="M102">
            <v>357000</v>
          </cell>
        </row>
        <row r="103">
          <cell r="C103" t="str">
            <v>26032413QNH23R</v>
          </cell>
          <cell r="M103">
            <v>356000</v>
          </cell>
        </row>
        <row r="104">
          <cell r="C104" t="str">
            <v>260323UFET5WKF</v>
          </cell>
          <cell r="M104">
            <v>140500</v>
          </cell>
        </row>
        <row r="105">
          <cell r="C105" t="str">
            <v>260323U7CKHFCA</v>
          </cell>
          <cell r="M105">
            <v>357000</v>
          </cell>
        </row>
        <row r="106">
          <cell r="C106" t="str">
            <v>260323T6H12W77</v>
          </cell>
          <cell r="M106">
            <v>357000</v>
          </cell>
        </row>
        <row r="107">
          <cell r="C107" t="str">
            <v>260323T3A8VREW</v>
          </cell>
          <cell r="M107">
            <v>274000</v>
          </cell>
        </row>
        <row r="108">
          <cell r="C108" t="str">
            <v>260322SHBF99D6</v>
          </cell>
          <cell r="M108">
            <v>402000</v>
          </cell>
        </row>
        <row r="109">
          <cell r="C109" t="str">
            <v>260322SH7BRTY8</v>
          </cell>
          <cell r="M109">
            <v>357000</v>
          </cell>
        </row>
        <row r="110">
          <cell r="C110" t="str">
            <v>260322SFE4P2YB</v>
          </cell>
          <cell r="M110">
            <v>327000</v>
          </cell>
        </row>
        <row r="111">
          <cell r="C111" t="str">
            <v>260322SB4806AX</v>
          </cell>
          <cell r="M111">
            <v>181000</v>
          </cell>
        </row>
        <row r="112">
          <cell r="C112" t="str">
            <v>260322RYEJTWBU</v>
          </cell>
          <cell r="M112">
            <v>263000</v>
          </cell>
        </row>
        <row r="113">
          <cell r="C113" t="str">
            <v>260322RVBC13UQ</v>
          </cell>
          <cell r="M113">
            <v>181000</v>
          </cell>
        </row>
        <row r="114">
          <cell r="C114" t="str">
            <v>260322QYUXRDEN</v>
          </cell>
          <cell r="M114">
            <v>181000</v>
          </cell>
        </row>
        <row r="115">
          <cell r="C115" t="str">
            <v>26032530KT78C4</v>
          </cell>
          <cell r="M115">
            <v>303000</v>
          </cell>
        </row>
        <row r="116">
          <cell r="C116" t="str">
            <v>26032530AX1JAP</v>
          </cell>
          <cell r="M116">
            <v>357000</v>
          </cell>
        </row>
        <row r="117">
          <cell r="C117" t="str">
            <v>260325250SU8JX</v>
          </cell>
          <cell r="M117">
            <v>357000</v>
          </cell>
        </row>
        <row r="118">
          <cell r="C118" t="str">
            <v>26032524MJTC55</v>
          </cell>
          <cell r="M118">
            <v>356000</v>
          </cell>
        </row>
        <row r="119">
          <cell r="C119" t="str">
            <v>26032524K15KKM</v>
          </cell>
          <cell r="M119">
            <v>351000</v>
          </cell>
        </row>
        <row r="120">
          <cell r="C120" t="str">
            <v>2603252356FPXR</v>
          </cell>
          <cell r="M120">
            <v>440000</v>
          </cell>
        </row>
        <row r="121">
          <cell r="C121" t="str">
            <v>26032410JV45H2</v>
          </cell>
          <cell r="M121">
            <v>130000</v>
          </cell>
        </row>
        <row r="122">
          <cell r="C122" t="str">
            <v>2603240WWW87KD</v>
          </cell>
          <cell r="M122">
            <v>380000</v>
          </cell>
        </row>
        <row r="123">
          <cell r="C123" t="str">
            <v>2603240WKJAK8T</v>
          </cell>
          <cell r="M123">
            <v>380000</v>
          </cell>
        </row>
        <row r="124">
          <cell r="C124" t="str">
            <v>2603240H4AU317</v>
          </cell>
          <cell r="M124">
            <v>124000</v>
          </cell>
        </row>
        <row r="125">
          <cell r="C125" t="str">
            <v>260323VEBJ7FU0</v>
          </cell>
          <cell r="M125">
            <v>181000</v>
          </cell>
        </row>
        <row r="126">
          <cell r="C126" t="str">
            <v>260323VA3916P3</v>
          </cell>
          <cell r="M126">
            <v>181000</v>
          </cell>
        </row>
        <row r="127">
          <cell r="C127" t="str">
            <v>260323U95ABDQH</v>
          </cell>
          <cell r="M127">
            <v>181000</v>
          </cell>
        </row>
        <row r="128">
          <cell r="C128" t="str">
            <v>260323T5B6VHF9</v>
          </cell>
          <cell r="M128">
            <v>357000</v>
          </cell>
        </row>
        <row r="129">
          <cell r="C129" t="str">
            <v>260323T58TME8F</v>
          </cell>
          <cell r="M129">
            <v>357000</v>
          </cell>
        </row>
        <row r="130">
          <cell r="C130" t="str">
            <v>260323T55JPPN0</v>
          </cell>
          <cell r="M130">
            <v>357000</v>
          </cell>
        </row>
        <row r="131">
          <cell r="C131" t="str">
            <v>260323T52BPMKR</v>
          </cell>
          <cell r="M131">
            <v>357000</v>
          </cell>
        </row>
        <row r="132">
          <cell r="C132" t="str">
            <v>260323T50MCH8M</v>
          </cell>
          <cell r="M132">
            <v>357000</v>
          </cell>
        </row>
        <row r="133">
          <cell r="C133" t="str">
            <v>260323T3EUQPV8</v>
          </cell>
          <cell r="M133">
            <v>181000</v>
          </cell>
        </row>
        <row r="134">
          <cell r="C134" t="str">
            <v>260322SNT6EC0S</v>
          </cell>
          <cell r="M134">
            <v>357000</v>
          </cell>
        </row>
        <row r="135">
          <cell r="C135" t="str">
            <v>260321P31M8C1C</v>
          </cell>
          <cell r="M135">
            <v>145000</v>
          </cell>
        </row>
        <row r="136">
          <cell r="C136" t="str">
            <v>260320MYTM1JTC</v>
          </cell>
          <cell r="M136">
            <v>357000</v>
          </cell>
        </row>
        <row r="137">
          <cell r="C137" t="str">
            <v>260320MMDW06YE</v>
          </cell>
          <cell r="M137">
            <v>124000</v>
          </cell>
        </row>
        <row r="138">
          <cell r="C138" t="str">
            <v>260323UMYVW613</v>
          </cell>
          <cell r="M138">
            <v>357000</v>
          </cell>
        </row>
        <row r="139">
          <cell r="C139" t="str">
            <v>260323U8CVAMY0</v>
          </cell>
          <cell r="M139">
            <v>216000</v>
          </cell>
        </row>
        <row r="140">
          <cell r="C140" t="str">
            <v>260323U48RR7GX</v>
          </cell>
          <cell r="M140">
            <v>290000</v>
          </cell>
        </row>
        <row r="141">
          <cell r="C141" t="str">
            <v>260323U3GYMDTY</v>
          </cell>
          <cell r="M141">
            <v>192000</v>
          </cell>
        </row>
        <row r="142">
          <cell r="C142" t="str">
            <v>260323TUFPK7R4</v>
          </cell>
          <cell r="M142">
            <v>365000</v>
          </cell>
        </row>
        <row r="143">
          <cell r="C143" t="str">
            <v>260322SXNTHTMG</v>
          </cell>
          <cell r="M143">
            <v>380000</v>
          </cell>
        </row>
        <row r="144">
          <cell r="C144" t="str">
            <v>260322SDGFGS4H</v>
          </cell>
          <cell r="M144">
            <v>124000</v>
          </cell>
        </row>
        <row r="145">
          <cell r="C145" t="str">
            <v>260322RVV9QXNX</v>
          </cell>
          <cell r="M145">
            <v>361000</v>
          </cell>
        </row>
        <row r="146">
          <cell r="C146" t="str">
            <v>260322QRM71KN8</v>
          </cell>
          <cell r="M146">
            <v>338000</v>
          </cell>
        </row>
        <row r="147">
          <cell r="C147" t="str">
            <v>260320M6AGN48T</v>
          </cell>
          <cell r="M147">
            <v>192000</v>
          </cell>
        </row>
        <row r="148">
          <cell r="C148" t="str">
            <v>260320M3KRHAUK</v>
          </cell>
          <cell r="M148">
            <v>192000</v>
          </cell>
        </row>
        <row r="149">
          <cell r="C149" t="str">
            <v>260320KJTMFU60</v>
          </cell>
          <cell r="M149">
            <v>268000</v>
          </cell>
        </row>
        <row r="150">
          <cell r="C150" t="str">
            <v>260320KCYM3GHR</v>
          </cell>
          <cell r="M150">
            <v>417500</v>
          </cell>
        </row>
        <row r="151">
          <cell r="C151" t="str">
            <v>260320KB8SC5B8</v>
          </cell>
          <cell r="M151">
            <v>380000</v>
          </cell>
        </row>
        <row r="152">
          <cell r="C152" t="str">
            <v>260320JKKYR4TN</v>
          </cell>
          <cell r="M152">
            <v>130000</v>
          </cell>
        </row>
        <row r="153">
          <cell r="C153" t="str">
            <v>260320JG8JRM84</v>
          </cell>
          <cell r="M153">
            <v>181000</v>
          </cell>
        </row>
        <row r="154">
          <cell r="C154" t="str">
            <v>260321P3CFBVCG</v>
          </cell>
          <cell r="M154">
            <v>145000</v>
          </cell>
        </row>
        <row r="155">
          <cell r="C155" t="str">
            <v>260321P02PQVFC</v>
          </cell>
          <cell r="M155">
            <v>181000</v>
          </cell>
        </row>
        <row r="156">
          <cell r="C156" t="str">
            <v>260321NY2QGDBC</v>
          </cell>
          <cell r="M156">
            <v>181000</v>
          </cell>
        </row>
        <row r="157">
          <cell r="C157" t="str">
            <v>260321N3HH8F0A</v>
          </cell>
          <cell r="M157">
            <v>357000</v>
          </cell>
        </row>
        <row r="158">
          <cell r="C158" t="str">
            <v>260319HQ1H7NN9</v>
          </cell>
          <cell r="M158">
            <v>192000</v>
          </cell>
        </row>
        <row r="159">
          <cell r="C159" t="str">
            <v>260319H92E8EY4</v>
          </cell>
          <cell r="M159">
            <v>357000</v>
          </cell>
        </row>
        <row r="160">
          <cell r="C160" t="str">
            <v>260319H5AAWVMU</v>
          </cell>
          <cell r="M160">
            <v>181000</v>
          </cell>
        </row>
        <row r="161">
          <cell r="C161" t="str">
            <v>260319H0PHK5JT</v>
          </cell>
          <cell r="M161">
            <v>192000</v>
          </cell>
        </row>
        <row r="162">
          <cell r="C162" t="str">
            <v>260319GT27PHHJ</v>
          </cell>
          <cell r="M162">
            <v>365000</v>
          </cell>
        </row>
        <row r="163">
          <cell r="C163" t="str">
            <v>260318FXG4SD54</v>
          </cell>
          <cell r="M163">
            <v>124000</v>
          </cell>
        </row>
        <row r="164">
          <cell r="C164" t="str">
            <v>260318FUDRPBT0</v>
          </cell>
          <cell r="M164">
            <v>145000</v>
          </cell>
        </row>
        <row r="165">
          <cell r="C165" t="str">
            <v>260318FU518SW5</v>
          </cell>
          <cell r="M165">
            <v>327000</v>
          </cell>
        </row>
        <row r="166">
          <cell r="C166" t="str">
            <v>260318FTSRU8EY</v>
          </cell>
          <cell r="M166">
            <v>124000</v>
          </cell>
        </row>
        <row r="167">
          <cell r="C167" t="str">
            <v>260318FN85VMJ8</v>
          </cell>
          <cell r="M167">
            <v>517000</v>
          </cell>
        </row>
        <row r="168">
          <cell r="C168" t="str">
            <v>260321NUBFUYNG</v>
          </cell>
          <cell r="M168">
            <v>181000</v>
          </cell>
        </row>
        <row r="169">
          <cell r="C169" t="str">
            <v>260320MWUSPMQ5</v>
          </cell>
          <cell r="M169">
            <v>380000</v>
          </cell>
        </row>
        <row r="170">
          <cell r="C170" t="str">
            <v>260320MRK6S4HR</v>
          </cell>
          <cell r="M170">
            <v>181000</v>
          </cell>
        </row>
        <row r="171">
          <cell r="C171" t="str">
            <v>260320MNS4T0SE</v>
          </cell>
          <cell r="M171">
            <v>357000</v>
          </cell>
        </row>
        <row r="172">
          <cell r="C172" t="str">
            <v>260320MMSAACB9</v>
          </cell>
          <cell r="M172">
            <v>380000</v>
          </cell>
        </row>
        <row r="173">
          <cell r="C173" t="str">
            <v>260320KQGYRP64</v>
          </cell>
          <cell r="M173">
            <v>181000</v>
          </cell>
        </row>
        <row r="174">
          <cell r="C174" t="str">
            <v>260320KNY82JF6</v>
          </cell>
          <cell r="M174">
            <v>356000</v>
          </cell>
        </row>
        <row r="175">
          <cell r="C175" t="str">
            <v>260320KNF34PV9</v>
          </cell>
          <cell r="M175">
            <v>181000</v>
          </cell>
        </row>
        <row r="176">
          <cell r="C176" t="str">
            <v>260320KJA18FV1</v>
          </cell>
          <cell r="M176">
            <v>552000</v>
          </cell>
        </row>
        <row r="177">
          <cell r="C177" t="str">
            <v>260320KAS5PD2U</v>
          </cell>
          <cell r="M177">
            <v>394000</v>
          </cell>
        </row>
        <row r="178">
          <cell r="C178" t="str">
            <v>260320K9V0XKH1</v>
          </cell>
          <cell r="M178">
            <v>124000</v>
          </cell>
        </row>
        <row r="179">
          <cell r="C179" t="str">
            <v>260320JP42BAJ0</v>
          </cell>
          <cell r="M179">
            <v>357000</v>
          </cell>
        </row>
        <row r="180">
          <cell r="C180" t="str">
            <v>260320JMC1CBHW</v>
          </cell>
          <cell r="M180">
            <v>357000</v>
          </cell>
        </row>
        <row r="181">
          <cell r="C181" t="str">
            <v>260320JKNWRYRS</v>
          </cell>
          <cell r="M181">
            <v>491500</v>
          </cell>
        </row>
        <row r="182">
          <cell r="C182" t="str">
            <v>260320JKKGGMSS</v>
          </cell>
          <cell r="M182">
            <v>491500</v>
          </cell>
        </row>
        <row r="183">
          <cell r="C183" t="str">
            <v>260320JKJH1766</v>
          </cell>
          <cell r="M183">
            <v>491500</v>
          </cell>
        </row>
        <row r="184">
          <cell r="C184" t="str">
            <v>260320JKGQSVW3</v>
          </cell>
          <cell r="M184">
            <v>491500</v>
          </cell>
        </row>
        <row r="185">
          <cell r="C185" t="str">
            <v>260320JKFFRHAD</v>
          </cell>
          <cell r="M185">
            <v>491500</v>
          </cell>
        </row>
        <row r="186">
          <cell r="C186" t="str">
            <v>260319GUC4GC44</v>
          </cell>
          <cell r="M186">
            <v>375000</v>
          </cell>
        </row>
        <row r="187">
          <cell r="C187" t="str">
            <v>260318F3HV5A8N</v>
          </cell>
          <cell r="M187">
            <v>124000</v>
          </cell>
        </row>
        <row r="188">
          <cell r="C188" t="str">
            <v>260318F2MFTCJ4</v>
          </cell>
          <cell r="M188">
            <v>830000</v>
          </cell>
        </row>
        <row r="189">
          <cell r="C189" t="str">
            <v>260318F1G93V87</v>
          </cell>
          <cell r="M189">
            <v>357000</v>
          </cell>
        </row>
        <row r="190">
          <cell r="C190" t="str">
            <v>260318F1EQFDMC</v>
          </cell>
          <cell r="M190">
            <v>401000</v>
          </cell>
        </row>
        <row r="191">
          <cell r="C191" t="str">
            <v>260318EYQBJ0XS</v>
          </cell>
          <cell r="M191">
            <v>365000</v>
          </cell>
        </row>
        <row r="192">
          <cell r="C192" t="str">
            <v>260318EMTD2B9T</v>
          </cell>
          <cell r="M192">
            <v>412000</v>
          </cell>
        </row>
        <row r="193">
          <cell r="C193" t="str">
            <v>260318DKPDMY2D</v>
          </cell>
          <cell r="M193">
            <v>124000</v>
          </cell>
        </row>
        <row r="194">
          <cell r="C194" t="str">
            <v>260318DKKNX8QU</v>
          </cell>
          <cell r="M194">
            <v>124000</v>
          </cell>
        </row>
        <row r="195">
          <cell r="C195" t="str">
            <v>260318DHC63DH0</v>
          </cell>
          <cell r="M195">
            <v>124000</v>
          </cell>
        </row>
        <row r="196">
          <cell r="C196" t="str">
            <v>260318DH26KAKJ</v>
          </cell>
          <cell r="M196">
            <v>322000</v>
          </cell>
        </row>
        <row r="197">
          <cell r="C197" t="str">
            <v>260317D9RUC7N6</v>
          </cell>
          <cell r="M197">
            <v>181000</v>
          </cell>
        </row>
        <row r="198">
          <cell r="C198" t="str">
            <v>260320KCQ942PD</v>
          </cell>
          <cell r="M198">
            <v>181000</v>
          </cell>
        </row>
        <row r="199">
          <cell r="C199" t="str">
            <v>260320JHSGPD3B</v>
          </cell>
          <cell r="M199">
            <v>380000</v>
          </cell>
        </row>
        <row r="200">
          <cell r="C200" t="str">
            <v>260319JEMDTPC1</v>
          </cell>
          <cell r="M200">
            <v>380000</v>
          </cell>
        </row>
        <row r="201">
          <cell r="C201" t="str">
            <v>260319H2J8SNKA</v>
          </cell>
          <cell r="M201">
            <v>140500</v>
          </cell>
        </row>
        <row r="202">
          <cell r="C202" t="str">
            <v>260319GUVK05CM</v>
          </cell>
          <cell r="M202">
            <v>290500</v>
          </cell>
        </row>
        <row r="203">
          <cell r="C203" t="str">
            <v>260317CN0D44FM</v>
          </cell>
          <cell r="M203">
            <v>216000</v>
          </cell>
        </row>
        <row r="204">
          <cell r="C204" t="str">
            <v>260317CKQ1F9C0</v>
          </cell>
          <cell r="M204">
            <v>543000</v>
          </cell>
        </row>
        <row r="205">
          <cell r="C205" t="str">
            <v>260317CF6WEQCS</v>
          </cell>
          <cell r="M205">
            <v>274000</v>
          </cell>
        </row>
        <row r="206">
          <cell r="C206" t="str">
            <v>260317CC2P9A6G</v>
          </cell>
          <cell r="M206">
            <v>124000</v>
          </cell>
        </row>
        <row r="207">
          <cell r="C207" t="str">
            <v>260317C1F0A7N0</v>
          </cell>
          <cell r="M207">
            <v>192000</v>
          </cell>
        </row>
        <row r="208">
          <cell r="C208" t="str">
            <v>260317B5W70N6U</v>
          </cell>
          <cell r="M208">
            <v>124000</v>
          </cell>
        </row>
        <row r="209">
          <cell r="C209" t="str">
            <v>260319H8HUX9FD</v>
          </cell>
          <cell r="M209">
            <v>375000</v>
          </cell>
        </row>
        <row r="210">
          <cell r="C210" t="str">
            <v>260318FU2CD9GN</v>
          </cell>
          <cell r="M210">
            <v>192000</v>
          </cell>
        </row>
        <row r="211">
          <cell r="C211" t="str">
            <v>260318FMEA1860</v>
          </cell>
          <cell r="M211">
            <v>361000</v>
          </cell>
        </row>
        <row r="212">
          <cell r="C212" t="str">
            <v>260318F678CFQ9</v>
          </cell>
          <cell r="M212">
            <v>181000</v>
          </cell>
        </row>
        <row r="213">
          <cell r="C213" t="str">
            <v>260318F3P99U6D</v>
          </cell>
          <cell r="M213">
            <v>124000</v>
          </cell>
        </row>
        <row r="214">
          <cell r="C214" t="str">
            <v>260318EVP7JF00</v>
          </cell>
          <cell r="M214">
            <v>357000</v>
          </cell>
        </row>
        <row r="215">
          <cell r="C215" t="str">
            <v>260318E4GBH8CP</v>
          </cell>
          <cell r="M215">
            <v>274000</v>
          </cell>
        </row>
        <row r="216">
          <cell r="C216" t="str">
            <v>260317CPHJQ8GF</v>
          </cell>
          <cell r="M216">
            <v>357000</v>
          </cell>
        </row>
        <row r="217">
          <cell r="C217" t="str">
            <v>260316A4C7TY2T</v>
          </cell>
          <cell r="M217">
            <v>357000</v>
          </cell>
        </row>
        <row r="218">
          <cell r="C218" t="str">
            <v>2603169WGM62XV</v>
          </cell>
          <cell r="M218">
            <v>380000</v>
          </cell>
        </row>
        <row r="219">
          <cell r="C219" t="str">
            <v>2603169NXNBKAT</v>
          </cell>
          <cell r="M219">
            <v>181000</v>
          </cell>
        </row>
        <row r="220">
          <cell r="C220" t="str">
            <v>2603169JWVSHDR</v>
          </cell>
          <cell r="M220">
            <v>130000</v>
          </cell>
        </row>
        <row r="221">
          <cell r="C221" t="str">
            <v>2603169FVAE2R3</v>
          </cell>
          <cell r="M221">
            <v>365000</v>
          </cell>
        </row>
        <row r="222">
          <cell r="C222" t="str">
            <v>2603169EDSSPXQ</v>
          </cell>
          <cell r="M222">
            <v>140500</v>
          </cell>
        </row>
        <row r="223">
          <cell r="C223" t="str">
            <v>2603158BY1UQH1</v>
          </cell>
          <cell r="M223">
            <v>124000</v>
          </cell>
        </row>
        <row r="224">
          <cell r="C224" t="str">
            <v>2603158BRUG3XR</v>
          </cell>
          <cell r="M224">
            <v>357000</v>
          </cell>
        </row>
        <row r="225">
          <cell r="C225" t="str">
            <v>2603158742T9DN</v>
          </cell>
          <cell r="M225">
            <v>352000</v>
          </cell>
        </row>
        <row r="226">
          <cell r="C226" t="str">
            <v>2603157V2TVD00</v>
          </cell>
          <cell r="M226">
            <v>352000</v>
          </cell>
        </row>
        <row r="227">
          <cell r="C227" t="str">
            <v>2603157UFEY5GA</v>
          </cell>
          <cell r="M227">
            <v>124000</v>
          </cell>
        </row>
        <row r="228">
          <cell r="C228" t="str">
            <v>2603157T7VG5CM</v>
          </cell>
          <cell r="M228">
            <v>140500</v>
          </cell>
        </row>
        <row r="229">
          <cell r="C229" t="str">
            <v>2603157R0DJHNR</v>
          </cell>
          <cell r="M229">
            <v>124000</v>
          </cell>
        </row>
        <row r="230">
          <cell r="C230" t="str">
            <v>2603157AW0HHWQ</v>
          </cell>
          <cell r="M230">
            <v>181000</v>
          </cell>
        </row>
        <row r="231">
          <cell r="C231" t="str">
            <v>2603156YDB2C70</v>
          </cell>
          <cell r="M231">
            <v>397000</v>
          </cell>
        </row>
        <row r="232">
          <cell r="C232" t="str">
            <v>2603156UV41GER</v>
          </cell>
          <cell r="M232">
            <v>357000</v>
          </cell>
        </row>
        <row r="233">
          <cell r="C233" t="str">
            <v>2603156SWQ0V9H</v>
          </cell>
          <cell r="M233">
            <v>352000</v>
          </cell>
        </row>
        <row r="234">
          <cell r="C234" t="str">
            <v>26031564V702PF</v>
          </cell>
          <cell r="M234">
            <v>181000</v>
          </cell>
        </row>
        <row r="235">
          <cell r="C235" t="str">
            <v>260315639954YS</v>
          </cell>
          <cell r="M235">
            <v>123000</v>
          </cell>
        </row>
        <row r="236">
          <cell r="C236" t="str">
            <v>26031562NMPR84</v>
          </cell>
          <cell r="M236">
            <v>181000</v>
          </cell>
        </row>
        <row r="237">
          <cell r="C237" t="str">
            <v>26031562B14GNY</v>
          </cell>
          <cell r="M237">
            <v>140500</v>
          </cell>
        </row>
        <row r="238">
          <cell r="C238" t="str">
            <v>260317D9JXG5M8</v>
          </cell>
          <cell r="M238">
            <v>124000</v>
          </cell>
        </row>
        <row r="239">
          <cell r="C239" t="str">
            <v>260317CK0HEX6B</v>
          </cell>
          <cell r="M239">
            <v>431000</v>
          </cell>
        </row>
        <row r="240">
          <cell r="C240" t="str">
            <v>260317C0NQHXG0</v>
          </cell>
          <cell r="M240">
            <v>145000</v>
          </cell>
        </row>
        <row r="241">
          <cell r="C241" t="str">
            <v>260317BX8JGT0U</v>
          </cell>
          <cell r="M241">
            <v>130000</v>
          </cell>
        </row>
        <row r="242">
          <cell r="C242" t="str">
            <v>26031697A5HPB2</v>
          </cell>
          <cell r="M242">
            <v>181000</v>
          </cell>
        </row>
        <row r="243">
          <cell r="C243" t="str">
            <v>2603156SP3VUCK</v>
          </cell>
          <cell r="M243">
            <v>140500</v>
          </cell>
        </row>
        <row r="244">
          <cell r="C244" t="str">
            <v>2603156SM6U2GC</v>
          </cell>
          <cell r="M244">
            <v>181000</v>
          </cell>
        </row>
        <row r="245">
          <cell r="C245" t="str">
            <v>260317C57TF8CU</v>
          </cell>
          <cell r="M245">
            <v>192000</v>
          </cell>
        </row>
        <row r="246">
          <cell r="C246" t="str">
            <v>260317AYHHM0G2</v>
          </cell>
          <cell r="M246">
            <v>357000</v>
          </cell>
        </row>
        <row r="247">
          <cell r="C247" t="str">
            <v>260316AWMHD65H</v>
          </cell>
          <cell r="M247">
            <v>181000</v>
          </cell>
        </row>
        <row r="248">
          <cell r="C248" t="str">
            <v>260316AJ6H9GMR</v>
          </cell>
          <cell r="M248">
            <v>202000</v>
          </cell>
        </row>
        <row r="249">
          <cell r="C249" t="str">
            <v>260316AEHRUCNT</v>
          </cell>
          <cell r="M249">
            <v>357000</v>
          </cell>
        </row>
        <row r="250">
          <cell r="C250" t="str">
            <v>2603169XA3JN98</v>
          </cell>
          <cell r="M250">
            <v>341000</v>
          </cell>
        </row>
        <row r="251">
          <cell r="C251" t="str">
            <v>2603169JK6BRR1</v>
          </cell>
          <cell r="M251">
            <v>356000</v>
          </cell>
        </row>
        <row r="252">
          <cell r="C252" t="str">
            <v>26031589BFSF3X</v>
          </cell>
          <cell r="M252">
            <v>357000</v>
          </cell>
        </row>
        <row r="253">
          <cell r="C253" t="str">
            <v>2603156457Q4CR</v>
          </cell>
          <cell r="M253">
            <v>357000</v>
          </cell>
        </row>
        <row r="254">
          <cell r="C254" t="str">
            <v>2603169HNWWP0F</v>
          </cell>
          <cell r="M254">
            <v>130000</v>
          </cell>
        </row>
        <row r="255">
          <cell r="C255" t="str">
            <v>2603168HHWVVHU</v>
          </cell>
          <cell r="M255">
            <v>257000</v>
          </cell>
        </row>
        <row r="256">
          <cell r="C256" t="str">
            <v>26031585BKJCE9</v>
          </cell>
          <cell r="M256">
            <v>140500</v>
          </cell>
        </row>
        <row r="257">
          <cell r="C257" t="str">
            <v>2603157W7D2BGR</v>
          </cell>
          <cell r="M257">
            <v>357000</v>
          </cell>
        </row>
        <row r="258">
          <cell r="C258" t="str">
            <v>2603157HC4J6YY</v>
          </cell>
          <cell r="M258">
            <v>284500</v>
          </cell>
        </row>
        <row r="259">
          <cell r="C259" t="str">
            <v>2603157EYX2291</v>
          </cell>
          <cell r="M259">
            <v>181000</v>
          </cell>
        </row>
        <row r="260">
          <cell r="C260" t="str">
            <v>2603157ANEAVXV</v>
          </cell>
          <cell r="M260">
            <v>357000</v>
          </cell>
        </row>
        <row r="261">
          <cell r="C261" t="str">
            <v>2603157AF7XTJC</v>
          </cell>
          <cell r="M261">
            <v>140500</v>
          </cell>
        </row>
        <row r="262">
          <cell r="C262" t="str">
            <v>26031575E798VH</v>
          </cell>
          <cell r="M262">
            <v>352000</v>
          </cell>
        </row>
        <row r="263">
          <cell r="C263" t="str">
            <v>26031574EAS3SA</v>
          </cell>
          <cell r="M263">
            <v>124000</v>
          </cell>
        </row>
        <row r="264">
          <cell r="C264" t="str">
            <v>260315723KX4NT</v>
          </cell>
          <cell r="M264">
            <v>357000</v>
          </cell>
        </row>
        <row r="265">
          <cell r="C265" t="str">
            <v>26031570FQJJNB</v>
          </cell>
          <cell r="M265">
            <v>275000</v>
          </cell>
        </row>
        <row r="266">
          <cell r="C266" t="str">
            <v>2603156Y9H1B6W</v>
          </cell>
          <cell r="M266">
            <v>181000</v>
          </cell>
        </row>
        <row r="267">
          <cell r="C267" t="str">
            <v>26031566CB5AP1</v>
          </cell>
          <cell r="M267">
            <v>140500</v>
          </cell>
        </row>
        <row r="268">
          <cell r="C268" t="str">
            <v>26031561X54UXP</v>
          </cell>
          <cell r="M268">
            <v>276000</v>
          </cell>
        </row>
        <row r="269">
          <cell r="C269" t="str">
            <v>260315616KTQJ5</v>
          </cell>
          <cell r="M269">
            <v>140500</v>
          </cell>
        </row>
        <row r="270">
          <cell r="C270" t="str">
            <v>260315614TGRVG</v>
          </cell>
          <cell r="M270">
            <v>140500</v>
          </cell>
        </row>
        <row r="271">
          <cell r="C271" t="str">
            <v>26031560RBWJSU</v>
          </cell>
          <cell r="M271">
            <v>385000</v>
          </cell>
        </row>
        <row r="272">
          <cell r="C272" t="str">
            <v>2603132MJ8HG5D</v>
          </cell>
          <cell r="M272">
            <v>357000</v>
          </cell>
        </row>
        <row r="273">
          <cell r="C273" t="str">
            <v>2603132FVCFGVM</v>
          </cell>
          <cell r="M273">
            <v>322000</v>
          </cell>
        </row>
        <row r="274">
          <cell r="C274" t="str">
            <v>2603132CTGKYCA</v>
          </cell>
          <cell r="M274">
            <v>181000</v>
          </cell>
        </row>
        <row r="275">
          <cell r="C275" t="str">
            <v>2603132BXCD441</v>
          </cell>
          <cell r="M275">
            <v>130000</v>
          </cell>
        </row>
        <row r="276">
          <cell r="C276" t="str">
            <v>26031324AGD8MV</v>
          </cell>
          <cell r="M276">
            <v>331000</v>
          </cell>
        </row>
        <row r="277">
          <cell r="C277" t="str">
            <v>2603131VU2NDNP</v>
          </cell>
          <cell r="M277">
            <v>308000</v>
          </cell>
        </row>
        <row r="278">
          <cell r="C278" t="str">
            <v>26031451XSWN7W</v>
          </cell>
          <cell r="M278">
            <v>357000</v>
          </cell>
        </row>
        <row r="279">
          <cell r="C279" t="str">
            <v>2603144KQNBQMP</v>
          </cell>
          <cell r="M279">
            <v>124000</v>
          </cell>
        </row>
        <row r="280">
          <cell r="C280" t="str">
            <v>2603144EM5HA2E</v>
          </cell>
          <cell r="M280">
            <v>290000</v>
          </cell>
        </row>
        <row r="281">
          <cell r="C281" t="str">
            <v>26031322H7EFVR</v>
          </cell>
          <cell r="M281">
            <v>192000</v>
          </cell>
        </row>
        <row r="282">
          <cell r="C282" t="str">
            <v>260312VY1WKABB</v>
          </cell>
          <cell r="M282">
            <v>295000</v>
          </cell>
        </row>
        <row r="283">
          <cell r="C283" t="str">
            <v>260312VVUC6GWA</v>
          </cell>
          <cell r="M283">
            <v>145000</v>
          </cell>
        </row>
        <row r="284">
          <cell r="C284" t="str">
            <v>260312VK51JMNM</v>
          </cell>
          <cell r="M284">
            <v>124000</v>
          </cell>
        </row>
        <row r="285">
          <cell r="C285" t="str">
            <v>260312VJPRSEFU</v>
          </cell>
          <cell r="M285">
            <v>380000</v>
          </cell>
        </row>
        <row r="286">
          <cell r="C286" t="str">
            <v>260312VCY587S1</v>
          </cell>
          <cell r="M286">
            <v>357000</v>
          </cell>
        </row>
        <row r="287">
          <cell r="C287" t="str">
            <v>260312VCVXNPC9</v>
          </cell>
          <cell r="M287">
            <v>357000</v>
          </cell>
        </row>
        <row r="288">
          <cell r="C288" t="str">
            <v>260312V7UCT553</v>
          </cell>
          <cell r="M288">
            <v>290000</v>
          </cell>
        </row>
        <row r="289">
          <cell r="C289" t="str">
            <v>260312UPS9M5KH</v>
          </cell>
          <cell r="M289">
            <v>613000</v>
          </cell>
        </row>
        <row r="290">
          <cell r="C290" t="str">
            <v>260312UNWQGP7S</v>
          </cell>
          <cell r="M290">
            <v>360000</v>
          </cell>
        </row>
        <row r="291">
          <cell r="C291" t="str">
            <v>260312022V8HUH</v>
          </cell>
          <cell r="M291">
            <v>357000</v>
          </cell>
        </row>
        <row r="292">
          <cell r="C292" t="str">
            <v>260311UF0BJDY2</v>
          </cell>
          <cell r="M292">
            <v>181000</v>
          </cell>
        </row>
        <row r="293">
          <cell r="C293" t="str">
            <v>260311U4CTC0SD</v>
          </cell>
          <cell r="M293">
            <v>181000</v>
          </cell>
        </row>
        <row r="294">
          <cell r="C294" t="str">
            <v>260311TJ6U27TG</v>
          </cell>
          <cell r="M294">
            <v>357000</v>
          </cell>
        </row>
        <row r="295">
          <cell r="C295" t="str">
            <v>260311TGMSUB5F</v>
          </cell>
          <cell r="M295">
            <v>181000</v>
          </cell>
        </row>
        <row r="296">
          <cell r="C296" t="str">
            <v>260311TG2N33S0</v>
          </cell>
          <cell r="M296">
            <v>248000</v>
          </cell>
        </row>
        <row r="297">
          <cell r="C297" t="str">
            <v>260311TF7EBQWH</v>
          </cell>
          <cell r="M297">
            <v>274000</v>
          </cell>
        </row>
        <row r="298">
          <cell r="C298" t="str">
            <v>260311TE6FKGWN</v>
          </cell>
          <cell r="M298">
            <v>401000</v>
          </cell>
        </row>
        <row r="299">
          <cell r="C299" t="str">
            <v>260311TCNERP5N</v>
          </cell>
          <cell r="M299">
            <v>181000</v>
          </cell>
        </row>
        <row r="300">
          <cell r="C300" t="str">
            <v>260311TAQQQPA7</v>
          </cell>
          <cell r="M300">
            <v>307000</v>
          </cell>
        </row>
        <row r="301">
          <cell r="C301" t="str">
            <v>260311T5UV19FM</v>
          </cell>
          <cell r="M301">
            <v>181000</v>
          </cell>
        </row>
        <row r="302">
          <cell r="C302" t="str">
            <v>260311T1TYB4V2</v>
          </cell>
          <cell r="M302">
            <v>145000</v>
          </cell>
        </row>
        <row r="303">
          <cell r="C303" t="str">
            <v>260311SYDDX215</v>
          </cell>
          <cell r="M303">
            <v>251000</v>
          </cell>
        </row>
        <row r="304">
          <cell r="C304" t="str">
            <v>260311S1HY44BG</v>
          </cell>
          <cell r="M304">
            <v>130000</v>
          </cell>
        </row>
        <row r="305">
          <cell r="C305" t="str">
            <v>260311S1HV94XS</v>
          </cell>
          <cell r="M305">
            <v>459000</v>
          </cell>
        </row>
        <row r="306">
          <cell r="C306" t="str">
            <v>260311RYVMXX3H</v>
          </cell>
          <cell r="M306">
            <v>130000</v>
          </cell>
        </row>
        <row r="307">
          <cell r="C307" t="str">
            <v>260311RY6WSBWK</v>
          </cell>
          <cell r="M307">
            <v>365000</v>
          </cell>
        </row>
        <row r="308">
          <cell r="C308" t="str">
            <v>260310RMGXC8GX</v>
          </cell>
          <cell r="M308">
            <v>835000</v>
          </cell>
        </row>
        <row r="309">
          <cell r="C309" t="str">
            <v>2603132A8J16M8</v>
          </cell>
          <cell r="M309">
            <v>268000</v>
          </cell>
        </row>
        <row r="310">
          <cell r="C310" t="str">
            <v>26031327W0DYPG</v>
          </cell>
          <cell r="M310">
            <v>145000</v>
          </cell>
        </row>
        <row r="311">
          <cell r="C311" t="str">
            <v>2603131WSGA94N</v>
          </cell>
          <cell r="M311">
            <v>352000</v>
          </cell>
        </row>
        <row r="312">
          <cell r="C312" t="str">
            <v>260312VTWVTTPQ</v>
          </cell>
          <cell r="M312">
            <v>256000</v>
          </cell>
        </row>
        <row r="313">
          <cell r="C313" t="str">
            <v>260311T9P6V3T8</v>
          </cell>
          <cell r="M313">
            <v>140500</v>
          </cell>
        </row>
        <row r="314">
          <cell r="C314" t="str">
            <v>260311SUEF8PJN</v>
          </cell>
          <cell r="M314">
            <v>248000</v>
          </cell>
        </row>
        <row r="315">
          <cell r="C315" t="str">
            <v>260310R32DH6KP</v>
          </cell>
          <cell r="M315">
            <v>145000</v>
          </cell>
        </row>
        <row r="316">
          <cell r="C316" t="str">
            <v>260310QJAMASYG</v>
          </cell>
          <cell r="M316">
            <v>130000</v>
          </cell>
        </row>
        <row r="317">
          <cell r="C317" t="str">
            <v>260310PJS1PN3X</v>
          </cell>
          <cell r="M317">
            <v>380000</v>
          </cell>
        </row>
        <row r="318">
          <cell r="C318" t="str">
            <v>260312036TE8BV</v>
          </cell>
          <cell r="M318">
            <v>352000</v>
          </cell>
        </row>
        <row r="319">
          <cell r="C319" t="str">
            <v>260311UF1X6JAQ</v>
          </cell>
          <cell r="M319">
            <v>145000</v>
          </cell>
        </row>
        <row r="320">
          <cell r="C320" t="str">
            <v>260311TCR9B0YA</v>
          </cell>
          <cell r="M320">
            <v>145000</v>
          </cell>
        </row>
        <row r="321">
          <cell r="C321" t="str">
            <v>260311TBU6JHME</v>
          </cell>
          <cell r="M321">
            <v>528000</v>
          </cell>
        </row>
        <row r="322">
          <cell r="C322" t="str">
            <v>260311T9QX4YA5</v>
          </cell>
          <cell r="M322">
            <v>145000</v>
          </cell>
        </row>
        <row r="323">
          <cell r="C323" t="str">
            <v>260311T59XT4MC</v>
          </cell>
          <cell r="M323">
            <v>475000</v>
          </cell>
        </row>
        <row r="324">
          <cell r="C324" t="str">
            <v>260311SUVFE34M</v>
          </cell>
          <cell r="M324">
            <v>124000</v>
          </cell>
        </row>
        <row r="325">
          <cell r="C325" t="str">
            <v>260311SN032N8Y</v>
          </cell>
          <cell r="M325">
            <v>130000</v>
          </cell>
        </row>
        <row r="326">
          <cell r="C326" t="str">
            <v>260311S59ECYVU</v>
          </cell>
          <cell r="M326">
            <v>145000</v>
          </cell>
        </row>
        <row r="327">
          <cell r="C327" t="str">
            <v>260310RJ743339</v>
          </cell>
          <cell r="M327">
            <v>375000</v>
          </cell>
        </row>
        <row r="328">
          <cell r="C328" t="str">
            <v>260309NA1QM1JQ</v>
          </cell>
          <cell r="M328">
            <v>280000</v>
          </cell>
        </row>
        <row r="329">
          <cell r="C329" t="str">
            <v>260309N771KQEJ</v>
          </cell>
          <cell r="M329">
            <v>124000</v>
          </cell>
        </row>
        <row r="330">
          <cell r="C330" t="str">
            <v>260309N4MNK0AV</v>
          </cell>
          <cell r="M330">
            <v>181000</v>
          </cell>
        </row>
        <row r="331">
          <cell r="C331" t="str">
            <v>260309MWFW7CUD</v>
          </cell>
          <cell r="M331">
            <v>107000</v>
          </cell>
        </row>
        <row r="332">
          <cell r="C332" t="str">
            <v>260309MW7N2SQM</v>
          </cell>
          <cell r="M332">
            <v>124000</v>
          </cell>
        </row>
        <row r="333">
          <cell r="C333" t="str">
            <v>260309MUVF5PH8</v>
          </cell>
          <cell r="M333">
            <v>274000</v>
          </cell>
        </row>
        <row r="334">
          <cell r="C334" t="str">
            <v>260309MU8PWYEP</v>
          </cell>
          <cell r="M334">
            <v>124000</v>
          </cell>
        </row>
        <row r="335">
          <cell r="C335" t="str">
            <v>260309M33MJS0Q</v>
          </cell>
          <cell r="M335">
            <v>192000</v>
          </cell>
        </row>
        <row r="336">
          <cell r="C336" t="str">
            <v>260309M2T0K0S7</v>
          </cell>
          <cell r="M336">
            <v>145000</v>
          </cell>
        </row>
        <row r="337">
          <cell r="C337" t="str">
            <v>260309M2FHUF9M</v>
          </cell>
          <cell r="M337">
            <v>130000</v>
          </cell>
        </row>
        <row r="338">
          <cell r="C338" t="str">
            <v>260309M10X8W5D</v>
          </cell>
          <cell r="M338">
            <v>140500</v>
          </cell>
        </row>
        <row r="339">
          <cell r="C339" t="str">
            <v>260309KWT7WWNG</v>
          </cell>
          <cell r="M339">
            <v>140500</v>
          </cell>
        </row>
        <row r="340">
          <cell r="C340" t="str">
            <v>260308K6YKNADV</v>
          </cell>
          <cell r="M340">
            <v>167000</v>
          </cell>
        </row>
        <row r="341">
          <cell r="C341" t="str">
            <v>260308JPJEWS6T</v>
          </cell>
          <cell r="M341">
            <v>380000</v>
          </cell>
        </row>
        <row r="342">
          <cell r="C342" t="str">
            <v>260308JJAWMJFU</v>
          </cell>
          <cell r="M342">
            <v>124000</v>
          </cell>
        </row>
        <row r="343">
          <cell r="C343" t="str">
            <v>260311TBBJU942</v>
          </cell>
          <cell r="M343">
            <v>352000</v>
          </cell>
        </row>
        <row r="344">
          <cell r="C344" t="str">
            <v>260311SPBNBQJW</v>
          </cell>
          <cell r="M344">
            <v>181000</v>
          </cell>
        </row>
        <row r="345">
          <cell r="C345" t="str">
            <v>260310R4BQC0WQ</v>
          </cell>
          <cell r="M345">
            <v>352000</v>
          </cell>
        </row>
        <row r="346">
          <cell r="C346" t="str">
            <v>260310R2KMGQ9P</v>
          </cell>
          <cell r="M346">
            <v>130000</v>
          </cell>
        </row>
        <row r="347">
          <cell r="C347" t="str">
            <v>260310R2KAY769</v>
          </cell>
          <cell r="M347">
            <v>380000</v>
          </cell>
        </row>
        <row r="348">
          <cell r="C348" t="str">
            <v>260310QYV6DX9Y</v>
          </cell>
          <cell r="M348">
            <v>124000</v>
          </cell>
        </row>
        <row r="349">
          <cell r="C349" t="str">
            <v>260310QV00FQMA</v>
          </cell>
          <cell r="M349">
            <v>130000</v>
          </cell>
        </row>
        <row r="350">
          <cell r="C350" t="str">
            <v>260310QHHAQEMX</v>
          </cell>
          <cell r="M350">
            <v>352000</v>
          </cell>
        </row>
        <row r="351">
          <cell r="C351" t="str">
            <v>260310QD6VU52J</v>
          </cell>
          <cell r="M351">
            <v>380000</v>
          </cell>
        </row>
        <row r="352">
          <cell r="C352" t="str">
            <v>260310Q4VD556E</v>
          </cell>
          <cell r="M352">
            <v>380000</v>
          </cell>
        </row>
        <row r="353">
          <cell r="C353" t="str">
            <v>260309NK7RKC00</v>
          </cell>
          <cell r="M353">
            <v>272000</v>
          </cell>
        </row>
        <row r="354">
          <cell r="C354" t="str">
            <v>260309NAA2KMAH</v>
          </cell>
          <cell r="M354">
            <v>140500</v>
          </cell>
        </row>
        <row r="355">
          <cell r="C355" t="str">
            <v>260310QWYESS42</v>
          </cell>
          <cell r="M355">
            <v>144000</v>
          </cell>
        </row>
        <row r="356">
          <cell r="C356" t="str">
            <v>260310QWYESS41</v>
          </cell>
          <cell r="M356">
            <v>517500</v>
          </cell>
        </row>
        <row r="357">
          <cell r="C357" t="str">
            <v>260310QEK9V3HB</v>
          </cell>
          <cell r="M357">
            <v>192000</v>
          </cell>
        </row>
        <row r="358">
          <cell r="C358" t="str">
            <v>260310PFRX381H</v>
          </cell>
          <cell r="M358">
            <v>181000</v>
          </cell>
        </row>
        <row r="359">
          <cell r="C359" t="str">
            <v>260309NG34XU2E</v>
          </cell>
          <cell r="M359">
            <v>268000</v>
          </cell>
        </row>
        <row r="360">
          <cell r="C360" t="str">
            <v>260309MWEXPEVK</v>
          </cell>
          <cell r="M360">
            <v>357000</v>
          </cell>
        </row>
        <row r="361">
          <cell r="C361" t="str">
            <v>260309MT907A6M</v>
          </cell>
          <cell r="M361">
            <v>365000</v>
          </cell>
        </row>
        <row r="362">
          <cell r="C362" t="str">
            <v>260308KT4QGY1R</v>
          </cell>
          <cell r="M362">
            <v>181000</v>
          </cell>
        </row>
        <row r="363">
          <cell r="C363" t="str">
            <v>260308JJ13V239</v>
          </cell>
          <cell r="M363">
            <v>181000</v>
          </cell>
        </row>
        <row r="364">
          <cell r="C364" t="str">
            <v>260308JB8WXKE7</v>
          </cell>
          <cell r="M364">
            <v>315000</v>
          </cell>
        </row>
        <row r="365">
          <cell r="C365" t="str">
            <v>260307FXTX1EYG</v>
          </cell>
          <cell r="M365">
            <v>124000</v>
          </cell>
        </row>
        <row r="366">
          <cell r="C366" t="str">
            <v>260308KRQ79BQ1</v>
          </cell>
          <cell r="M366">
            <v>352000</v>
          </cell>
        </row>
        <row r="367">
          <cell r="C367" t="str">
            <v>260308K214YC7S</v>
          </cell>
          <cell r="M367">
            <v>130000</v>
          </cell>
        </row>
        <row r="368">
          <cell r="C368" t="str">
            <v>260308K1UDUY0J</v>
          </cell>
          <cell r="M368">
            <v>107000</v>
          </cell>
        </row>
        <row r="369">
          <cell r="C369" t="str">
            <v>260308K1HF92H7</v>
          </cell>
          <cell r="M369">
            <v>145000</v>
          </cell>
        </row>
        <row r="370">
          <cell r="C370" t="str">
            <v>260308JWE7AB3M</v>
          </cell>
          <cell r="M370">
            <v>181000</v>
          </cell>
        </row>
        <row r="371">
          <cell r="C371" t="str">
            <v>260307H8AKAFEJ</v>
          </cell>
          <cell r="M371">
            <v>124000</v>
          </cell>
        </row>
        <row r="372">
          <cell r="C372" t="str">
            <v>260306ESQ1H770</v>
          </cell>
          <cell r="M372">
            <v>130000</v>
          </cell>
        </row>
        <row r="373">
          <cell r="C373" t="str">
            <v>260306DWUDGV38</v>
          </cell>
          <cell r="M373">
            <v>124000</v>
          </cell>
        </row>
        <row r="374">
          <cell r="C374" t="str">
            <v>260306DVQ8NF20</v>
          </cell>
          <cell r="M374">
            <v>352000</v>
          </cell>
        </row>
        <row r="375">
          <cell r="C375" t="str">
            <v>260306DV8FNXQW</v>
          </cell>
          <cell r="M375">
            <v>357000</v>
          </cell>
        </row>
        <row r="376">
          <cell r="C376" t="str">
            <v>260306DTYP2H0F</v>
          </cell>
          <cell r="M376">
            <v>140500</v>
          </cell>
        </row>
        <row r="377">
          <cell r="C377" t="str">
            <v>260305C91P1H8F</v>
          </cell>
          <cell r="M377">
            <v>363000</v>
          </cell>
        </row>
        <row r="378">
          <cell r="C378" t="str">
            <v>260305C2RC0KMB</v>
          </cell>
          <cell r="M378">
            <v>124000</v>
          </cell>
        </row>
        <row r="379">
          <cell r="C379" t="str">
            <v>260307G4JQATF9</v>
          </cell>
          <cell r="M379">
            <v>380000</v>
          </cell>
        </row>
        <row r="380">
          <cell r="C380" t="str">
            <v>260307FYQ9YHVK</v>
          </cell>
          <cell r="M380">
            <v>145000</v>
          </cell>
        </row>
        <row r="381">
          <cell r="C381" t="str">
            <v>260305BE2V87V1</v>
          </cell>
          <cell r="M381">
            <v>145000</v>
          </cell>
        </row>
        <row r="382">
          <cell r="C382" t="str">
            <v>260305BD2WX5N8</v>
          </cell>
          <cell r="M382">
            <v>835000</v>
          </cell>
        </row>
        <row r="383">
          <cell r="C383" t="str">
            <v>260305BBBHYT7M</v>
          </cell>
          <cell r="M383">
            <v>192000</v>
          </cell>
        </row>
        <row r="384">
          <cell r="C384" t="str">
            <v>260305B5VG29N9</v>
          </cell>
          <cell r="M384">
            <v>185000</v>
          </cell>
        </row>
        <row r="385">
          <cell r="C385" t="str">
            <v>260305B5EHRDXK</v>
          </cell>
          <cell r="M385">
            <v>124000</v>
          </cell>
        </row>
        <row r="386">
          <cell r="C386" t="str">
            <v>260305AXNK1AFE</v>
          </cell>
          <cell r="M386">
            <v>357000</v>
          </cell>
        </row>
        <row r="387">
          <cell r="C387" t="str">
            <v>260305ASDWNW1Y</v>
          </cell>
          <cell r="M387">
            <v>280000</v>
          </cell>
        </row>
        <row r="388">
          <cell r="C388" t="str">
            <v>260307GHVP8930</v>
          </cell>
          <cell r="M388">
            <v>789000</v>
          </cell>
        </row>
        <row r="389">
          <cell r="C389" t="str">
            <v>260306DQE9CG6N</v>
          </cell>
          <cell r="M389">
            <v>365000</v>
          </cell>
        </row>
        <row r="390">
          <cell r="C390" t="str">
            <v>260306DHH6B9Y5</v>
          </cell>
          <cell r="M390">
            <v>157000</v>
          </cell>
        </row>
        <row r="391">
          <cell r="C391" t="str">
            <v>260306D49JT8D9</v>
          </cell>
          <cell r="M391">
            <v>502000</v>
          </cell>
        </row>
        <row r="392">
          <cell r="C392" t="str">
            <v>260305BUWDCRKY</v>
          </cell>
          <cell r="M392">
            <v>192000</v>
          </cell>
        </row>
        <row r="393">
          <cell r="C393" t="str">
            <v>260305B6652VGA</v>
          </cell>
          <cell r="M393">
            <v>357000</v>
          </cell>
        </row>
        <row r="394">
          <cell r="C394" t="str">
            <v>2603048H2A3X4C</v>
          </cell>
          <cell r="M394">
            <v>192000</v>
          </cell>
        </row>
        <row r="395">
          <cell r="C395" t="str">
            <v>2603048628BED7</v>
          </cell>
          <cell r="M395">
            <v>124000</v>
          </cell>
        </row>
        <row r="396">
          <cell r="C396" t="str">
            <v>26030485K8M5MR</v>
          </cell>
          <cell r="M396">
            <v>192000</v>
          </cell>
        </row>
        <row r="397">
          <cell r="C397" t="str">
            <v>2603047GGXTH21</v>
          </cell>
          <cell r="M397">
            <v>124000</v>
          </cell>
        </row>
        <row r="398">
          <cell r="C398" t="str">
            <v>2603047E680RTC</v>
          </cell>
          <cell r="M398">
            <v>357000</v>
          </cell>
        </row>
        <row r="399">
          <cell r="C399" t="str">
            <v>2603047C1C2B8X</v>
          </cell>
          <cell r="M399">
            <v>284500</v>
          </cell>
        </row>
        <row r="400">
          <cell r="C400" t="str">
            <v>2603037A2X20VM</v>
          </cell>
          <cell r="M400">
            <v>124000</v>
          </cell>
        </row>
        <row r="401">
          <cell r="C401" t="str">
            <v>2603037A284RSP</v>
          </cell>
          <cell r="M401">
            <v>357000</v>
          </cell>
        </row>
        <row r="402">
          <cell r="C402" t="str">
            <v>2603037931KMNE</v>
          </cell>
          <cell r="M402">
            <v>140500</v>
          </cell>
        </row>
        <row r="403">
          <cell r="C403" t="str">
            <v>26030378VUA843</v>
          </cell>
          <cell r="M403">
            <v>181000</v>
          </cell>
        </row>
        <row r="404">
          <cell r="C404" t="str">
            <v>260303782EA0FE</v>
          </cell>
          <cell r="M404">
            <v>181000</v>
          </cell>
        </row>
        <row r="405">
          <cell r="C405" t="str">
            <v>26030377S8MKT5</v>
          </cell>
          <cell r="M405">
            <v>181000</v>
          </cell>
        </row>
        <row r="406">
          <cell r="C406" t="str">
            <v>26030377DTD5MV</v>
          </cell>
          <cell r="M406">
            <v>181000</v>
          </cell>
        </row>
        <row r="407">
          <cell r="C407" t="str">
            <v>260303760X5F4B</v>
          </cell>
          <cell r="M407">
            <v>268000</v>
          </cell>
        </row>
        <row r="408">
          <cell r="C408" t="str">
            <v>26030375RYHWWK</v>
          </cell>
          <cell r="M408">
            <v>357000</v>
          </cell>
        </row>
        <row r="409">
          <cell r="C409" t="str">
            <v>26030375P05PRF</v>
          </cell>
          <cell r="M409">
            <v>357000</v>
          </cell>
        </row>
        <row r="410">
          <cell r="C410" t="str">
            <v>26030374YVJK9C</v>
          </cell>
          <cell r="M410">
            <v>181000</v>
          </cell>
        </row>
        <row r="411">
          <cell r="C411" t="str">
            <v>260303746A92C0</v>
          </cell>
          <cell r="M411">
            <v>124000</v>
          </cell>
        </row>
        <row r="412">
          <cell r="C412" t="str">
            <v>26030371FG6NXR</v>
          </cell>
          <cell r="M412">
            <v>181000</v>
          </cell>
        </row>
        <row r="413">
          <cell r="C413" t="str">
            <v>2603036WPVQVYV</v>
          </cell>
          <cell r="M413">
            <v>357000</v>
          </cell>
        </row>
        <row r="414">
          <cell r="C414" t="str">
            <v>2603036C4VARSF</v>
          </cell>
          <cell r="M414">
            <v>540000</v>
          </cell>
        </row>
        <row r="415">
          <cell r="C415" t="str">
            <v>2603034XJ0Y9NU</v>
          </cell>
          <cell r="M415">
            <v>181000</v>
          </cell>
        </row>
        <row r="416">
          <cell r="C416" t="str">
            <v>260305C5YJKCJV</v>
          </cell>
          <cell r="M416">
            <v>130000</v>
          </cell>
        </row>
        <row r="417">
          <cell r="C417" t="str">
            <v>260305B6TWSCHJ</v>
          </cell>
          <cell r="M417">
            <v>107000</v>
          </cell>
        </row>
        <row r="418">
          <cell r="C418" t="str">
            <v>260305AU7QRHK6</v>
          </cell>
          <cell r="M418">
            <v>130000</v>
          </cell>
        </row>
        <row r="419">
          <cell r="C419" t="str">
            <v>2603048GS4CJEU</v>
          </cell>
          <cell r="M419">
            <v>242000</v>
          </cell>
        </row>
        <row r="420">
          <cell r="C420" t="str">
            <v>2603047C8HW6M6</v>
          </cell>
          <cell r="M420">
            <v>268000</v>
          </cell>
        </row>
        <row r="421">
          <cell r="C421" t="str">
            <v>2603036FETK1A0</v>
          </cell>
          <cell r="M421">
            <v>250000</v>
          </cell>
        </row>
        <row r="422">
          <cell r="C422" t="str">
            <v>2603036F2SAR5U</v>
          </cell>
          <cell r="M422">
            <v>181000</v>
          </cell>
        </row>
        <row r="423">
          <cell r="C423" t="str">
            <v>2603036DFJVNGG</v>
          </cell>
          <cell r="M423">
            <v>500500</v>
          </cell>
        </row>
        <row r="424">
          <cell r="C424" t="str">
            <v>2603036CQEDFEM</v>
          </cell>
          <cell r="M424">
            <v>123000</v>
          </cell>
        </row>
        <row r="425">
          <cell r="C425" t="str">
            <v>26030368SRRQ6H</v>
          </cell>
          <cell r="M425">
            <v>357000</v>
          </cell>
        </row>
        <row r="426">
          <cell r="C426" t="str">
            <v>26030367CG59V1</v>
          </cell>
          <cell r="M426">
            <v>275000</v>
          </cell>
        </row>
        <row r="427">
          <cell r="C427" t="str">
            <v>26030366NVCAU5</v>
          </cell>
          <cell r="M427">
            <v>124000</v>
          </cell>
        </row>
        <row r="428">
          <cell r="C428" t="str">
            <v>26030366M51J67</v>
          </cell>
          <cell r="M428">
            <v>357000</v>
          </cell>
        </row>
        <row r="429">
          <cell r="C429" t="str">
            <v>260303654YCBXR</v>
          </cell>
          <cell r="M429">
            <v>124000</v>
          </cell>
        </row>
        <row r="430">
          <cell r="C430" t="str">
            <v>260303605H5YNX</v>
          </cell>
          <cell r="M430">
            <v>106000</v>
          </cell>
        </row>
        <row r="431">
          <cell r="C431" t="str">
            <v>2603035XVUDKUM</v>
          </cell>
          <cell r="M431">
            <v>140500</v>
          </cell>
        </row>
        <row r="432">
          <cell r="C432" t="str">
            <v>2603035VHATUGW</v>
          </cell>
          <cell r="M432">
            <v>140500</v>
          </cell>
        </row>
        <row r="433">
          <cell r="C433" t="str">
            <v>2603035VCG9DGK</v>
          </cell>
          <cell r="M433">
            <v>181000</v>
          </cell>
        </row>
        <row r="434">
          <cell r="C434" t="str">
            <v>2603035V303K9S</v>
          </cell>
          <cell r="M434">
            <v>428500</v>
          </cell>
        </row>
        <row r="435">
          <cell r="C435" t="str">
            <v>26030353XB5V7U</v>
          </cell>
          <cell r="M435">
            <v>554500</v>
          </cell>
        </row>
        <row r="436">
          <cell r="C436" t="str">
            <v>26030352TRE7UQ</v>
          </cell>
          <cell r="M436">
            <v>181000</v>
          </cell>
        </row>
        <row r="437">
          <cell r="C437" t="str">
            <v>26030352QKDM24</v>
          </cell>
          <cell r="M437">
            <v>140500</v>
          </cell>
        </row>
        <row r="438">
          <cell r="C438" t="str">
            <v>260303512MNX1X</v>
          </cell>
          <cell r="M438">
            <v>357000</v>
          </cell>
        </row>
        <row r="439">
          <cell r="C439" t="str">
            <v>260303511YQE01</v>
          </cell>
          <cell r="M439">
            <v>357000</v>
          </cell>
        </row>
        <row r="440">
          <cell r="C440" t="str">
            <v>260303504TYPNU</v>
          </cell>
          <cell r="M440">
            <v>268000</v>
          </cell>
        </row>
        <row r="441">
          <cell r="C441" t="str">
            <v>2603034YK8BEG9</v>
          </cell>
          <cell r="M441">
            <v>793500</v>
          </cell>
        </row>
        <row r="442">
          <cell r="C442" t="str">
            <v>2603034YFG6VYG</v>
          </cell>
          <cell r="M442">
            <v>357000</v>
          </cell>
        </row>
        <row r="443">
          <cell r="C443" t="str">
            <v>2603034YFEAPHK</v>
          </cell>
          <cell r="M443">
            <v>106000</v>
          </cell>
        </row>
        <row r="444">
          <cell r="C444" t="str">
            <v>2603034Y11NQM0</v>
          </cell>
          <cell r="M444">
            <v>181000</v>
          </cell>
        </row>
        <row r="445">
          <cell r="C445" t="str">
            <v>2603034XR6CRYN</v>
          </cell>
          <cell r="M445">
            <v>123000</v>
          </cell>
        </row>
        <row r="446">
          <cell r="C446" t="str">
            <v>2603034XKY1APW</v>
          </cell>
          <cell r="M446">
            <v>249000</v>
          </cell>
        </row>
        <row r="447">
          <cell r="C447" t="str">
            <v>2603034XK9164V</v>
          </cell>
          <cell r="M447">
            <v>140500</v>
          </cell>
        </row>
        <row r="448">
          <cell r="C448" t="str">
            <v>2603034XCYUWGQ</v>
          </cell>
          <cell r="M448">
            <v>181000</v>
          </cell>
        </row>
        <row r="449">
          <cell r="C449" t="str">
            <v>2603034XBF5KQK</v>
          </cell>
          <cell r="M449">
            <v>276000</v>
          </cell>
        </row>
        <row r="450">
          <cell r="C450" t="str">
            <v>2603024ECN76D6</v>
          </cell>
          <cell r="M450">
            <v>380000</v>
          </cell>
        </row>
        <row r="451">
          <cell r="C451" t="str">
            <v>2603024DMDUFJ2</v>
          </cell>
          <cell r="M451">
            <v>365000</v>
          </cell>
        </row>
        <row r="452">
          <cell r="C452" t="str">
            <v>260305B92AU0QC</v>
          </cell>
          <cell r="M452">
            <v>124000</v>
          </cell>
        </row>
        <row r="453">
          <cell r="C453" t="str">
            <v>260305B11Y8F25</v>
          </cell>
          <cell r="M453">
            <v>124000</v>
          </cell>
        </row>
        <row r="454">
          <cell r="C454" t="str">
            <v>2603048STMDXVK</v>
          </cell>
          <cell r="M454">
            <v>363000</v>
          </cell>
        </row>
        <row r="455">
          <cell r="C455" t="str">
            <v>2603048EU2STB1</v>
          </cell>
          <cell r="M455">
            <v>361000</v>
          </cell>
        </row>
        <row r="456">
          <cell r="C456" t="str">
            <v>2603048E9PUU35</v>
          </cell>
          <cell r="M456">
            <v>357000</v>
          </cell>
        </row>
        <row r="457">
          <cell r="C457" t="str">
            <v>2603047DCAAC6A</v>
          </cell>
          <cell r="M457">
            <v>181000</v>
          </cell>
        </row>
        <row r="458">
          <cell r="C458" t="str">
            <v>2603037AWGS27C</v>
          </cell>
          <cell r="M458">
            <v>357000</v>
          </cell>
        </row>
        <row r="459">
          <cell r="C459" t="str">
            <v>26030379250AEU</v>
          </cell>
          <cell r="M459">
            <v>124000</v>
          </cell>
        </row>
        <row r="460">
          <cell r="C460" t="str">
            <v>26030378YWG1P0</v>
          </cell>
          <cell r="M460">
            <v>124000</v>
          </cell>
        </row>
        <row r="461">
          <cell r="C461" t="str">
            <v>26030378F4KT5X</v>
          </cell>
          <cell r="M461">
            <v>250000</v>
          </cell>
        </row>
        <row r="462">
          <cell r="C462" t="str">
            <v>2603036FHVURB9</v>
          </cell>
          <cell r="M462">
            <v>140500</v>
          </cell>
        </row>
        <row r="463">
          <cell r="C463" t="str">
            <v>2603036D9Q1JHD</v>
          </cell>
          <cell r="M463">
            <v>357000</v>
          </cell>
        </row>
        <row r="464">
          <cell r="C464" t="str">
            <v>2603036961QEAY</v>
          </cell>
          <cell r="M464">
            <v>123000</v>
          </cell>
        </row>
        <row r="465">
          <cell r="C465" t="str">
            <v>26030353WMA4QY</v>
          </cell>
          <cell r="M465">
            <v>266500</v>
          </cell>
        </row>
        <row r="466">
          <cell r="C466" t="str">
            <v>2603034XDKWA84</v>
          </cell>
          <cell r="M466">
            <v>352000</v>
          </cell>
        </row>
        <row r="467">
          <cell r="C467" t="str">
            <v>2603023V6PSBJ3</v>
          </cell>
          <cell r="M467">
            <v>145000</v>
          </cell>
        </row>
        <row r="468">
          <cell r="C468" t="str">
            <v>2603023BQRUVU4</v>
          </cell>
          <cell r="M468">
            <v>424000</v>
          </cell>
        </row>
        <row r="469">
          <cell r="C469" t="str">
            <v>2603023B668A2D</v>
          </cell>
          <cell r="M469">
            <v>316000</v>
          </cell>
        </row>
        <row r="470">
          <cell r="C470" t="str">
            <v>26030233CJA0K0</v>
          </cell>
          <cell r="M470">
            <v>145000</v>
          </cell>
        </row>
        <row r="471">
          <cell r="C471" t="str">
            <v>2603022FC7MCTE</v>
          </cell>
          <cell r="M471">
            <v>107000</v>
          </cell>
        </row>
        <row r="472">
          <cell r="C472" t="str">
            <v>2603022DYXDKSM</v>
          </cell>
          <cell r="M472">
            <v>181000</v>
          </cell>
        </row>
        <row r="473">
          <cell r="C473" t="str">
            <v>2603022CSRSV77</v>
          </cell>
          <cell r="M473">
            <v>380000</v>
          </cell>
        </row>
        <row r="474">
          <cell r="C474" t="str">
            <v>2603011MHGDGV4</v>
          </cell>
          <cell r="M474">
            <v>145000</v>
          </cell>
        </row>
        <row r="475">
          <cell r="C475" t="str">
            <v>26030119MFXFK4</v>
          </cell>
          <cell r="M475">
            <v>357000</v>
          </cell>
        </row>
        <row r="476">
          <cell r="C476" t="str">
            <v>26030114GPHKUT</v>
          </cell>
          <cell r="M476">
            <v>272000</v>
          </cell>
        </row>
        <row r="477">
          <cell r="C477" t="str">
            <v>2603010KG334R5</v>
          </cell>
          <cell r="M477">
            <v>185000</v>
          </cell>
        </row>
        <row r="478">
          <cell r="C478" t="str">
            <v>260227SGGF8P2H</v>
          </cell>
          <cell r="M478">
            <v>107000</v>
          </cell>
        </row>
        <row r="479">
          <cell r="C479" t="str">
            <v>26030491873FR8</v>
          </cell>
          <cell r="M479">
            <v>124000</v>
          </cell>
        </row>
        <row r="480">
          <cell r="C480" t="str">
            <v>2603048R5HVA8H</v>
          </cell>
          <cell r="M480">
            <v>216000</v>
          </cell>
        </row>
        <row r="481">
          <cell r="C481" t="str">
            <v>2603047EVQ0CC5</v>
          </cell>
          <cell r="M481">
            <v>181000</v>
          </cell>
        </row>
        <row r="482">
          <cell r="C482" t="str">
            <v>2603047D047VS1</v>
          </cell>
          <cell r="M482">
            <v>529000</v>
          </cell>
        </row>
        <row r="483">
          <cell r="C483" t="str">
            <v>26030378JWPF7B</v>
          </cell>
          <cell r="M483">
            <v>784000</v>
          </cell>
        </row>
        <row r="484">
          <cell r="C484" t="str">
            <v>2603036K7QNHJG</v>
          </cell>
          <cell r="M484">
            <v>124000</v>
          </cell>
        </row>
        <row r="485">
          <cell r="C485" t="str">
            <v>2603036JXC6527</v>
          </cell>
          <cell r="M485">
            <v>789000</v>
          </cell>
        </row>
        <row r="486">
          <cell r="C486" t="str">
            <v>2603036C4B5TER</v>
          </cell>
          <cell r="M486">
            <v>181000</v>
          </cell>
        </row>
        <row r="487">
          <cell r="C487" t="str">
            <v>26030369BH6WRA</v>
          </cell>
          <cell r="M487">
            <v>181000</v>
          </cell>
        </row>
        <row r="488">
          <cell r="C488" t="str">
            <v>26030367XNWQ4Q</v>
          </cell>
          <cell r="M488">
            <v>357000</v>
          </cell>
        </row>
        <row r="489">
          <cell r="C489" t="str">
            <v>26030364Q5TQN2</v>
          </cell>
          <cell r="M489">
            <v>307000</v>
          </cell>
        </row>
        <row r="490">
          <cell r="C490" t="str">
            <v>26030364M6EARA</v>
          </cell>
          <cell r="M490">
            <v>357000</v>
          </cell>
        </row>
        <row r="491">
          <cell r="C491" t="str">
            <v>26030364BGXMHJ</v>
          </cell>
          <cell r="M491">
            <v>357000</v>
          </cell>
        </row>
        <row r="492">
          <cell r="C492" t="str">
            <v>26030363VWN0PQ</v>
          </cell>
          <cell r="M492">
            <v>181000</v>
          </cell>
        </row>
        <row r="493">
          <cell r="C493" t="str">
            <v>26030361YH24WV</v>
          </cell>
          <cell r="M493">
            <v>181000</v>
          </cell>
        </row>
        <row r="494">
          <cell r="C494" t="str">
            <v>26030360W0PF8H</v>
          </cell>
          <cell r="M494">
            <v>250000</v>
          </cell>
        </row>
        <row r="495">
          <cell r="C495" t="str">
            <v>26030360RMGMGQ</v>
          </cell>
          <cell r="M495">
            <v>527500</v>
          </cell>
        </row>
        <row r="496">
          <cell r="C496" t="str">
            <v>2603035X583BBP</v>
          </cell>
          <cell r="M496">
            <v>307000</v>
          </cell>
        </row>
        <row r="497">
          <cell r="C497" t="str">
            <v>2603035VSTKE3D</v>
          </cell>
          <cell r="M497">
            <v>297000</v>
          </cell>
        </row>
        <row r="498">
          <cell r="C498" t="str">
            <v>2603035VCYJQQM</v>
          </cell>
          <cell r="M498">
            <v>250000</v>
          </cell>
        </row>
        <row r="499">
          <cell r="C499" t="str">
            <v>2603035UTAMBF1</v>
          </cell>
          <cell r="M499">
            <v>276000</v>
          </cell>
        </row>
        <row r="500">
          <cell r="C500" t="str">
            <v>2603035UGC11C3</v>
          </cell>
          <cell r="M500">
            <v>623000</v>
          </cell>
        </row>
        <row r="501">
          <cell r="C501" t="str">
            <v>2603035RVVT2YK</v>
          </cell>
          <cell r="M501">
            <v>124000</v>
          </cell>
        </row>
        <row r="502">
          <cell r="C502" t="str">
            <v>2603035MNWNJUU</v>
          </cell>
          <cell r="M502">
            <v>357000</v>
          </cell>
        </row>
        <row r="503">
          <cell r="C503" t="str">
            <v>2603035K9JHS47</v>
          </cell>
          <cell r="M503">
            <v>140500</v>
          </cell>
        </row>
        <row r="504">
          <cell r="C504" t="str">
            <v>26030357Q4DEVC</v>
          </cell>
          <cell r="M504">
            <v>140500</v>
          </cell>
        </row>
        <row r="505">
          <cell r="C505" t="str">
            <v>26030353W23EAH</v>
          </cell>
          <cell r="M505">
            <v>106000</v>
          </cell>
        </row>
        <row r="506">
          <cell r="C506" t="str">
            <v>26030350VN029R</v>
          </cell>
          <cell r="M506">
            <v>232000</v>
          </cell>
        </row>
        <row r="507">
          <cell r="C507" t="str">
            <v>2603034XTFUJ97</v>
          </cell>
          <cell r="M507">
            <v>357000</v>
          </cell>
        </row>
        <row r="508">
          <cell r="C508" t="str">
            <v>2603034XTDWUR6</v>
          </cell>
          <cell r="M508">
            <v>140500</v>
          </cell>
        </row>
        <row r="509">
          <cell r="C509" t="str">
            <v>2603034XMWFPT5</v>
          </cell>
          <cell r="M509">
            <v>181000</v>
          </cell>
        </row>
        <row r="510">
          <cell r="C510" t="str">
            <v>2603034XJRVK05</v>
          </cell>
          <cell r="M510">
            <v>357000</v>
          </cell>
        </row>
        <row r="511">
          <cell r="C511" t="str">
            <v>2603034XJ7Q4UW</v>
          </cell>
          <cell r="M511">
            <v>355000</v>
          </cell>
        </row>
        <row r="512">
          <cell r="C512" t="str">
            <v>2603034XG8R7JK</v>
          </cell>
          <cell r="M512">
            <v>140500</v>
          </cell>
        </row>
        <row r="513">
          <cell r="C513" t="str">
            <v>2603034XFEXJ0G</v>
          </cell>
          <cell r="M513">
            <v>123000</v>
          </cell>
        </row>
        <row r="514">
          <cell r="C514" t="str">
            <v>2603034XCFNJKS</v>
          </cell>
          <cell r="M514">
            <v>106000</v>
          </cell>
        </row>
        <row r="515">
          <cell r="C515" t="str">
            <v>2603034W0D4QV9</v>
          </cell>
          <cell r="M515">
            <v>124000</v>
          </cell>
        </row>
        <row r="516">
          <cell r="C516" t="str">
            <v>2603024RDFFESA</v>
          </cell>
          <cell r="M516">
            <v>124000</v>
          </cell>
        </row>
        <row r="517">
          <cell r="C517" t="str">
            <v>2603023XC2XB6S</v>
          </cell>
          <cell r="M517">
            <v>274000</v>
          </cell>
        </row>
        <row r="518">
          <cell r="C518" t="str">
            <v>2603023KE3YDNH</v>
          </cell>
          <cell r="M518">
            <v>274000</v>
          </cell>
        </row>
        <row r="519">
          <cell r="C519" t="str">
            <v>260301W2QGR51T</v>
          </cell>
          <cell r="M519">
            <v>124000</v>
          </cell>
        </row>
        <row r="520">
          <cell r="C520" t="str">
            <v>2603036CE4XQB5</v>
          </cell>
          <cell r="M520">
            <v>123000</v>
          </cell>
        </row>
        <row r="521">
          <cell r="C521" t="str">
            <v>2603036C5TSF34</v>
          </cell>
          <cell r="M521">
            <v>140500</v>
          </cell>
        </row>
        <row r="522">
          <cell r="C522" t="str">
            <v>26030368MVBSHA</v>
          </cell>
          <cell r="M522">
            <v>123000</v>
          </cell>
        </row>
        <row r="523">
          <cell r="C523" t="str">
            <v>26030367TS12XP</v>
          </cell>
          <cell r="M523">
            <v>140500</v>
          </cell>
        </row>
        <row r="524">
          <cell r="C524" t="str">
            <v>2603035JQT6EHK</v>
          </cell>
          <cell r="M524">
            <v>140500</v>
          </cell>
        </row>
        <row r="525">
          <cell r="C525" t="str">
            <v>2603035HN35GG2</v>
          </cell>
          <cell r="M525">
            <v>280000</v>
          </cell>
        </row>
        <row r="526">
          <cell r="C526" t="str">
            <v>2603035B2N8EWW</v>
          </cell>
          <cell r="M526">
            <v>276000</v>
          </cell>
        </row>
        <row r="527">
          <cell r="C527" t="str">
            <v>260303593K97N9</v>
          </cell>
          <cell r="M527">
            <v>357000</v>
          </cell>
        </row>
        <row r="528">
          <cell r="C528" t="str">
            <v>2603035752EUF5</v>
          </cell>
          <cell r="M528">
            <v>357000</v>
          </cell>
        </row>
        <row r="529">
          <cell r="C529" t="str">
            <v>2603034YUMCD3S</v>
          </cell>
          <cell r="M529">
            <v>356500</v>
          </cell>
        </row>
        <row r="530">
          <cell r="C530" t="str">
            <v>2603034YJR5E8J</v>
          </cell>
          <cell r="M530">
            <v>106000</v>
          </cell>
        </row>
        <row r="531">
          <cell r="C531" t="str">
            <v>2603034YBAPT0X</v>
          </cell>
          <cell r="M531">
            <v>140500</v>
          </cell>
        </row>
        <row r="532">
          <cell r="C532" t="str">
            <v>2603034XCFM34D</v>
          </cell>
          <cell r="M532">
            <v>154000</v>
          </cell>
        </row>
        <row r="533">
          <cell r="C533" t="str">
            <v>2603034X1EQ8XS</v>
          </cell>
          <cell r="M533">
            <v>365000</v>
          </cell>
        </row>
        <row r="534">
          <cell r="C534" t="str">
            <v>2603024E4B42U7</v>
          </cell>
          <cell r="M534">
            <v>192000</v>
          </cell>
        </row>
        <row r="535">
          <cell r="C535" t="str">
            <v>2603023SANUC10</v>
          </cell>
          <cell r="M535">
            <v>145000</v>
          </cell>
        </row>
        <row r="536">
          <cell r="C536" t="str">
            <v>2603023QG4VYS8</v>
          </cell>
          <cell r="M536">
            <v>267500</v>
          </cell>
        </row>
        <row r="537">
          <cell r="C537" t="str">
            <v>2603023P7VCWPW</v>
          </cell>
          <cell r="M537">
            <v>124000</v>
          </cell>
        </row>
        <row r="538">
          <cell r="C538" t="str">
            <v>2603023KHNFGFK</v>
          </cell>
          <cell r="M538">
            <v>375000</v>
          </cell>
        </row>
        <row r="539">
          <cell r="C539" t="str">
            <v>2603023A292BX1</v>
          </cell>
          <cell r="M539">
            <v>375000</v>
          </cell>
        </row>
        <row r="540">
          <cell r="C540" t="str">
            <v>2603022BT9NPCN</v>
          </cell>
          <cell r="M540">
            <v>145000</v>
          </cell>
        </row>
        <row r="541">
          <cell r="C541" t="str">
            <v>2603022B57FQUK</v>
          </cell>
          <cell r="M541">
            <v>124000</v>
          </cell>
        </row>
        <row r="542">
          <cell r="C542" t="str">
            <v>260301292E8R5K</v>
          </cell>
          <cell r="M542">
            <v>140500</v>
          </cell>
        </row>
        <row r="543">
          <cell r="C543" t="str">
            <v>2603011CM0F8WX</v>
          </cell>
          <cell r="M543">
            <v>268000</v>
          </cell>
        </row>
        <row r="544">
          <cell r="C544" t="str">
            <v>260228V7A3NMXT</v>
          </cell>
          <cell r="M544">
            <v>124000</v>
          </cell>
        </row>
        <row r="545">
          <cell r="C545" t="str">
            <v>260228V288908R</v>
          </cell>
          <cell r="M545">
            <v>365000</v>
          </cell>
        </row>
        <row r="546">
          <cell r="C546" t="str">
            <v>260228UP8B21X7</v>
          </cell>
          <cell r="M546">
            <v>426500</v>
          </cell>
        </row>
        <row r="547">
          <cell r="C547" t="str">
            <v>26030129SQ2WG9</v>
          </cell>
          <cell r="M547">
            <v>192000</v>
          </cell>
        </row>
        <row r="548">
          <cell r="C548" t="str">
            <v>26030127YBU11S</v>
          </cell>
          <cell r="M548">
            <v>380000</v>
          </cell>
        </row>
        <row r="549">
          <cell r="C549" t="str">
            <v>2603011KT5PF7H</v>
          </cell>
          <cell r="M549">
            <v>181000</v>
          </cell>
        </row>
        <row r="550">
          <cell r="C550" t="str">
            <v>26030112X29RAJ</v>
          </cell>
          <cell r="M550">
            <v>145000</v>
          </cell>
        </row>
        <row r="551">
          <cell r="C551" t="str">
            <v>260228VEJ8T7GU</v>
          </cell>
          <cell r="M551">
            <v>130000</v>
          </cell>
        </row>
        <row r="552">
          <cell r="C552" t="str">
            <v>260228UN3DCNAR</v>
          </cell>
          <cell r="M552">
            <v>357000</v>
          </cell>
        </row>
        <row r="553">
          <cell r="C553" t="str">
            <v>260227SFFYTVCE</v>
          </cell>
          <cell r="M553">
            <v>181000</v>
          </cell>
        </row>
        <row r="554">
          <cell r="C554" t="str">
            <v>260227SDVHQ48E</v>
          </cell>
          <cell r="M554">
            <v>375000</v>
          </cell>
        </row>
        <row r="555">
          <cell r="C555" t="str">
            <v>260227SBAEDNF8</v>
          </cell>
          <cell r="M555">
            <v>380000</v>
          </cell>
        </row>
        <row r="556">
          <cell r="C556" t="str">
            <v>260227S2HPQRJG</v>
          </cell>
          <cell r="M556">
            <v>124000</v>
          </cell>
        </row>
        <row r="557">
          <cell r="C557" t="str">
            <v>260227S09C720T</v>
          </cell>
          <cell r="M557">
            <v>488000</v>
          </cell>
        </row>
        <row r="558">
          <cell r="C558" t="str">
            <v>260226Q2H6252U</v>
          </cell>
          <cell r="M558">
            <v>124000</v>
          </cell>
        </row>
        <row r="559">
          <cell r="C559" t="str">
            <v>260224HTBBPE5M</v>
          </cell>
          <cell r="M559">
            <v>357000</v>
          </cell>
        </row>
        <row r="560">
          <cell r="C560" t="str">
            <v>260228UYS2AH0N</v>
          </cell>
          <cell r="M560">
            <v>124000</v>
          </cell>
        </row>
        <row r="561">
          <cell r="C561" t="str">
            <v>260228UKUVTC6B</v>
          </cell>
          <cell r="M561">
            <v>130000</v>
          </cell>
        </row>
        <row r="562">
          <cell r="C562" t="str">
            <v>260228UHKQ0A62</v>
          </cell>
          <cell r="M562">
            <v>181000</v>
          </cell>
        </row>
        <row r="563">
          <cell r="C563" t="str">
            <v>260228UEUBD34K</v>
          </cell>
          <cell r="M563">
            <v>380000</v>
          </cell>
        </row>
        <row r="564">
          <cell r="C564" t="str">
            <v>260228UE0BC33C</v>
          </cell>
          <cell r="M564">
            <v>181000</v>
          </cell>
        </row>
        <row r="565">
          <cell r="C565" t="str">
            <v>260227T6JKPBRQ</v>
          </cell>
          <cell r="M565">
            <v>192000</v>
          </cell>
        </row>
        <row r="566">
          <cell r="C566" t="str">
            <v>260227SGJKY3TN</v>
          </cell>
          <cell r="M566">
            <v>416000</v>
          </cell>
        </row>
        <row r="567">
          <cell r="C567" t="str">
            <v>260227RT941SUE</v>
          </cell>
          <cell r="M567">
            <v>365000</v>
          </cell>
        </row>
        <row r="568">
          <cell r="C568" t="str">
            <v>260226Q2BPJ8UA</v>
          </cell>
          <cell r="M568">
            <v>140500</v>
          </cell>
        </row>
        <row r="569">
          <cell r="C569" t="str">
            <v>260226Q23XKAYU</v>
          </cell>
          <cell r="M569">
            <v>140500</v>
          </cell>
        </row>
        <row r="570">
          <cell r="C570" t="str">
            <v>260226PV4MXSEJ</v>
          </cell>
          <cell r="M570">
            <v>181000</v>
          </cell>
        </row>
        <row r="571">
          <cell r="C571" t="str">
            <v>260226PKM7ESQK</v>
          </cell>
          <cell r="M571">
            <v>181000</v>
          </cell>
        </row>
        <row r="572">
          <cell r="C572" t="str">
            <v>260226PJB693HT</v>
          </cell>
          <cell r="M572">
            <v>124000</v>
          </cell>
        </row>
        <row r="573">
          <cell r="C573" t="str">
            <v>260226PDWCP2RF</v>
          </cell>
          <cell r="M573">
            <v>272000</v>
          </cell>
        </row>
        <row r="574">
          <cell r="C574" t="str">
            <v>260225N63PHKJU</v>
          </cell>
          <cell r="M574">
            <v>181000</v>
          </cell>
        </row>
        <row r="575">
          <cell r="C575" t="str">
            <v>260225MB8THV5Y</v>
          </cell>
          <cell r="M575">
            <v>357000</v>
          </cell>
        </row>
        <row r="576">
          <cell r="C576" t="str">
            <v>260225M7FK0HYH</v>
          </cell>
          <cell r="M576">
            <v>356000</v>
          </cell>
        </row>
        <row r="577">
          <cell r="C577" t="str">
            <v>260225M6TX49N2</v>
          </cell>
          <cell r="M577">
            <v>357000</v>
          </cell>
        </row>
        <row r="578">
          <cell r="C578" t="str">
            <v>260224HT0R6DHC</v>
          </cell>
          <cell r="M578">
            <v>357000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 details"/>
      <sheetName val="Hình Ảnh"/>
      <sheetName val="Reports"/>
      <sheetName val="Withdrawal records"/>
      <sheetName val="Fees explanation"/>
    </sheetNames>
    <sheetDataSet>
      <sheetData sheetId="0">
        <row r="1">
          <cell r="A1" t="str">
            <v xml:space="preserve">Order/adjustment ID  </v>
          </cell>
          <cell r="G1" t="str">
            <v>Total Revenue</v>
          </cell>
        </row>
        <row r="2">
          <cell r="A2" t="str">
            <v>583087700030621209</v>
          </cell>
          <cell r="G2">
            <v>390000</v>
          </cell>
        </row>
        <row r="3">
          <cell r="A3" t="str">
            <v>583041928825111727</v>
          </cell>
          <cell r="G3">
            <v>384000</v>
          </cell>
        </row>
        <row r="4">
          <cell r="A4" t="str">
            <v>582895129806079725</v>
          </cell>
          <cell r="G4">
            <v>260000</v>
          </cell>
        </row>
        <row r="5">
          <cell r="A5" t="str">
            <v>583006645176665976</v>
          </cell>
          <cell r="G5">
            <v>130000</v>
          </cell>
        </row>
        <row r="6">
          <cell r="A6" t="str">
            <v>582820641108755993</v>
          </cell>
          <cell r="G6">
            <v>134000</v>
          </cell>
        </row>
        <row r="7">
          <cell r="A7" t="str">
            <v>582783452440463185</v>
          </cell>
          <cell r="G7">
            <v>65000</v>
          </cell>
        </row>
        <row r="8">
          <cell r="A8" t="str">
            <v>582946986058155583</v>
          </cell>
          <cell r="G8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71E1-B498-480A-A2B9-6EEB0C6227B0}">
  <dimension ref="A1:U964"/>
  <sheetViews>
    <sheetView zoomScale="80" zoomScaleNormal="80" workbookViewId="0">
      <selection activeCell="E10" sqref="E10"/>
    </sheetView>
  </sheetViews>
  <sheetFormatPr defaultColWidth="14.42578125" defaultRowHeight="15" x14ac:dyDescent="0.25"/>
  <cols>
    <col min="1" max="1" width="14.5703125" customWidth="1"/>
    <col min="2" max="2" width="25" customWidth="1"/>
    <col min="3" max="3" width="25.28515625" customWidth="1"/>
    <col min="4" max="4" width="19.42578125" bestFit="1" customWidth="1"/>
    <col min="5" max="5" width="31.140625" customWidth="1"/>
    <col min="6" max="6" width="21.140625" customWidth="1"/>
    <col min="7" max="7" width="28" customWidth="1"/>
    <col min="8" max="8" width="31.140625" style="3" customWidth="1"/>
    <col min="9" max="9" width="24.28515625" customWidth="1"/>
    <col min="10" max="13" width="11.85546875" customWidth="1"/>
    <col min="14" max="21" width="10" customWidth="1"/>
  </cols>
  <sheetData>
    <row r="1" spans="1:21" ht="19.5" customHeight="1" x14ac:dyDescent="0.3">
      <c r="A1" s="4" t="s">
        <v>11</v>
      </c>
      <c r="B1" s="4"/>
      <c r="C1" s="5"/>
      <c r="D1" s="5"/>
      <c r="E1" s="6"/>
      <c r="F1" s="6"/>
      <c r="G1" s="6"/>
      <c r="H1" s="7"/>
      <c r="I1" s="8"/>
      <c r="J1" s="8"/>
      <c r="K1" s="8"/>
      <c r="L1" s="8"/>
      <c r="M1" s="8"/>
      <c r="N1" s="5"/>
      <c r="O1" s="5"/>
      <c r="P1" s="5"/>
      <c r="Q1" s="5"/>
      <c r="R1" s="5"/>
      <c r="S1" s="5"/>
      <c r="T1" s="5"/>
      <c r="U1" s="5"/>
    </row>
    <row r="2" spans="1:21" ht="19.5" customHeight="1" x14ac:dyDescent="0.3">
      <c r="A2" s="4"/>
      <c r="B2" s="4"/>
      <c r="C2" s="5"/>
      <c r="D2" s="5"/>
      <c r="E2" s="9"/>
      <c r="F2" s="6"/>
      <c r="G2" s="6"/>
      <c r="H2" s="7"/>
      <c r="I2" s="8"/>
      <c r="J2" s="8"/>
      <c r="K2" s="8"/>
      <c r="L2" s="8"/>
      <c r="M2" s="8"/>
      <c r="N2" s="5"/>
      <c r="O2" s="5"/>
      <c r="P2" s="5"/>
      <c r="Q2" s="5"/>
      <c r="R2" s="5"/>
      <c r="S2" s="5"/>
      <c r="T2" s="5"/>
      <c r="U2" s="5"/>
    </row>
    <row r="3" spans="1:21" ht="19.5" customHeight="1" x14ac:dyDescent="0.3">
      <c r="A3" s="4"/>
      <c r="B3" s="4"/>
      <c r="C3" s="5"/>
      <c r="D3" s="5"/>
      <c r="E3" s="9"/>
      <c r="F3" s="6"/>
      <c r="G3" s="6"/>
      <c r="H3" s="7"/>
      <c r="I3" s="8"/>
      <c r="J3" s="8"/>
      <c r="K3" s="8"/>
      <c r="L3" s="8"/>
      <c r="M3" s="8"/>
      <c r="N3" s="5"/>
      <c r="O3" s="5"/>
      <c r="P3" s="5"/>
      <c r="Q3" s="5"/>
      <c r="R3" s="5"/>
      <c r="S3" s="5"/>
      <c r="T3" s="5"/>
      <c r="U3" s="5"/>
    </row>
    <row r="4" spans="1:21" ht="19.5" customHeight="1" x14ac:dyDescent="0.3">
      <c r="A4" s="10" t="s">
        <v>29</v>
      </c>
      <c r="B4" s="10"/>
      <c r="C4" s="11"/>
      <c r="D4" s="11"/>
      <c r="E4" s="9"/>
      <c r="F4" s="9"/>
      <c r="G4" s="12"/>
      <c r="H4" s="13"/>
      <c r="I4" s="8"/>
      <c r="J4" s="8"/>
      <c r="K4" s="8"/>
      <c r="L4" s="8"/>
      <c r="M4" s="8"/>
      <c r="N4" s="5"/>
      <c r="O4" s="5"/>
      <c r="P4" s="5"/>
      <c r="Q4" s="5"/>
      <c r="R4" s="5"/>
      <c r="S4" s="5"/>
      <c r="T4" s="5"/>
      <c r="U4" s="5"/>
    </row>
    <row r="5" spans="1:21" ht="19.5" customHeight="1" x14ac:dyDescent="0.3">
      <c r="A5" s="10" t="s">
        <v>12</v>
      </c>
      <c r="B5" s="10"/>
      <c r="C5" s="10" t="s">
        <v>4743</v>
      </c>
      <c r="D5" s="11"/>
      <c r="E5" s="9"/>
      <c r="F5" s="9"/>
      <c r="G5" s="9"/>
      <c r="H5" s="13"/>
      <c r="I5" s="8"/>
      <c r="J5" s="8"/>
      <c r="K5" s="8"/>
      <c r="L5" s="8"/>
      <c r="M5" s="8"/>
      <c r="N5" s="5"/>
      <c r="O5" s="5"/>
      <c r="P5" s="5"/>
      <c r="Q5" s="5"/>
      <c r="R5" s="5"/>
      <c r="S5" s="5"/>
      <c r="T5" s="5"/>
      <c r="U5" s="5"/>
    </row>
    <row r="6" spans="1:21" ht="19.5" customHeight="1" x14ac:dyDescent="0.3">
      <c r="A6" s="11"/>
      <c r="B6" s="11"/>
      <c r="C6" s="11"/>
      <c r="D6" s="11"/>
      <c r="E6" s="9"/>
      <c r="F6" s="9"/>
      <c r="G6" s="6"/>
      <c r="H6" s="13"/>
      <c r="I6" s="8"/>
      <c r="J6" s="8"/>
      <c r="K6" s="8"/>
      <c r="L6" s="8"/>
      <c r="M6" s="8"/>
      <c r="N6" s="5"/>
      <c r="O6" s="5"/>
      <c r="P6" s="5"/>
      <c r="Q6" s="5"/>
      <c r="R6" s="5"/>
      <c r="S6" s="5"/>
      <c r="T6" s="5"/>
      <c r="U6" s="5"/>
    </row>
    <row r="7" spans="1:21" ht="35.25" customHeight="1" x14ac:dyDescent="0.3">
      <c r="A7" s="36" t="s">
        <v>13</v>
      </c>
      <c r="B7" s="36" t="s">
        <v>0</v>
      </c>
      <c r="C7" s="36" t="s">
        <v>14</v>
      </c>
      <c r="D7" s="36" t="s">
        <v>15</v>
      </c>
      <c r="E7" s="14" t="s">
        <v>16</v>
      </c>
      <c r="F7" s="15" t="s">
        <v>17</v>
      </c>
      <c r="G7" s="16" t="s">
        <v>18</v>
      </c>
      <c r="H7" s="17" t="s">
        <v>19</v>
      </c>
      <c r="I7" s="8"/>
      <c r="J7" s="8"/>
      <c r="K7" s="8"/>
      <c r="L7" s="8"/>
      <c r="M7" s="8"/>
      <c r="N7" s="11"/>
      <c r="O7" s="5"/>
      <c r="P7" s="5"/>
      <c r="Q7" s="5"/>
      <c r="R7" s="5"/>
      <c r="S7" s="5"/>
      <c r="T7" s="5"/>
      <c r="U7" s="5"/>
    </row>
    <row r="8" spans="1:21" ht="19.5" customHeight="1" x14ac:dyDescent="0.3">
      <c r="A8" s="37">
        <v>1</v>
      </c>
      <c r="B8" s="37" t="s">
        <v>20</v>
      </c>
      <c r="C8" s="37"/>
      <c r="D8" s="38" t="s">
        <v>26</v>
      </c>
      <c r="E8" s="34">
        <f>-SUMIF(Defaut!G:G,"tiktok",Defaut!AF:AF)</f>
        <v>124074.07407407406</v>
      </c>
      <c r="F8" s="19">
        <v>0.1</v>
      </c>
      <c r="G8" s="18">
        <f>ROUND(E8*F8,0)</f>
        <v>12407</v>
      </c>
      <c r="H8" s="41">
        <f>G8+E8</f>
        <v>136481.07407407404</v>
      </c>
      <c r="I8" s="8"/>
      <c r="J8" s="20"/>
      <c r="K8" s="20"/>
      <c r="L8" s="20"/>
      <c r="M8" s="20"/>
      <c r="N8" s="5"/>
      <c r="O8" s="5"/>
      <c r="P8" s="5"/>
      <c r="Q8" s="5"/>
      <c r="R8" s="5"/>
      <c r="S8" s="5"/>
      <c r="T8" s="5"/>
      <c r="U8" s="5"/>
    </row>
    <row r="9" spans="1:21" ht="19.5" customHeight="1" x14ac:dyDescent="0.3">
      <c r="A9" s="37">
        <v>2</v>
      </c>
      <c r="B9" s="37" t="s">
        <v>21</v>
      </c>
      <c r="C9" s="37"/>
      <c r="D9" s="38" t="s">
        <v>26</v>
      </c>
      <c r="E9" s="34">
        <f>-SUMIF(Defaut!G:G,"lazada",Defaut!AF:AF)</f>
        <v>79629.638888888876</v>
      </c>
      <c r="F9" s="19">
        <v>0.1</v>
      </c>
      <c r="G9" s="18">
        <f>ROUND(E9*F9,0)</f>
        <v>7963</v>
      </c>
      <c r="H9" s="41">
        <f>G9+E9</f>
        <v>87592.638888888876</v>
      </c>
      <c r="I9" s="8"/>
      <c r="J9" s="8"/>
      <c r="K9" s="8"/>
      <c r="L9" s="8"/>
      <c r="M9" s="8"/>
      <c r="N9" s="5"/>
      <c r="O9" s="5"/>
      <c r="P9" s="5"/>
      <c r="Q9" s="5"/>
      <c r="R9" s="5"/>
      <c r="S9" s="5"/>
      <c r="T9" s="5"/>
      <c r="U9" s="5"/>
    </row>
    <row r="10" spans="1:21" ht="19.5" customHeight="1" x14ac:dyDescent="0.3">
      <c r="A10" s="37">
        <v>3</v>
      </c>
      <c r="B10" s="37" t="s">
        <v>22</v>
      </c>
      <c r="C10" s="37"/>
      <c r="D10" s="38" t="s">
        <v>26</v>
      </c>
      <c r="E10" s="34">
        <f>-SUMIF(Defaut!G:G,"shopee_v2",Defaut!AF:AF)</f>
        <v>26888712.444444537</v>
      </c>
      <c r="F10" s="19">
        <v>0.1</v>
      </c>
      <c r="G10" s="18">
        <f>ROUND(E10*F10,0)</f>
        <v>2688871</v>
      </c>
      <c r="H10" s="41">
        <f>G10+E10</f>
        <v>29577583.444444537</v>
      </c>
      <c r="I10" s="8"/>
      <c r="J10" s="8"/>
      <c r="K10" s="8"/>
      <c r="L10" s="8"/>
      <c r="M10" s="8"/>
      <c r="N10" s="5"/>
      <c r="O10" s="5"/>
      <c r="P10" s="5"/>
      <c r="Q10" s="5"/>
      <c r="R10" s="5"/>
      <c r="S10" s="5"/>
      <c r="T10" s="5"/>
      <c r="U10" s="5"/>
    </row>
    <row r="11" spans="1:21" ht="19.5" customHeight="1" x14ac:dyDescent="0.3">
      <c r="A11" s="53" t="s">
        <v>28</v>
      </c>
      <c r="B11" s="54"/>
      <c r="C11" s="54"/>
      <c r="D11" s="54"/>
      <c r="E11" s="35">
        <v>35000000</v>
      </c>
      <c r="F11" s="29">
        <v>0.1</v>
      </c>
      <c r="G11" s="30">
        <f>ROUNDDOWN(E11*F11,0)</f>
        <v>3500000</v>
      </c>
      <c r="H11" s="42">
        <f>G11+E11</f>
        <v>38500000</v>
      </c>
      <c r="I11" s="22"/>
      <c r="J11" s="8"/>
      <c r="K11" s="8"/>
      <c r="L11" s="8"/>
      <c r="M11" s="8"/>
      <c r="N11" s="5"/>
      <c r="O11" s="5"/>
      <c r="P11" s="5"/>
      <c r="Q11" s="5"/>
      <c r="R11" s="5"/>
      <c r="S11" s="5"/>
      <c r="T11" s="5"/>
      <c r="U11" s="5"/>
    </row>
    <row r="12" spans="1:21" ht="19.5" customHeight="1" x14ac:dyDescent="0.3">
      <c r="A12" s="47" t="s">
        <v>23</v>
      </c>
      <c r="B12" s="48"/>
      <c r="C12" s="48"/>
      <c r="D12" s="49"/>
      <c r="E12" s="27">
        <f>SUBTOTAL(9,E8:E11)</f>
        <v>62092416.1574075</v>
      </c>
      <c r="F12" s="27"/>
      <c r="G12" s="27"/>
      <c r="H12" s="28"/>
      <c r="I12" s="22"/>
      <c r="J12" s="8"/>
      <c r="K12" s="8"/>
      <c r="L12" s="8"/>
      <c r="M12" s="8"/>
      <c r="N12" s="5"/>
      <c r="O12" s="5"/>
      <c r="P12" s="5"/>
      <c r="Q12" s="5"/>
      <c r="R12" s="5"/>
      <c r="S12" s="5"/>
      <c r="T12" s="5"/>
      <c r="U12" s="5"/>
    </row>
    <row r="13" spans="1:21" ht="19.5" customHeight="1" x14ac:dyDescent="0.3">
      <c r="A13" s="50" t="s">
        <v>24</v>
      </c>
      <c r="B13" s="51"/>
      <c r="C13" s="51"/>
      <c r="D13" s="52"/>
      <c r="E13" s="18">
        <f>SUBTOTAL(9,G8:G11)</f>
        <v>6209241</v>
      </c>
      <c r="F13" s="18"/>
      <c r="G13" s="27"/>
      <c r="H13" s="21"/>
      <c r="I13" s="23"/>
      <c r="J13" s="8"/>
      <c r="K13" s="8"/>
      <c r="L13" s="8"/>
      <c r="M13" s="8"/>
      <c r="N13" s="5"/>
      <c r="O13" s="5"/>
      <c r="P13" s="5"/>
      <c r="Q13" s="5"/>
      <c r="R13" s="5"/>
      <c r="S13" s="5"/>
      <c r="T13" s="5"/>
      <c r="U13" s="5"/>
    </row>
    <row r="14" spans="1:21" ht="19.5" customHeight="1" x14ac:dyDescent="0.3">
      <c r="A14" s="50" t="s">
        <v>25</v>
      </c>
      <c r="B14" s="51"/>
      <c r="C14" s="51"/>
      <c r="D14" s="52"/>
      <c r="E14" s="24">
        <f>SUBTOTAL(9,H8:H11)</f>
        <v>68301657.157407492</v>
      </c>
      <c r="F14" s="18"/>
      <c r="G14" s="27"/>
      <c r="H14" s="21"/>
      <c r="I14" s="8"/>
      <c r="J14" s="8"/>
      <c r="K14" s="8"/>
      <c r="L14" s="8"/>
      <c r="M14" s="8"/>
      <c r="N14" s="5"/>
      <c r="O14" s="5"/>
      <c r="P14" s="5"/>
      <c r="Q14" s="5"/>
      <c r="R14" s="5"/>
      <c r="S14" s="5"/>
      <c r="T14" s="5"/>
      <c r="U14" s="5"/>
    </row>
    <row r="15" spans="1:21" ht="19.5" customHeight="1" x14ac:dyDescent="0.3">
      <c r="A15" s="11"/>
      <c r="B15" s="11"/>
      <c r="C15" s="11"/>
      <c r="D15" s="11"/>
      <c r="E15" s="25"/>
      <c r="F15" s="25"/>
      <c r="G15" s="25"/>
      <c r="H15" s="26"/>
      <c r="I15" s="8"/>
      <c r="J15" s="8"/>
      <c r="K15" s="8"/>
      <c r="L15" s="8"/>
      <c r="M15" s="8"/>
      <c r="N15" s="5"/>
      <c r="O15" s="5"/>
      <c r="P15" s="5"/>
      <c r="Q15" s="5"/>
      <c r="R15" s="5"/>
      <c r="S15" s="5"/>
      <c r="T15" s="5"/>
      <c r="U15" s="5"/>
    </row>
    <row r="16" spans="1:21" ht="19.5" customHeight="1" x14ac:dyDescent="0.3">
      <c r="A16" s="5"/>
      <c r="B16" s="5"/>
      <c r="C16" s="5"/>
      <c r="D16" s="5"/>
      <c r="E16" s="40"/>
      <c r="F16" s="6"/>
      <c r="G16" s="6"/>
      <c r="H16" s="7"/>
      <c r="I16" s="8"/>
      <c r="J16" s="8"/>
      <c r="K16" s="8"/>
      <c r="L16" s="8"/>
      <c r="M16" s="8"/>
      <c r="N16" s="5"/>
      <c r="O16" s="5"/>
      <c r="P16" s="5"/>
      <c r="Q16" s="5"/>
      <c r="R16" s="5"/>
      <c r="S16" s="5"/>
      <c r="T16" s="5"/>
      <c r="U16" s="5"/>
    </row>
    <row r="17" spans="1:21" ht="19.5" customHeight="1" x14ac:dyDescent="0.3">
      <c r="A17" s="5"/>
      <c r="B17" s="5"/>
      <c r="C17" s="5"/>
      <c r="D17" s="5"/>
      <c r="E17" s="6"/>
      <c r="F17" s="6"/>
      <c r="G17" s="6"/>
      <c r="H17" s="7"/>
      <c r="I17" s="8"/>
      <c r="J17" s="8"/>
      <c r="K17" s="8"/>
      <c r="L17" s="8"/>
      <c r="M17" s="8"/>
      <c r="N17" s="5"/>
      <c r="O17" s="5"/>
      <c r="P17" s="5"/>
      <c r="Q17" s="5"/>
      <c r="R17" s="5"/>
      <c r="S17" s="5"/>
      <c r="T17" s="5"/>
      <c r="U17" s="5"/>
    </row>
    <row r="18" spans="1:21" ht="19.5" customHeight="1" x14ac:dyDescent="0.3">
      <c r="A18" s="5"/>
      <c r="B18" s="5"/>
      <c r="C18" s="5"/>
      <c r="D18" s="5"/>
      <c r="E18" s="6"/>
      <c r="F18" s="6"/>
      <c r="G18" s="6"/>
      <c r="H18" s="7"/>
      <c r="I18" s="8"/>
      <c r="J18" s="8"/>
      <c r="K18" s="8"/>
      <c r="L18" s="8"/>
      <c r="M18" s="8"/>
      <c r="N18" s="5"/>
      <c r="O18" s="5"/>
      <c r="P18" s="5"/>
      <c r="Q18" s="5"/>
      <c r="R18" s="5"/>
      <c r="S18" s="5"/>
      <c r="T18" s="5"/>
      <c r="U18" s="5"/>
    </row>
    <row r="19" spans="1:21" ht="19.5" customHeight="1" x14ac:dyDescent="0.3">
      <c r="A19" s="5"/>
      <c r="B19" s="5"/>
      <c r="C19" s="5"/>
      <c r="D19" s="5"/>
      <c r="E19" s="6"/>
      <c r="F19" s="6"/>
      <c r="G19" s="6"/>
      <c r="H19" s="7"/>
      <c r="I19" s="8"/>
      <c r="J19" s="8"/>
      <c r="K19" s="8"/>
      <c r="L19" s="8"/>
      <c r="M19" s="8"/>
      <c r="N19" s="5"/>
      <c r="O19" s="5"/>
      <c r="P19" s="5"/>
      <c r="Q19" s="5"/>
      <c r="R19" s="5"/>
      <c r="S19" s="5"/>
      <c r="T19" s="5"/>
      <c r="U19" s="5"/>
    </row>
    <row r="20" spans="1:21" ht="19.5" customHeight="1" x14ac:dyDescent="0.3">
      <c r="A20" s="5"/>
      <c r="B20" s="5"/>
      <c r="C20" s="5"/>
      <c r="D20" s="5"/>
      <c r="E20" s="6"/>
      <c r="F20" s="6"/>
      <c r="G20" s="6"/>
      <c r="H20" s="7"/>
      <c r="I20" s="8"/>
      <c r="J20" s="8"/>
      <c r="K20" s="8"/>
      <c r="L20" s="8"/>
      <c r="M20" s="8"/>
      <c r="N20" s="5"/>
      <c r="O20" s="5"/>
      <c r="P20" s="5"/>
      <c r="Q20" s="5"/>
      <c r="R20" s="5"/>
      <c r="S20" s="5"/>
      <c r="T20" s="5"/>
      <c r="U20" s="5"/>
    </row>
    <row r="21" spans="1:21" ht="19.5" customHeight="1" x14ac:dyDescent="0.3">
      <c r="A21" s="5"/>
      <c r="B21" s="5"/>
      <c r="C21" s="5"/>
      <c r="D21" s="5"/>
      <c r="E21" s="6"/>
      <c r="F21" s="6"/>
      <c r="G21" s="6"/>
      <c r="H21" s="7"/>
      <c r="I21" s="8"/>
      <c r="J21" s="8"/>
      <c r="K21" s="8"/>
      <c r="L21" s="8"/>
      <c r="M21" s="8"/>
      <c r="N21" s="5"/>
      <c r="O21" s="5"/>
      <c r="P21" s="5"/>
      <c r="Q21" s="5"/>
      <c r="R21" s="5"/>
      <c r="S21" s="5"/>
      <c r="T21" s="5"/>
      <c r="U21" s="5"/>
    </row>
    <row r="22" spans="1:21" ht="19.5" customHeight="1" x14ac:dyDescent="0.3">
      <c r="A22" s="5"/>
      <c r="B22" s="5"/>
      <c r="C22" s="5"/>
      <c r="D22" s="5"/>
      <c r="E22" s="6"/>
      <c r="F22" s="6"/>
      <c r="G22" s="6"/>
      <c r="H22" s="7"/>
      <c r="I22" s="8"/>
      <c r="J22" s="8"/>
      <c r="K22" s="8"/>
      <c r="L22" s="8"/>
      <c r="M22" s="8"/>
      <c r="N22" s="5"/>
      <c r="O22" s="5"/>
      <c r="P22" s="5"/>
      <c r="Q22" s="5"/>
      <c r="R22" s="5"/>
      <c r="S22" s="5"/>
      <c r="T22" s="5"/>
      <c r="U22" s="5"/>
    </row>
    <row r="23" spans="1:21" ht="19.5" customHeight="1" x14ac:dyDescent="0.3">
      <c r="A23" s="5"/>
      <c r="B23" s="5"/>
      <c r="C23" s="5"/>
      <c r="D23" s="5"/>
      <c r="E23" s="6"/>
      <c r="F23" s="6"/>
      <c r="G23" s="6"/>
      <c r="H23" s="7"/>
      <c r="I23" s="8"/>
      <c r="J23" s="8"/>
      <c r="K23" s="8"/>
      <c r="L23" s="8"/>
      <c r="M23" s="8"/>
      <c r="N23" s="5"/>
      <c r="O23" s="5"/>
      <c r="P23" s="5"/>
      <c r="Q23" s="5"/>
      <c r="R23" s="5"/>
      <c r="S23" s="5"/>
      <c r="T23" s="5"/>
      <c r="U23" s="5"/>
    </row>
    <row r="24" spans="1:21" ht="19.5" customHeight="1" x14ac:dyDescent="0.3">
      <c r="A24" s="5"/>
      <c r="B24" s="5"/>
      <c r="C24" s="5"/>
      <c r="D24" s="5"/>
      <c r="E24" s="6"/>
      <c r="F24" s="6"/>
      <c r="G24" s="6"/>
      <c r="H24" s="7"/>
      <c r="I24" s="8"/>
      <c r="J24" s="8"/>
      <c r="K24" s="8"/>
      <c r="L24" s="8"/>
      <c r="M24" s="8"/>
      <c r="N24" s="5"/>
      <c r="O24" s="5"/>
      <c r="P24" s="5"/>
      <c r="Q24" s="5"/>
      <c r="R24" s="5"/>
      <c r="S24" s="5"/>
      <c r="T24" s="5"/>
      <c r="U24" s="5"/>
    </row>
    <row r="25" spans="1:21" ht="19.5" customHeight="1" x14ac:dyDescent="0.3">
      <c r="A25" s="5"/>
      <c r="B25" s="5"/>
      <c r="C25" s="5"/>
      <c r="D25" s="5"/>
      <c r="E25" s="6"/>
      <c r="F25" s="6"/>
      <c r="G25" s="6"/>
      <c r="H25" s="7"/>
      <c r="I25" s="8"/>
      <c r="J25" s="8"/>
      <c r="K25" s="8"/>
      <c r="L25" s="8"/>
      <c r="M25" s="8"/>
      <c r="N25" s="5"/>
      <c r="O25" s="5"/>
      <c r="P25" s="5"/>
      <c r="Q25" s="5"/>
      <c r="R25" s="5"/>
      <c r="S25" s="5"/>
      <c r="T25" s="5"/>
      <c r="U25" s="5"/>
    </row>
    <row r="26" spans="1:21" ht="19.5" customHeight="1" x14ac:dyDescent="0.3">
      <c r="A26" s="5"/>
      <c r="B26" s="5"/>
      <c r="C26" s="5"/>
      <c r="D26" s="5"/>
      <c r="E26" s="6"/>
      <c r="F26" s="6"/>
      <c r="G26" s="6"/>
      <c r="H26" s="7"/>
      <c r="I26" s="8"/>
      <c r="J26" s="8"/>
      <c r="K26" s="8"/>
      <c r="L26" s="8"/>
      <c r="M26" s="8"/>
      <c r="N26" s="5"/>
      <c r="O26" s="5"/>
      <c r="P26" s="5"/>
      <c r="Q26" s="5"/>
      <c r="R26" s="5"/>
      <c r="S26" s="5"/>
      <c r="T26" s="5"/>
      <c r="U26" s="5"/>
    </row>
    <row r="27" spans="1:21" ht="19.5" customHeight="1" x14ac:dyDescent="0.3">
      <c r="A27" s="5"/>
      <c r="B27" s="5"/>
      <c r="C27" s="5"/>
      <c r="D27" s="5"/>
      <c r="E27" s="6"/>
      <c r="F27" s="6"/>
      <c r="G27" s="6"/>
      <c r="H27" s="7"/>
      <c r="I27" s="8"/>
      <c r="J27" s="8"/>
      <c r="K27" s="8"/>
      <c r="L27" s="8"/>
      <c r="M27" s="8"/>
      <c r="N27" s="5"/>
      <c r="O27" s="5"/>
      <c r="P27" s="5"/>
      <c r="Q27" s="5"/>
      <c r="R27" s="5"/>
      <c r="S27" s="5"/>
      <c r="T27" s="5"/>
      <c r="U27" s="5"/>
    </row>
    <row r="28" spans="1:21" ht="19.5" customHeight="1" x14ac:dyDescent="0.3">
      <c r="A28" s="5"/>
      <c r="B28" s="5"/>
      <c r="C28" s="5"/>
      <c r="D28" s="5"/>
      <c r="E28" s="6"/>
      <c r="F28" s="6"/>
      <c r="G28" s="6"/>
      <c r="H28" s="7"/>
      <c r="I28" s="8"/>
      <c r="J28" s="8"/>
      <c r="K28" s="8"/>
      <c r="L28" s="8"/>
      <c r="M28" s="8"/>
      <c r="N28" s="5"/>
      <c r="O28" s="5"/>
      <c r="P28" s="5"/>
      <c r="Q28" s="5"/>
      <c r="R28" s="5"/>
      <c r="S28" s="5"/>
      <c r="T28" s="5"/>
      <c r="U28" s="5"/>
    </row>
    <row r="29" spans="1:21" ht="19.5" customHeight="1" x14ac:dyDescent="0.3">
      <c r="A29" s="5"/>
      <c r="B29" s="5"/>
      <c r="C29" s="5"/>
      <c r="D29" s="5"/>
      <c r="E29" s="6"/>
      <c r="F29" s="6"/>
      <c r="G29" s="6"/>
      <c r="H29" s="7"/>
      <c r="I29" s="8"/>
      <c r="J29" s="8"/>
      <c r="K29" s="8"/>
      <c r="L29" s="8"/>
      <c r="M29" s="8"/>
      <c r="N29" s="5"/>
      <c r="O29" s="5"/>
      <c r="P29" s="5"/>
      <c r="Q29" s="5"/>
      <c r="R29" s="5"/>
      <c r="S29" s="5"/>
      <c r="T29" s="5"/>
      <c r="U29" s="5"/>
    </row>
    <row r="30" spans="1:21" ht="19.5" customHeight="1" x14ac:dyDescent="0.3">
      <c r="A30" s="5"/>
      <c r="B30" s="5"/>
      <c r="C30" s="5"/>
      <c r="D30" s="5"/>
      <c r="E30" s="6"/>
      <c r="F30" s="6"/>
      <c r="G30" s="6"/>
      <c r="H30" s="7"/>
      <c r="I30" s="8"/>
      <c r="J30" s="8"/>
      <c r="K30" s="8"/>
      <c r="L30" s="8"/>
      <c r="M30" s="8"/>
      <c r="N30" s="5"/>
      <c r="O30" s="5"/>
      <c r="P30" s="5"/>
      <c r="Q30" s="5"/>
      <c r="R30" s="5"/>
      <c r="S30" s="5"/>
      <c r="T30" s="5"/>
      <c r="U30" s="5"/>
    </row>
    <row r="31" spans="1:21" ht="19.5" customHeight="1" x14ac:dyDescent="0.3">
      <c r="A31" s="5"/>
      <c r="B31" s="5"/>
      <c r="C31" s="5"/>
      <c r="D31" s="5"/>
      <c r="E31" s="6"/>
      <c r="F31" s="6"/>
      <c r="G31" s="6"/>
      <c r="H31" s="7"/>
      <c r="I31" s="8"/>
      <c r="J31" s="8"/>
      <c r="K31" s="8"/>
      <c r="L31" s="8"/>
      <c r="M31" s="8"/>
      <c r="N31" s="5"/>
      <c r="O31" s="5"/>
      <c r="P31" s="5"/>
      <c r="Q31" s="5"/>
      <c r="R31" s="5"/>
      <c r="S31" s="5"/>
      <c r="T31" s="5"/>
      <c r="U31" s="5"/>
    </row>
    <row r="32" spans="1:21" ht="19.5" customHeight="1" x14ac:dyDescent="0.3">
      <c r="A32" s="5"/>
      <c r="B32" s="5"/>
      <c r="C32" s="5"/>
      <c r="D32" s="5"/>
      <c r="E32" s="6"/>
      <c r="F32" s="6"/>
      <c r="G32" s="6"/>
      <c r="H32" s="7"/>
      <c r="I32" s="8"/>
      <c r="J32" s="8"/>
      <c r="K32" s="8"/>
      <c r="L32" s="8"/>
      <c r="M32" s="8"/>
      <c r="N32" s="5"/>
      <c r="O32" s="5"/>
      <c r="P32" s="5"/>
      <c r="Q32" s="5"/>
      <c r="R32" s="5"/>
      <c r="S32" s="5"/>
      <c r="T32" s="5"/>
      <c r="U32" s="5"/>
    </row>
    <row r="33" spans="1:21" ht="19.5" customHeight="1" x14ac:dyDescent="0.3">
      <c r="A33" s="5"/>
      <c r="B33" s="5"/>
      <c r="C33" s="5"/>
      <c r="D33" s="5"/>
      <c r="E33" s="6"/>
      <c r="F33" s="6"/>
      <c r="G33" s="6"/>
      <c r="H33" s="7"/>
      <c r="I33" s="8"/>
      <c r="J33" s="8"/>
      <c r="K33" s="8"/>
      <c r="L33" s="8"/>
      <c r="M33" s="8"/>
      <c r="N33" s="5"/>
      <c r="O33" s="5"/>
      <c r="P33" s="5"/>
      <c r="Q33" s="5"/>
      <c r="R33" s="5"/>
      <c r="S33" s="5"/>
      <c r="T33" s="5"/>
      <c r="U33" s="5"/>
    </row>
    <row r="34" spans="1:21" ht="19.5" customHeight="1" x14ac:dyDescent="0.3">
      <c r="A34" s="5"/>
      <c r="B34" s="5"/>
      <c r="C34" s="5"/>
      <c r="D34" s="5"/>
      <c r="E34" s="6"/>
      <c r="F34" s="6"/>
      <c r="G34" s="6"/>
      <c r="H34" s="7"/>
      <c r="I34" s="8"/>
      <c r="J34" s="8"/>
      <c r="K34" s="8"/>
      <c r="L34" s="8"/>
      <c r="M34" s="8"/>
      <c r="N34" s="5"/>
      <c r="O34" s="5"/>
      <c r="P34" s="5"/>
      <c r="Q34" s="5"/>
      <c r="R34" s="5"/>
      <c r="S34" s="5"/>
      <c r="T34" s="5"/>
      <c r="U34" s="5"/>
    </row>
    <row r="35" spans="1:21" ht="19.5" customHeight="1" x14ac:dyDescent="0.3">
      <c r="A35" s="5"/>
      <c r="B35" s="5"/>
      <c r="C35" s="5"/>
      <c r="D35" s="5"/>
      <c r="E35" s="6"/>
      <c r="F35" s="6"/>
      <c r="G35" s="6"/>
      <c r="H35" s="7"/>
      <c r="I35" s="8"/>
      <c r="J35" s="8"/>
      <c r="K35" s="8"/>
      <c r="L35" s="8"/>
      <c r="M35" s="8"/>
      <c r="N35" s="5"/>
      <c r="O35" s="5"/>
      <c r="P35" s="5"/>
      <c r="Q35" s="5"/>
      <c r="R35" s="5"/>
      <c r="S35" s="5"/>
      <c r="T35" s="5"/>
      <c r="U35" s="5"/>
    </row>
    <row r="36" spans="1:21" ht="19.5" customHeight="1" x14ac:dyDescent="0.3">
      <c r="A36" s="5"/>
      <c r="B36" s="5"/>
      <c r="C36" s="5"/>
      <c r="D36" s="5"/>
      <c r="E36" s="6"/>
      <c r="F36" s="6"/>
      <c r="G36" s="6"/>
      <c r="H36" s="7"/>
      <c r="I36" s="8"/>
      <c r="J36" s="8"/>
      <c r="K36" s="8"/>
      <c r="L36" s="8"/>
      <c r="M36" s="8"/>
      <c r="N36" s="5"/>
      <c r="O36" s="5"/>
      <c r="P36" s="5"/>
      <c r="Q36" s="5"/>
      <c r="R36" s="5"/>
      <c r="S36" s="5"/>
      <c r="T36" s="5"/>
      <c r="U36" s="5"/>
    </row>
    <row r="37" spans="1:21" ht="19.5" customHeight="1" x14ac:dyDescent="0.3">
      <c r="A37" s="5"/>
      <c r="B37" s="5"/>
      <c r="C37" s="5"/>
      <c r="D37" s="5"/>
      <c r="E37" s="6"/>
      <c r="F37" s="6"/>
      <c r="G37" s="6"/>
      <c r="H37" s="7"/>
      <c r="I37" s="8"/>
      <c r="J37" s="8"/>
      <c r="K37" s="8"/>
      <c r="L37" s="8"/>
      <c r="M37" s="8"/>
      <c r="N37" s="5"/>
      <c r="O37" s="5"/>
      <c r="P37" s="5"/>
      <c r="Q37" s="5"/>
      <c r="R37" s="5"/>
      <c r="S37" s="5"/>
      <c r="T37" s="5"/>
      <c r="U37" s="5"/>
    </row>
    <row r="38" spans="1:21" ht="19.5" customHeight="1" x14ac:dyDescent="0.3">
      <c r="A38" s="5"/>
      <c r="B38" s="5"/>
      <c r="C38" s="5"/>
      <c r="D38" s="5"/>
      <c r="E38" s="6"/>
      <c r="F38" s="6"/>
      <c r="G38" s="6"/>
      <c r="H38" s="7"/>
      <c r="I38" s="8"/>
      <c r="J38" s="8"/>
      <c r="K38" s="8"/>
      <c r="L38" s="8"/>
      <c r="M38" s="8"/>
      <c r="N38" s="5"/>
      <c r="O38" s="5"/>
      <c r="P38" s="5"/>
      <c r="Q38" s="5"/>
      <c r="R38" s="5"/>
      <c r="S38" s="5"/>
      <c r="T38" s="5"/>
      <c r="U38" s="5"/>
    </row>
    <row r="39" spans="1:21" ht="19.5" customHeight="1" x14ac:dyDescent="0.3">
      <c r="A39" s="5"/>
      <c r="B39" s="5"/>
      <c r="C39" s="5"/>
      <c r="D39" s="5"/>
      <c r="E39" s="6"/>
      <c r="F39" s="6"/>
      <c r="G39" s="6"/>
      <c r="H39" s="7"/>
      <c r="I39" s="8"/>
      <c r="J39" s="8"/>
      <c r="K39" s="8"/>
      <c r="L39" s="8"/>
      <c r="M39" s="8"/>
      <c r="N39" s="5"/>
      <c r="O39" s="5"/>
      <c r="P39" s="5"/>
      <c r="Q39" s="5"/>
      <c r="R39" s="5"/>
      <c r="S39" s="5"/>
      <c r="T39" s="5"/>
      <c r="U39" s="5"/>
    </row>
    <row r="40" spans="1:21" ht="19.5" customHeight="1" x14ac:dyDescent="0.3">
      <c r="A40" s="5"/>
      <c r="B40" s="5"/>
      <c r="C40" s="5"/>
      <c r="D40" s="5"/>
      <c r="E40" s="6"/>
      <c r="F40" s="6"/>
      <c r="G40" s="6"/>
      <c r="H40" s="7"/>
      <c r="I40" s="8"/>
      <c r="J40" s="8"/>
      <c r="K40" s="8"/>
      <c r="L40" s="8"/>
      <c r="M40" s="8"/>
      <c r="N40" s="5"/>
      <c r="O40" s="5"/>
      <c r="P40" s="5"/>
      <c r="Q40" s="5"/>
      <c r="R40" s="5"/>
      <c r="S40" s="5"/>
      <c r="T40" s="5"/>
      <c r="U40" s="5"/>
    </row>
    <row r="41" spans="1:21" ht="19.5" customHeight="1" x14ac:dyDescent="0.3">
      <c r="A41" s="5"/>
      <c r="B41" s="5"/>
      <c r="C41" s="5"/>
      <c r="D41" s="5"/>
      <c r="E41" s="6"/>
      <c r="F41" s="6"/>
      <c r="G41" s="6"/>
      <c r="H41" s="7"/>
      <c r="I41" s="8"/>
      <c r="J41" s="8"/>
      <c r="K41" s="8"/>
      <c r="L41" s="8"/>
      <c r="M41" s="8"/>
      <c r="N41" s="5"/>
      <c r="O41" s="5"/>
      <c r="P41" s="5"/>
      <c r="Q41" s="5"/>
      <c r="R41" s="5"/>
      <c r="S41" s="5"/>
      <c r="T41" s="5"/>
      <c r="U41" s="5"/>
    </row>
    <row r="42" spans="1:21" ht="19.5" customHeight="1" x14ac:dyDescent="0.3">
      <c r="A42" s="5"/>
      <c r="B42" s="5"/>
      <c r="C42" s="5"/>
      <c r="D42" s="5"/>
      <c r="E42" s="6"/>
      <c r="F42" s="6"/>
      <c r="G42" s="6"/>
      <c r="H42" s="7"/>
      <c r="I42" s="8"/>
      <c r="J42" s="8"/>
      <c r="K42" s="8"/>
      <c r="L42" s="8"/>
      <c r="M42" s="8"/>
      <c r="N42" s="5"/>
      <c r="O42" s="5"/>
      <c r="P42" s="5"/>
      <c r="Q42" s="5"/>
      <c r="R42" s="5"/>
      <c r="S42" s="5"/>
      <c r="T42" s="5"/>
      <c r="U42" s="5"/>
    </row>
    <row r="43" spans="1:21" ht="19.5" customHeight="1" x14ac:dyDescent="0.3">
      <c r="A43" s="5"/>
      <c r="B43" s="5"/>
      <c r="C43" s="5"/>
      <c r="D43" s="5"/>
      <c r="E43" s="6"/>
      <c r="F43" s="6"/>
      <c r="G43" s="6"/>
      <c r="H43" s="7"/>
      <c r="I43" s="8"/>
      <c r="J43" s="8"/>
      <c r="K43" s="8"/>
      <c r="L43" s="8"/>
      <c r="M43" s="8"/>
      <c r="N43" s="5"/>
      <c r="O43" s="5"/>
      <c r="P43" s="5"/>
      <c r="Q43" s="5"/>
      <c r="R43" s="5"/>
      <c r="S43" s="5"/>
      <c r="T43" s="5"/>
      <c r="U43" s="5"/>
    </row>
    <row r="44" spans="1:21" ht="19.5" customHeight="1" x14ac:dyDescent="0.3">
      <c r="A44" s="5"/>
      <c r="B44" s="5"/>
      <c r="C44" s="5"/>
      <c r="D44" s="5"/>
      <c r="E44" s="6"/>
      <c r="F44" s="6"/>
      <c r="G44" s="6"/>
      <c r="H44" s="7"/>
      <c r="I44" s="8"/>
      <c r="J44" s="8"/>
      <c r="K44" s="8"/>
      <c r="L44" s="8"/>
      <c r="M44" s="8"/>
      <c r="N44" s="5"/>
      <c r="O44" s="5"/>
      <c r="P44" s="5"/>
      <c r="Q44" s="5"/>
      <c r="R44" s="5"/>
      <c r="S44" s="5"/>
      <c r="T44" s="5"/>
      <c r="U44" s="5"/>
    </row>
    <row r="45" spans="1:21" ht="19.5" customHeight="1" x14ac:dyDescent="0.3">
      <c r="A45" s="5"/>
      <c r="B45" s="5"/>
      <c r="C45" s="5"/>
      <c r="D45" s="5"/>
      <c r="E45" s="6"/>
      <c r="F45" s="6"/>
      <c r="G45" s="6"/>
      <c r="H45" s="7"/>
      <c r="I45" s="8"/>
      <c r="J45" s="8"/>
      <c r="K45" s="8"/>
      <c r="L45" s="8"/>
      <c r="M45" s="8"/>
      <c r="N45" s="5"/>
      <c r="O45" s="5"/>
      <c r="P45" s="5"/>
      <c r="Q45" s="5"/>
      <c r="R45" s="5"/>
      <c r="S45" s="5"/>
      <c r="T45" s="5"/>
      <c r="U45" s="5"/>
    </row>
    <row r="46" spans="1:21" ht="19.5" customHeight="1" x14ac:dyDescent="0.3">
      <c r="A46" s="5"/>
      <c r="B46" s="5"/>
      <c r="C46" s="5"/>
      <c r="D46" s="5"/>
      <c r="E46" s="6"/>
      <c r="F46" s="6"/>
      <c r="G46" s="6"/>
      <c r="H46" s="7"/>
      <c r="I46" s="8"/>
      <c r="J46" s="8"/>
      <c r="K46" s="8"/>
      <c r="L46" s="8"/>
      <c r="M46" s="8"/>
      <c r="N46" s="5"/>
      <c r="O46" s="5"/>
      <c r="P46" s="5"/>
      <c r="Q46" s="5"/>
      <c r="R46" s="5"/>
      <c r="S46" s="5"/>
      <c r="T46" s="5"/>
      <c r="U46" s="5"/>
    </row>
    <row r="47" spans="1:21" ht="19.5" customHeight="1" x14ac:dyDescent="0.3">
      <c r="A47" s="5"/>
      <c r="B47" s="5"/>
      <c r="C47" s="5"/>
      <c r="D47" s="5"/>
      <c r="E47" s="6"/>
      <c r="F47" s="6"/>
      <c r="G47" s="6"/>
      <c r="H47" s="7"/>
      <c r="I47" s="8"/>
      <c r="J47" s="8"/>
      <c r="K47" s="8"/>
      <c r="L47" s="8"/>
      <c r="M47" s="8"/>
      <c r="N47" s="5"/>
      <c r="O47" s="5"/>
      <c r="P47" s="5"/>
      <c r="Q47" s="5"/>
      <c r="R47" s="5"/>
      <c r="S47" s="5"/>
      <c r="T47" s="5"/>
      <c r="U47" s="5"/>
    </row>
    <row r="48" spans="1:21" ht="19.5" customHeight="1" x14ac:dyDescent="0.3">
      <c r="A48" s="5"/>
      <c r="B48" s="5"/>
      <c r="C48" s="5"/>
      <c r="D48" s="5"/>
      <c r="E48" s="6"/>
      <c r="F48" s="6"/>
      <c r="G48" s="6"/>
      <c r="H48" s="7"/>
      <c r="I48" s="8"/>
      <c r="J48" s="8"/>
      <c r="K48" s="8"/>
      <c r="L48" s="8"/>
      <c r="M48" s="8"/>
      <c r="N48" s="5"/>
      <c r="O48" s="5"/>
      <c r="P48" s="5"/>
      <c r="Q48" s="5"/>
      <c r="R48" s="5"/>
      <c r="S48" s="5"/>
      <c r="T48" s="5"/>
      <c r="U48" s="5"/>
    </row>
    <row r="49" spans="1:21" ht="19.5" customHeight="1" x14ac:dyDescent="0.3">
      <c r="A49" s="5"/>
      <c r="B49" s="5"/>
      <c r="C49" s="5"/>
      <c r="D49" s="5"/>
      <c r="E49" s="6"/>
      <c r="F49" s="6"/>
      <c r="G49" s="6"/>
      <c r="H49" s="7"/>
      <c r="I49" s="8"/>
      <c r="J49" s="8"/>
      <c r="K49" s="8"/>
      <c r="L49" s="8"/>
      <c r="M49" s="8"/>
      <c r="N49" s="5"/>
      <c r="O49" s="5"/>
      <c r="P49" s="5"/>
      <c r="Q49" s="5"/>
      <c r="R49" s="5"/>
      <c r="S49" s="5"/>
      <c r="T49" s="5"/>
      <c r="U49" s="5"/>
    </row>
    <row r="50" spans="1:21" ht="19.5" customHeight="1" x14ac:dyDescent="0.3">
      <c r="A50" s="5"/>
      <c r="B50" s="5"/>
      <c r="C50" s="5"/>
      <c r="D50" s="5"/>
      <c r="E50" s="6"/>
      <c r="F50" s="6"/>
      <c r="G50" s="6"/>
      <c r="H50" s="7"/>
      <c r="I50" s="8"/>
      <c r="J50" s="8"/>
      <c r="K50" s="8"/>
      <c r="L50" s="8"/>
      <c r="M50" s="8"/>
      <c r="N50" s="5"/>
      <c r="O50" s="5"/>
      <c r="P50" s="5"/>
      <c r="Q50" s="5"/>
      <c r="R50" s="5"/>
      <c r="S50" s="5"/>
      <c r="T50" s="5"/>
      <c r="U50" s="5"/>
    </row>
    <row r="51" spans="1:21" ht="19.5" customHeight="1" x14ac:dyDescent="0.3">
      <c r="A51" s="5"/>
      <c r="B51" s="5"/>
      <c r="C51" s="5"/>
      <c r="D51" s="5"/>
      <c r="E51" s="6"/>
      <c r="F51" s="6"/>
      <c r="G51" s="6"/>
      <c r="H51" s="7"/>
      <c r="I51" s="8"/>
      <c r="J51" s="8"/>
      <c r="K51" s="8"/>
      <c r="L51" s="8"/>
      <c r="M51" s="8"/>
      <c r="N51" s="5"/>
      <c r="O51" s="5"/>
      <c r="P51" s="5"/>
      <c r="Q51" s="5"/>
      <c r="R51" s="5"/>
      <c r="S51" s="5"/>
      <c r="T51" s="5"/>
      <c r="U51" s="5"/>
    </row>
    <row r="52" spans="1:21" ht="19.5" customHeight="1" x14ac:dyDescent="0.3">
      <c r="A52" s="5"/>
      <c r="B52" s="5"/>
      <c r="C52" s="5"/>
      <c r="D52" s="5"/>
      <c r="E52" s="6"/>
      <c r="F52" s="6"/>
      <c r="G52" s="6"/>
      <c r="H52" s="7"/>
      <c r="I52" s="8"/>
      <c r="J52" s="8"/>
      <c r="K52" s="8"/>
      <c r="L52" s="8"/>
      <c r="M52" s="8"/>
      <c r="N52" s="5"/>
      <c r="O52" s="5"/>
      <c r="P52" s="5"/>
      <c r="Q52" s="5"/>
      <c r="R52" s="5"/>
      <c r="S52" s="5"/>
      <c r="T52" s="5"/>
      <c r="U52" s="5"/>
    </row>
    <row r="53" spans="1:21" ht="19.5" customHeight="1" x14ac:dyDescent="0.3">
      <c r="A53" s="5"/>
      <c r="B53" s="5"/>
      <c r="C53" s="5"/>
      <c r="D53" s="5"/>
      <c r="E53" s="6"/>
      <c r="F53" s="6"/>
      <c r="G53" s="6"/>
      <c r="H53" s="7"/>
      <c r="I53" s="8"/>
      <c r="J53" s="8"/>
      <c r="K53" s="8"/>
      <c r="L53" s="8"/>
      <c r="M53" s="8"/>
      <c r="N53" s="5"/>
      <c r="O53" s="5"/>
      <c r="P53" s="5"/>
      <c r="Q53" s="5"/>
      <c r="R53" s="5"/>
      <c r="S53" s="5"/>
      <c r="T53" s="5"/>
      <c r="U53" s="5"/>
    </row>
    <row r="54" spans="1:21" ht="19.5" customHeight="1" x14ac:dyDescent="0.3">
      <c r="A54" s="5"/>
      <c r="B54" s="5"/>
      <c r="C54" s="5"/>
      <c r="D54" s="5"/>
      <c r="E54" s="6"/>
      <c r="F54" s="6"/>
      <c r="G54" s="6"/>
      <c r="H54" s="7"/>
      <c r="I54" s="8"/>
      <c r="J54" s="8"/>
      <c r="K54" s="8"/>
      <c r="L54" s="8"/>
      <c r="M54" s="8"/>
      <c r="N54" s="5"/>
      <c r="O54" s="5"/>
      <c r="P54" s="5"/>
      <c r="Q54" s="5"/>
      <c r="R54" s="5"/>
      <c r="S54" s="5"/>
      <c r="T54" s="5"/>
      <c r="U54" s="5"/>
    </row>
    <row r="55" spans="1:21" ht="19.5" customHeight="1" x14ac:dyDescent="0.3">
      <c r="A55" s="5"/>
      <c r="B55" s="5"/>
      <c r="C55" s="5"/>
      <c r="D55" s="5"/>
      <c r="E55" s="6"/>
      <c r="F55" s="6"/>
      <c r="G55" s="6"/>
      <c r="H55" s="7"/>
      <c r="I55" s="8"/>
      <c r="J55" s="8"/>
      <c r="K55" s="8"/>
      <c r="L55" s="8"/>
      <c r="M55" s="8"/>
      <c r="N55" s="5"/>
      <c r="O55" s="5"/>
      <c r="P55" s="5"/>
      <c r="Q55" s="5"/>
      <c r="R55" s="5"/>
      <c r="S55" s="5"/>
      <c r="T55" s="5"/>
      <c r="U55" s="5"/>
    </row>
    <row r="56" spans="1:21" ht="19.5" customHeight="1" x14ac:dyDescent="0.3">
      <c r="A56" s="5"/>
      <c r="B56" s="5"/>
      <c r="C56" s="5"/>
      <c r="D56" s="5"/>
      <c r="E56" s="6"/>
      <c r="F56" s="6"/>
      <c r="G56" s="6"/>
      <c r="H56" s="7"/>
      <c r="I56" s="8"/>
      <c r="J56" s="8"/>
      <c r="K56" s="8"/>
      <c r="L56" s="8"/>
      <c r="M56" s="8"/>
      <c r="N56" s="5"/>
      <c r="O56" s="5"/>
      <c r="P56" s="5"/>
      <c r="Q56" s="5"/>
      <c r="R56" s="5"/>
      <c r="S56" s="5"/>
      <c r="T56" s="5"/>
      <c r="U56" s="5"/>
    </row>
    <row r="57" spans="1:21" ht="19.5" customHeight="1" x14ac:dyDescent="0.3">
      <c r="A57" s="5"/>
      <c r="B57" s="5"/>
      <c r="C57" s="5"/>
      <c r="D57" s="5"/>
      <c r="E57" s="6"/>
      <c r="F57" s="6"/>
      <c r="G57" s="6"/>
      <c r="H57" s="7"/>
      <c r="I57" s="8"/>
      <c r="J57" s="8"/>
      <c r="K57" s="8"/>
      <c r="L57" s="8"/>
      <c r="M57" s="8"/>
      <c r="N57" s="5"/>
      <c r="O57" s="5"/>
      <c r="P57" s="5"/>
      <c r="Q57" s="5"/>
      <c r="R57" s="5"/>
      <c r="S57" s="5"/>
      <c r="T57" s="5"/>
      <c r="U57" s="5"/>
    </row>
    <row r="58" spans="1:21" ht="19.5" customHeight="1" x14ac:dyDescent="0.3">
      <c r="A58" s="5"/>
      <c r="B58" s="5"/>
      <c r="C58" s="5"/>
      <c r="D58" s="5"/>
      <c r="E58" s="6"/>
      <c r="F58" s="6"/>
      <c r="G58" s="6"/>
      <c r="H58" s="7"/>
      <c r="I58" s="8"/>
      <c r="J58" s="8"/>
      <c r="K58" s="8"/>
      <c r="L58" s="8"/>
      <c r="M58" s="8"/>
      <c r="N58" s="5"/>
      <c r="O58" s="5"/>
      <c r="P58" s="5"/>
      <c r="Q58" s="5"/>
      <c r="R58" s="5"/>
      <c r="S58" s="5"/>
      <c r="T58" s="5"/>
      <c r="U58" s="5"/>
    </row>
    <row r="59" spans="1:21" ht="19.5" customHeight="1" x14ac:dyDescent="0.3">
      <c r="A59" s="5"/>
      <c r="B59" s="5"/>
      <c r="C59" s="5"/>
      <c r="D59" s="5"/>
      <c r="E59" s="6"/>
      <c r="F59" s="6"/>
      <c r="G59" s="6"/>
      <c r="H59" s="7"/>
      <c r="I59" s="8"/>
      <c r="J59" s="8"/>
      <c r="K59" s="8"/>
      <c r="L59" s="8"/>
      <c r="M59" s="8"/>
      <c r="N59" s="5"/>
      <c r="O59" s="5"/>
      <c r="P59" s="5"/>
      <c r="Q59" s="5"/>
      <c r="R59" s="5"/>
      <c r="S59" s="5"/>
      <c r="T59" s="5"/>
      <c r="U59" s="5"/>
    </row>
    <row r="60" spans="1:21" ht="19.5" customHeight="1" x14ac:dyDescent="0.3">
      <c r="A60" s="5"/>
      <c r="B60" s="5"/>
      <c r="C60" s="5"/>
      <c r="D60" s="5"/>
      <c r="E60" s="6"/>
      <c r="F60" s="6"/>
      <c r="G60" s="6"/>
      <c r="H60" s="7"/>
      <c r="I60" s="8"/>
      <c r="J60" s="8"/>
      <c r="K60" s="8"/>
      <c r="L60" s="8"/>
      <c r="M60" s="8"/>
      <c r="N60" s="5"/>
      <c r="O60" s="5"/>
      <c r="P60" s="5"/>
      <c r="Q60" s="5"/>
      <c r="R60" s="5"/>
      <c r="S60" s="5"/>
      <c r="T60" s="5"/>
      <c r="U60" s="5"/>
    </row>
    <row r="61" spans="1:21" ht="19.5" customHeight="1" x14ac:dyDescent="0.3">
      <c r="A61" s="5"/>
      <c r="B61" s="5"/>
      <c r="C61" s="5"/>
      <c r="D61" s="5"/>
      <c r="E61" s="6"/>
      <c r="F61" s="6"/>
      <c r="G61" s="6"/>
      <c r="H61" s="7"/>
      <c r="I61" s="8"/>
      <c r="J61" s="8"/>
      <c r="K61" s="8"/>
      <c r="L61" s="8"/>
      <c r="M61" s="8"/>
      <c r="N61" s="5"/>
      <c r="O61" s="5"/>
      <c r="P61" s="5"/>
      <c r="Q61" s="5"/>
      <c r="R61" s="5"/>
      <c r="S61" s="5"/>
      <c r="T61" s="5"/>
      <c r="U61" s="5"/>
    </row>
    <row r="62" spans="1:21" ht="19.5" customHeight="1" x14ac:dyDescent="0.3">
      <c r="A62" s="5"/>
      <c r="B62" s="5"/>
      <c r="C62" s="5"/>
      <c r="D62" s="5"/>
      <c r="E62" s="6"/>
      <c r="F62" s="6"/>
      <c r="G62" s="6"/>
      <c r="H62" s="7"/>
      <c r="I62" s="8"/>
      <c r="J62" s="8"/>
      <c r="K62" s="8"/>
      <c r="L62" s="8"/>
      <c r="M62" s="8"/>
      <c r="N62" s="5"/>
      <c r="O62" s="5"/>
      <c r="P62" s="5"/>
      <c r="Q62" s="5"/>
      <c r="R62" s="5"/>
      <c r="S62" s="5"/>
      <c r="T62" s="5"/>
      <c r="U62" s="5"/>
    </row>
    <row r="63" spans="1:21" ht="19.5" customHeight="1" x14ac:dyDescent="0.3">
      <c r="A63" s="5"/>
      <c r="B63" s="5"/>
      <c r="C63" s="5"/>
      <c r="D63" s="5"/>
      <c r="E63" s="6"/>
      <c r="F63" s="6"/>
      <c r="G63" s="6"/>
      <c r="H63" s="7"/>
      <c r="I63" s="8"/>
      <c r="J63" s="8"/>
      <c r="K63" s="8"/>
      <c r="L63" s="8"/>
      <c r="M63" s="8"/>
      <c r="N63" s="5"/>
      <c r="O63" s="5"/>
      <c r="P63" s="5"/>
      <c r="Q63" s="5"/>
      <c r="R63" s="5"/>
      <c r="S63" s="5"/>
      <c r="T63" s="5"/>
      <c r="U63" s="5"/>
    </row>
    <row r="64" spans="1:21" ht="19.5" customHeight="1" x14ac:dyDescent="0.3">
      <c r="A64" s="5"/>
      <c r="B64" s="5"/>
      <c r="C64" s="5"/>
      <c r="D64" s="5"/>
      <c r="E64" s="6"/>
      <c r="F64" s="6"/>
      <c r="G64" s="6"/>
      <c r="H64" s="7"/>
      <c r="I64" s="8"/>
      <c r="J64" s="8"/>
      <c r="K64" s="8"/>
      <c r="L64" s="8"/>
      <c r="M64" s="8"/>
      <c r="N64" s="5"/>
      <c r="O64" s="5"/>
      <c r="P64" s="5"/>
      <c r="Q64" s="5"/>
      <c r="R64" s="5"/>
      <c r="S64" s="5"/>
      <c r="T64" s="5"/>
      <c r="U64" s="5"/>
    </row>
    <row r="65" spans="1:21" ht="19.5" customHeight="1" x14ac:dyDescent="0.3">
      <c r="A65" s="5"/>
      <c r="B65" s="5"/>
      <c r="C65" s="5"/>
      <c r="D65" s="5"/>
      <c r="E65" s="6"/>
      <c r="F65" s="6"/>
      <c r="G65" s="6"/>
      <c r="H65" s="7"/>
      <c r="I65" s="8"/>
      <c r="J65" s="8"/>
      <c r="K65" s="8"/>
      <c r="L65" s="8"/>
      <c r="M65" s="8"/>
      <c r="N65" s="5"/>
      <c r="O65" s="5"/>
      <c r="P65" s="5"/>
      <c r="Q65" s="5"/>
      <c r="R65" s="5"/>
      <c r="S65" s="5"/>
      <c r="T65" s="5"/>
      <c r="U65" s="5"/>
    </row>
    <row r="66" spans="1:21" ht="19.5" customHeight="1" x14ac:dyDescent="0.3">
      <c r="A66" s="5"/>
      <c r="B66" s="5"/>
      <c r="C66" s="5"/>
      <c r="D66" s="5"/>
      <c r="E66" s="6"/>
      <c r="F66" s="6"/>
      <c r="G66" s="6"/>
      <c r="H66" s="7"/>
      <c r="I66" s="8"/>
      <c r="J66" s="8"/>
      <c r="K66" s="8"/>
      <c r="L66" s="8"/>
      <c r="M66" s="8"/>
      <c r="N66" s="5"/>
      <c r="O66" s="5"/>
      <c r="P66" s="5"/>
      <c r="Q66" s="5"/>
      <c r="R66" s="5"/>
      <c r="S66" s="5"/>
      <c r="T66" s="5"/>
      <c r="U66" s="5"/>
    </row>
    <row r="67" spans="1:21" ht="19.5" customHeight="1" x14ac:dyDescent="0.3">
      <c r="A67" s="5"/>
      <c r="B67" s="5"/>
      <c r="C67" s="5"/>
      <c r="D67" s="5"/>
      <c r="E67" s="6"/>
      <c r="F67" s="6"/>
      <c r="G67" s="6"/>
      <c r="H67" s="7"/>
      <c r="I67" s="8"/>
      <c r="J67" s="8"/>
      <c r="K67" s="8"/>
      <c r="L67" s="8"/>
      <c r="M67" s="8"/>
      <c r="N67" s="5"/>
      <c r="O67" s="5"/>
      <c r="P67" s="5"/>
      <c r="Q67" s="5"/>
      <c r="R67" s="5"/>
      <c r="S67" s="5"/>
      <c r="T67" s="5"/>
      <c r="U67" s="5"/>
    </row>
    <row r="68" spans="1:21" ht="19.5" customHeight="1" x14ac:dyDescent="0.3">
      <c r="A68" s="5"/>
      <c r="B68" s="5"/>
      <c r="C68" s="5"/>
      <c r="D68" s="5"/>
      <c r="E68" s="6"/>
      <c r="F68" s="6"/>
      <c r="G68" s="6"/>
      <c r="H68" s="7"/>
      <c r="I68" s="8"/>
      <c r="J68" s="8"/>
      <c r="K68" s="8"/>
      <c r="L68" s="8"/>
      <c r="M68" s="8"/>
      <c r="N68" s="5"/>
      <c r="O68" s="5"/>
      <c r="P68" s="5"/>
      <c r="Q68" s="5"/>
      <c r="R68" s="5"/>
      <c r="S68" s="5"/>
      <c r="T68" s="5"/>
      <c r="U68" s="5"/>
    </row>
    <row r="69" spans="1:21" ht="19.5" customHeight="1" x14ac:dyDescent="0.3">
      <c r="A69" s="5"/>
      <c r="B69" s="5"/>
      <c r="C69" s="5"/>
      <c r="D69" s="5"/>
      <c r="E69" s="6"/>
      <c r="F69" s="6"/>
      <c r="G69" s="6"/>
      <c r="H69" s="7"/>
      <c r="I69" s="8"/>
      <c r="J69" s="8"/>
      <c r="K69" s="8"/>
      <c r="L69" s="8"/>
      <c r="M69" s="8"/>
      <c r="N69" s="5"/>
      <c r="O69" s="5"/>
      <c r="P69" s="5"/>
      <c r="Q69" s="5"/>
      <c r="R69" s="5"/>
      <c r="S69" s="5"/>
      <c r="T69" s="5"/>
      <c r="U69" s="5"/>
    </row>
    <row r="70" spans="1:21" ht="19.5" customHeight="1" x14ac:dyDescent="0.3">
      <c r="A70" s="5"/>
      <c r="B70" s="5"/>
      <c r="C70" s="5"/>
      <c r="D70" s="5"/>
      <c r="E70" s="6"/>
      <c r="F70" s="6"/>
      <c r="G70" s="6"/>
      <c r="H70" s="7"/>
      <c r="I70" s="8"/>
      <c r="J70" s="8"/>
      <c r="K70" s="8"/>
      <c r="L70" s="8"/>
      <c r="M70" s="8"/>
      <c r="N70" s="5"/>
      <c r="O70" s="5"/>
      <c r="P70" s="5"/>
      <c r="Q70" s="5"/>
      <c r="R70" s="5"/>
      <c r="S70" s="5"/>
      <c r="T70" s="5"/>
      <c r="U70" s="5"/>
    </row>
    <row r="71" spans="1:21" ht="19.5" customHeight="1" x14ac:dyDescent="0.3">
      <c r="A71" s="5"/>
      <c r="B71" s="5"/>
      <c r="C71" s="5"/>
      <c r="D71" s="5"/>
      <c r="E71" s="6"/>
      <c r="F71" s="6"/>
      <c r="G71" s="6"/>
      <c r="H71" s="7"/>
      <c r="I71" s="8"/>
      <c r="J71" s="8"/>
      <c r="K71" s="8"/>
      <c r="L71" s="8"/>
      <c r="M71" s="8"/>
      <c r="N71" s="5"/>
      <c r="O71" s="5"/>
      <c r="P71" s="5"/>
      <c r="Q71" s="5"/>
      <c r="R71" s="5"/>
      <c r="S71" s="5"/>
      <c r="T71" s="5"/>
      <c r="U71" s="5"/>
    </row>
    <row r="72" spans="1:21" ht="19.5" customHeight="1" x14ac:dyDescent="0.3">
      <c r="A72" s="5"/>
      <c r="B72" s="5"/>
      <c r="C72" s="5"/>
      <c r="D72" s="5"/>
      <c r="E72" s="6"/>
      <c r="F72" s="6"/>
      <c r="G72" s="6"/>
      <c r="H72" s="7"/>
      <c r="I72" s="8"/>
      <c r="J72" s="8"/>
      <c r="K72" s="8"/>
      <c r="L72" s="8"/>
      <c r="M72" s="8"/>
      <c r="N72" s="5"/>
      <c r="O72" s="5"/>
      <c r="P72" s="5"/>
      <c r="Q72" s="5"/>
      <c r="R72" s="5"/>
      <c r="S72" s="5"/>
      <c r="T72" s="5"/>
      <c r="U72" s="5"/>
    </row>
    <row r="73" spans="1:21" ht="19.5" customHeight="1" x14ac:dyDescent="0.3">
      <c r="A73" s="5"/>
      <c r="B73" s="5"/>
      <c r="C73" s="5"/>
      <c r="D73" s="5"/>
      <c r="E73" s="6"/>
      <c r="F73" s="6"/>
      <c r="G73" s="6"/>
      <c r="H73" s="7"/>
      <c r="I73" s="8"/>
      <c r="J73" s="8"/>
      <c r="K73" s="8"/>
      <c r="L73" s="8"/>
      <c r="M73" s="8"/>
      <c r="N73" s="5"/>
      <c r="O73" s="5"/>
      <c r="P73" s="5"/>
      <c r="Q73" s="5"/>
      <c r="R73" s="5"/>
      <c r="S73" s="5"/>
      <c r="T73" s="5"/>
      <c r="U73" s="5"/>
    </row>
    <row r="74" spans="1:21" ht="19.5" customHeight="1" x14ac:dyDescent="0.3">
      <c r="A74" s="5"/>
      <c r="B74" s="5"/>
      <c r="C74" s="5"/>
      <c r="D74" s="5"/>
      <c r="E74" s="6"/>
      <c r="F74" s="6"/>
      <c r="G74" s="6"/>
      <c r="H74" s="7"/>
      <c r="I74" s="8"/>
      <c r="J74" s="8"/>
      <c r="K74" s="8"/>
      <c r="L74" s="8"/>
      <c r="M74" s="8"/>
      <c r="N74" s="5"/>
      <c r="O74" s="5"/>
      <c r="P74" s="5"/>
      <c r="Q74" s="5"/>
      <c r="R74" s="5"/>
      <c r="S74" s="5"/>
      <c r="T74" s="5"/>
      <c r="U74" s="5"/>
    </row>
    <row r="75" spans="1:21" ht="19.5" customHeight="1" x14ac:dyDescent="0.3">
      <c r="A75" s="5"/>
      <c r="B75" s="5"/>
      <c r="C75" s="5"/>
      <c r="D75" s="5"/>
      <c r="E75" s="6"/>
      <c r="F75" s="6"/>
      <c r="G75" s="6"/>
      <c r="H75" s="7"/>
      <c r="I75" s="8"/>
      <c r="J75" s="8"/>
      <c r="K75" s="8"/>
      <c r="L75" s="8"/>
      <c r="M75" s="8"/>
      <c r="N75" s="5"/>
      <c r="O75" s="5"/>
      <c r="P75" s="5"/>
      <c r="Q75" s="5"/>
      <c r="R75" s="5"/>
      <c r="S75" s="5"/>
      <c r="T75" s="5"/>
      <c r="U75" s="5"/>
    </row>
    <row r="76" spans="1:21" ht="19.5" customHeight="1" x14ac:dyDescent="0.3">
      <c r="A76" s="5"/>
      <c r="B76" s="5"/>
      <c r="C76" s="5"/>
      <c r="D76" s="5"/>
      <c r="E76" s="6"/>
      <c r="F76" s="6"/>
      <c r="G76" s="6"/>
      <c r="H76" s="7"/>
      <c r="I76" s="8"/>
      <c r="J76" s="8"/>
      <c r="K76" s="8"/>
      <c r="L76" s="8"/>
      <c r="M76" s="8"/>
      <c r="N76" s="5"/>
      <c r="O76" s="5"/>
      <c r="P76" s="5"/>
      <c r="Q76" s="5"/>
      <c r="R76" s="5"/>
      <c r="S76" s="5"/>
      <c r="T76" s="5"/>
      <c r="U76" s="5"/>
    </row>
    <row r="77" spans="1:21" ht="19.5" customHeight="1" x14ac:dyDescent="0.3">
      <c r="A77" s="5"/>
      <c r="B77" s="5"/>
      <c r="C77" s="5"/>
      <c r="D77" s="5"/>
      <c r="E77" s="6"/>
      <c r="F77" s="6"/>
      <c r="G77" s="6"/>
      <c r="H77" s="7"/>
      <c r="I77" s="8"/>
      <c r="J77" s="8"/>
      <c r="K77" s="8"/>
      <c r="L77" s="8"/>
      <c r="M77" s="8"/>
      <c r="N77" s="5"/>
      <c r="O77" s="5"/>
      <c r="P77" s="5"/>
      <c r="Q77" s="5"/>
      <c r="R77" s="5"/>
      <c r="S77" s="5"/>
      <c r="T77" s="5"/>
      <c r="U77" s="5"/>
    </row>
    <row r="78" spans="1:21" ht="19.5" customHeight="1" x14ac:dyDescent="0.3">
      <c r="A78" s="5"/>
      <c r="B78" s="5"/>
      <c r="C78" s="5"/>
      <c r="D78" s="5"/>
      <c r="E78" s="6"/>
      <c r="F78" s="6"/>
      <c r="G78" s="6"/>
      <c r="H78" s="7"/>
      <c r="I78" s="8"/>
      <c r="J78" s="8"/>
      <c r="K78" s="8"/>
      <c r="L78" s="8"/>
      <c r="M78" s="8"/>
      <c r="N78" s="5"/>
      <c r="O78" s="5"/>
      <c r="P78" s="5"/>
      <c r="Q78" s="5"/>
      <c r="R78" s="5"/>
      <c r="S78" s="5"/>
      <c r="T78" s="5"/>
      <c r="U78" s="5"/>
    </row>
    <row r="79" spans="1:21" ht="19.5" customHeight="1" x14ac:dyDescent="0.3">
      <c r="A79" s="5"/>
      <c r="B79" s="5"/>
      <c r="C79" s="5"/>
      <c r="D79" s="5"/>
      <c r="E79" s="6"/>
      <c r="F79" s="6"/>
      <c r="G79" s="6"/>
      <c r="H79" s="7"/>
      <c r="I79" s="8"/>
      <c r="J79" s="8"/>
      <c r="K79" s="8"/>
      <c r="L79" s="8"/>
      <c r="M79" s="8"/>
      <c r="N79" s="5"/>
      <c r="O79" s="5"/>
      <c r="P79" s="5"/>
      <c r="Q79" s="5"/>
      <c r="R79" s="5"/>
      <c r="S79" s="5"/>
      <c r="T79" s="5"/>
      <c r="U79" s="5"/>
    </row>
    <row r="80" spans="1:21" ht="19.5" customHeight="1" x14ac:dyDescent="0.3">
      <c r="A80" s="5"/>
      <c r="B80" s="5"/>
      <c r="C80" s="5"/>
      <c r="D80" s="5"/>
      <c r="E80" s="6"/>
      <c r="F80" s="6"/>
      <c r="G80" s="6"/>
      <c r="H80" s="7"/>
      <c r="I80" s="8"/>
      <c r="J80" s="8"/>
      <c r="K80" s="8"/>
      <c r="L80" s="8"/>
      <c r="M80" s="8"/>
      <c r="N80" s="5"/>
      <c r="O80" s="5"/>
      <c r="P80" s="5"/>
      <c r="Q80" s="5"/>
      <c r="R80" s="5"/>
      <c r="S80" s="5"/>
      <c r="T80" s="5"/>
      <c r="U80" s="5"/>
    </row>
    <row r="81" spans="1:21" ht="19.5" customHeight="1" x14ac:dyDescent="0.3">
      <c r="A81" s="5"/>
      <c r="B81" s="5"/>
      <c r="C81" s="5"/>
      <c r="D81" s="5"/>
      <c r="E81" s="6"/>
      <c r="F81" s="6"/>
      <c r="G81" s="6"/>
      <c r="H81" s="7"/>
      <c r="I81" s="8"/>
      <c r="J81" s="8"/>
      <c r="K81" s="8"/>
      <c r="L81" s="8"/>
      <c r="M81" s="8"/>
      <c r="N81" s="5"/>
      <c r="O81" s="5"/>
      <c r="P81" s="5"/>
      <c r="Q81" s="5"/>
      <c r="R81" s="5"/>
      <c r="S81" s="5"/>
      <c r="T81" s="5"/>
      <c r="U81" s="5"/>
    </row>
    <row r="82" spans="1:21" ht="19.5" customHeight="1" x14ac:dyDescent="0.3">
      <c r="A82" s="5"/>
      <c r="B82" s="5"/>
      <c r="C82" s="5"/>
      <c r="D82" s="5"/>
      <c r="E82" s="6"/>
      <c r="F82" s="6"/>
      <c r="G82" s="6"/>
      <c r="H82" s="7"/>
      <c r="I82" s="8"/>
      <c r="J82" s="8"/>
      <c r="K82" s="8"/>
      <c r="L82" s="8"/>
      <c r="M82" s="8"/>
      <c r="N82" s="5"/>
      <c r="O82" s="5"/>
      <c r="P82" s="5"/>
      <c r="Q82" s="5"/>
      <c r="R82" s="5"/>
      <c r="S82" s="5"/>
      <c r="T82" s="5"/>
      <c r="U82" s="5"/>
    </row>
    <row r="83" spans="1:21" ht="19.5" customHeight="1" x14ac:dyDescent="0.3">
      <c r="A83" s="5"/>
      <c r="B83" s="5"/>
      <c r="C83" s="5"/>
      <c r="D83" s="5"/>
      <c r="E83" s="6"/>
      <c r="F83" s="6"/>
      <c r="G83" s="6"/>
      <c r="H83" s="7"/>
      <c r="I83" s="8"/>
      <c r="J83" s="8"/>
      <c r="K83" s="8"/>
      <c r="L83" s="8"/>
      <c r="M83" s="8"/>
      <c r="N83" s="5"/>
      <c r="O83" s="5"/>
      <c r="P83" s="5"/>
      <c r="Q83" s="5"/>
      <c r="R83" s="5"/>
      <c r="S83" s="5"/>
      <c r="T83" s="5"/>
      <c r="U83" s="5"/>
    </row>
    <row r="84" spans="1:21" ht="19.5" customHeight="1" x14ac:dyDescent="0.3">
      <c r="A84" s="5"/>
      <c r="B84" s="5"/>
      <c r="C84" s="5"/>
      <c r="D84" s="5"/>
      <c r="E84" s="6"/>
      <c r="F84" s="6"/>
      <c r="G84" s="6"/>
      <c r="H84" s="7"/>
      <c r="I84" s="8"/>
      <c r="J84" s="8"/>
      <c r="K84" s="8"/>
      <c r="L84" s="8"/>
      <c r="M84" s="8"/>
      <c r="N84" s="5"/>
      <c r="O84" s="5"/>
      <c r="P84" s="5"/>
      <c r="Q84" s="5"/>
      <c r="R84" s="5"/>
      <c r="S84" s="5"/>
      <c r="T84" s="5"/>
      <c r="U84" s="5"/>
    </row>
    <row r="85" spans="1:21" ht="19.5" customHeight="1" x14ac:dyDescent="0.3">
      <c r="A85" s="5"/>
      <c r="B85" s="5"/>
      <c r="C85" s="5"/>
      <c r="D85" s="5"/>
      <c r="E85" s="6"/>
      <c r="F85" s="6"/>
      <c r="G85" s="6"/>
      <c r="H85" s="7"/>
      <c r="I85" s="8"/>
      <c r="J85" s="8"/>
      <c r="K85" s="8"/>
      <c r="L85" s="8"/>
      <c r="M85" s="8"/>
      <c r="N85" s="5"/>
      <c r="O85" s="5"/>
      <c r="P85" s="5"/>
      <c r="Q85" s="5"/>
      <c r="R85" s="5"/>
      <c r="S85" s="5"/>
      <c r="T85" s="5"/>
      <c r="U85" s="5"/>
    </row>
    <row r="86" spans="1:21" ht="19.5" customHeight="1" x14ac:dyDescent="0.3">
      <c r="A86" s="5"/>
      <c r="B86" s="5"/>
      <c r="C86" s="5"/>
      <c r="D86" s="5"/>
      <c r="E86" s="6"/>
      <c r="F86" s="6"/>
      <c r="G86" s="6"/>
      <c r="H86" s="7"/>
      <c r="I86" s="8"/>
      <c r="J86" s="8"/>
      <c r="K86" s="8"/>
      <c r="L86" s="8"/>
      <c r="M86" s="8"/>
      <c r="N86" s="5"/>
      <c r="O86" s="5"/>
      <c r="P86" s="5"/>
      <c r="Q86" s="5"/>
      <c r="R86" s="5"/>
      <c r="S86" s="5"/>
      <c r="T86" s="5"/>
      <c r="U86" s="5"/>
    </row>
    <row r="87" spans="1:21" ht="19.5" customHeight="1" x14ac:dyDescent="0.3">
      <c r="A87" s="5"/>
      <c r="B87" s="5"/>
      <c r="C87" s="5"/>
      <c r="D87" s="5"/>
      <c r="E87" s="6"/>
      <c r="F87" s="6"/>
      <c r="G87" s="6"/>
      <c r="H87" s="7"/>
      <c r="I87" s="8"/>
      <c r="J87" s="8"/>
      <c r="K87" s="8"/>
      <c r="L87" s="8"/>
      <c r="M87" s="8"/>
      <c r="N87" s="5"/>
      <c r="O87" s="5"/>
      <c r="P87" s="5"/>
      <c r="Q87" s="5"/>
      <c r="R87" s="5"/>
      <c r="S87" s="5"/>
      <c r="T87" s="5"/>
      <c r="U87" s="5"/>
    </row>
    <row r="88" spans="1:21" ht="19.5" customHeight="1" x14ac:dyDescent="0.3">
      <c r="A88" s="5"/>
      <c r="B88" s="5"/>
      <c r="C88" s="5"/>
      <c r="D88" s="5"/>
      <c r="E88" s="6"/>
      <c r="F88" s="6"/>
      <c r="G88" s="6"/>
      <c r="H88" s="7"/>
      <c r="I88" s="8"/>
      <c r="J88" s="8"/>
      <c r="K88" s="8"/>
      <c r="L88" s="8"/>
      <c r="M88" s="8"/>
      <c r="N88" s="5"/>
      <c r="O88" s="5"/>
      <c r="P88" s="5"/>
      <c r="Q88" s="5"/>
      <c r="R88" s="5"/>
      <c r="S88" s="5"/>
      <c r="T88" s="5"/>
      <c r="U88" s="5"/>
    </row>
    <row r="89" spans="1:21" ht="19.5" customHeight="1" x14ac:dyDescent="0.3">
      <c r="A89" s="5"/>
      <c r="B89" s="5"/>
      <c r="C89" s="5"/>
      <c r="D89" s="5"/>
      <c r="E89" s="6"/>
      <c r="F89" s="6"/>
      <c r="G89" s="6"/>
      <c r="H89" s="7"/>
      <c r="I89" s="8"/>
      <c r="J89" s="8"/>
      <c r="K89" s="8"/>
      <c r="L89" s="8"/>
      <c r="M89" s="8"/>
      <c r="N89" s="5"/>
      <c r="O89" s="5"/>
      <c r="P89" s="5"/>
      <c r="Q89" s="5"/>
      <c r="R89" s="5"/>
      <c r="S89" s="5"/>
      <c r="T89" s="5"/>
      <c r="U89" s="5"/>
    </row>
    <row r="90" spans="1:21" ht="19.5" customHeight="1" x14ac:dyDescent="0.3">
      <c r="A90" s="5"/>
      <c r="B90" s="5"/>
      <c r="C90" s="5"/>
      <c r="D90" s="5"/>
      <c r="E90" s="6"/>
      <c r="F90" s="6"/>
      <c r="G90" s="6"/>
      <c r="H90" s="7"/>
      <c r="I90" s="8"/>
      <c r="J90" s="8"/>
      <c r="K90" s="8"/>
      <c r="L90" s="8"/>
      <c r="M90" s="8"/>
      <c r="N90" s="5"/>
      <c r="O90" s="5"/>
      <c r="P90" s="5"/>
      <c r="Q90" s="5"/>
      <c r="R90" s="5"/>
      <c r="S90" s="5"/>
      <c r="T90" s="5"/>
      <c r="U90" s="5"/>
    </row>
    <row r="91" spans="1:21" ht="19.5" customHeight="1" x14ac:dyDescent="0.3">
      <c r="A91" s="5"/>
      <c r="B91" s="5"/>
      <c r="C91" s="5"/>
      <c r="D91" s="5"/>
      <c r="E91" s="6"/>
      <c r="F91" s="6"/>
      <c r="G91" s="6"/>
      <c r="H91" s="7"/>
      <c r="I91" s="8"/>
      <c r="J91" s="8"/>
      <c r="K91" s="8"/>
      <c r="L91" s="8"/>
      <c r="M91" s="8"/>
      <c r="N91" s="5"/>
      <c r="O91" s="5"/>
      <c r="P91" s="5"/>
      <c r="Q91" s="5"/>
      <c r="R91" s="5"/>
      <c r="S91" s="5"/>
      <c r="T91" s="5"/>
      <c r="U91" s="5"/>
    </row>
    <row r="92" spans="1:21" ht="19.5" customHeight="1" x14ac:dyDescent="0.3">
      <c r="A92" s="5"/>
      <c r="B92" s="5"/>
      <c r="C92" s="5"/>
      <c r="D92" s="5"/>
      <c r="E92" s="6"/>
      <c r="F92" s="6"/>
      <c r="G92" s="6"/>
      <c r="H92" s="7"/>
      <c r="I92" s="8"/>
      <c r="J92" s="8"/>
      <c r="K92" s="8"/>
      <c r="L92" s="8"/>
      <c r="M92" s="8"/>
      <c r="N92" s="5"/>
      <c r="O92" s="5"/>
      <c r="P92" s="5"/>
      <c r="Q92" s="5"/>
      <c r="R92" s="5"/>
      <c r="S92" s="5"/>
      <c r="T92" s="5"/>
      <c r="U92" s="5"/>
    </row>
    <row r="93" spans="1:21" ht="19.5" customHeight="1" x14ac:dyDescent="0.3">
      <c r="A93" s="5"/>
      <c r="B93" s="5"/>
      <c r="C93" s="5"/>
      <c r="D93" s="5"/>
      <c r="E93" s="6"/>
      <c r="F93" s="6"/>
      <c r="G93" s="6"/>
      <c r="H93" s="7"/>
      <c r="I93" s="8"/>
      <c r="J93" s="8"/>
      <c r="K93" s="8"/>
      <c r="L93" s="8"/>
      <c r="M93" s="8"/>
      <c r="N93" s="5"/>
      <c r="O93" s="5"/>
      <c r="P93" s="5"/>
      <c r="Q93" s="5"/>
      <c r="R93" s="5"/>
      <c r="S93" s="5"/>
      <c r="T93" s="5"/>
      <c r="U93" s="5"/>
    </row>
    <row r="94" spans="1:21" ht="19.5" customHeight="1" x14ac:dyDescent="0.3">
      <c r="A94" s="5"/>
      <c r="B94" s="5"/>
      <c r="C94" s="5"/>
      <c r="D94" s="5"/>
      <c r="E94" s="6"/>
      <c r="F94" s="6"/>
      <c r="G94" s="6"/>
      <c r="H94" s="7"/>
      <c r="I94" s="8"/>
      <c r="J94" s="8"/>
      <c r="K94" s="8"/>
      <c r="L94" s="8"/>
      <c r="M94" s="8"/>
      <c r="N94" s="5"/>
      <c r="O94" s="5"/>
      <c r="P94" s="5"/>
      <c r="Q94" s="5"/>
      <c r="R94" s="5"/>
      <c r="S94" s="5"/>
      <c r="T94" s="5"/>
      <c r="U94" s="5"/>
    </row>
    <row r="95" spans="1:21" ht="19.5" customHeight="1" x14ac:dyDescent="0.3">
      <c r="A95" s="5"/>
      <c r="B95" s="5"/>
      <c r="C95" s="5"/>
      <c r="D95" s="5"/>
      <c r="E95" s="6"/>
      <c r="F95" s="6"/>
      <c r="G95" s="6"/>
      <c r="H95" s="7"/>
      <c r="I95" s="8"/>
      <c r="J95" s="8"/>
      <c r="K95" s="8"/>
      <c r="L95" s="8"/>
      <c r="M95" s="8"/>
      <c r="N95" s="5"/>
      <c r="O95" s="5"/>
      <c r="P95" s="5"/>
      <c r="Q95" s="5"/>
      <c r="R95" s="5"/>
      <c r="S95" s="5"/>
      <c r="T95" s="5"/>
      <c r="U95" s="5"/>
    </row>
    <row r="96" spans="1:21" ht="19.5" customHeight="1" x14ac:dyDescent="0.3">
      <c r="A96" s="5"/>
      <c r="B96" s="5"/>
      <c r="C96" s="5"/>
      <c r="D96" s="5"/>
      <c r="E96" s="6"/>
      <c r="F96" s="6"/>
      <c r="G96" s="6"/>
      <c r="H96" s="7"/>
      <c r="I96" s="8"/>
      <c r="J96" s="8"/>
      <c r="K96" s="8"/>
      <c r="L96" s="8"/>
      <c r="M96" s="8"/>
      <c r="N96" s="5"/>
      <c r="O96" s="5"/>
      <c r="P96" s="5"/>
      <c r="Q96" s="5"/>
      <c r="R96" s="5"/>
      <c r="S96" s="5"/>
      <c r="T96" s="5"/>
      <c r="U96" s="5"/>
    </row>
    <row r="97" spans="1:21" ht="19.5" customHeight="1" x14ac:dyDescent="0.3">
      <c r="A97" s="5"/>
      <c r="B97" s="5"/>
      <c r="C97" s="5"/>
      <c r="D97" s="5"/>
      <c r="E97" s="6"/>
      <c r="F97" s="6"/>
      <c r="G97" s="6"/>
      <c r="H97" s="7"/>
      <c r="I97" s="8"/>
      <c r="J97" s="8"/>
      <c r="K97" s="8"/>
      <c r="L97" s="8"/>
      <c r="M97" s="8"/>
      <c r="N97" s="5"/>
      <c r="O97" s="5"/>
      <c r="P97" s="5"/>
      <c r="Q97" s="5"/>
      <c r="R97" s="5"/>
      <c r="S97" s="5"/>
      <c r="T97" s="5"/>
      <c r="U97" s="5"/>
    </row>
    <row r="98" spans="1:21" ht="19.5" customHeight="1" x14ac:dyDescent="0.3">
      <c r="A98" s="5"/>
      <c r="B98" s="5"/>
      <c r="C98" s="5"/>
      <c r="D98" s="5"/>
      <c r="E98" s="6"/>
      <c r="F98" s="6"/>
      <c r="G98" s="6"/>
      <c r="H98" s="7"/>
      <c r="I98" s="8"/>
      <c r="J98" s="8"/>
      <c r="K98" s="8"/>
      <c r="L98" s="8"/>
      <c r="M98" s="8"/>
      <c r="N98" s="5"/>
      <c r="O98" s="5"/>
      <c r="P98" s="5"/>
      <c r="Q98" s="5"/>
      <c r="R98" s="5"/>
      <c r="S98" s="5"/>
      <c r="T98" s="5"/>
      <c r="U98" s="5"/>
    </row>
    <row r="99" spans="1:21" ht="19.5" customHeight="1" x14ac:dyDescent="0.3">
      <c r="A99" s="5"/>
      <c r="B99" s="5"/>
      <c r="C99" s="5"/>
      <c r="D99" s="5"/>
      <c r="E99" s="6"/>
      <c r="F99" s="6"/>
      <c r="G99" s="6"/>
      <c r="H99" s="7"/>
      <c r="I99" s="8"/>
      <c r="J99" s="8"/>
      <c r="K99" s="8"/>
      <c r="L99" s="8"/>
      <c r="M99" s="8"/>
      <c r="N99" s="5"/>
      <c r="O99" s="5"/>
      <c r="P99" s="5"/>
      <c r="Q99" s="5"/>
      <c r="R99" s="5"/>
      <c r="S99" s="5"/>
      <c r="T99" s="5"/>
      <c r="U99" s="5"/>
    </row>
    <row r="100" spans="1:21" ht="19.5" customHeight="1" x14ac:dyDescent="0.3">
      <c r="A100" s="5"/>
      <c r="B100" s="5"/>
      <c r="C100" s="5"/>
      <c r="D100" s="5"/>
      <c r="E100" s="6"/>
      <c r="F100" s="6"/>
      <c r="G100" s="6"/>
      <c r="H100" s="7"/>
      <c r="I100" s="8"/>
      <c r="J100" s="8"/>
      <c r="K100" s="8"/>
      <c r="L100" s="8"/>
      <c r="M100" s="8"/>
      <c r="N100" s="5"/>
      <c r="O100" s="5"/>
      <c r="P100" s="5"/>
      <c r="Q100" s="5"/>
      <c r="R100" s="5"/>
      <c r="S100" s="5"/>
      <c r="T100" s="5"/>
      <c r="U100" s="5"/>
    </row>
    <row r="101" spans="1:21" ht="19.5" customHeight="1" x14ac:dyDescent="0.3">
      <c r="A101" s="5"/>
      <c r="B101" s="5"/>
      <c r="C101" s="5"/>
      <c r="D101" s="5"/>
      <c r="E101" s="6"/>
      <c r="F101" s="6"/>
      <c r="G101" s="6"/>
      <c r="H101" s="7"/>
      <c r="I101" s="8"/>
      <c r="J101" s="8"/>
      <c r="K101" s="8"/>
      <c r="L101" s="8"/>
      <c r="M101" s="8"/>
      <c r="N101" s="5"/>
      <c r="O101" s="5"/>
      <c r="P101" s="5"/>
      <c r="Q101" s="5"/>
      <c r="R101" s="5"/>
      <c r="S101" s="5"/>
      <c r="T101" s="5"/>
      <c r="U101" s="5"/>
    </row>
    <row r="102" spans="1:21" ht="19.5" customHeight="1" x14ac:dyDescent="0.3">
      <c r="A102" s="5"/>
      <c r="B102" s="5"/>
      <c r="C102" s="5"/>
      <c r="D102" s="5"/>
      <c r="E102" s="6"/>
      <c r="F102" s="6"/>
      <c r="G102" s="6"/>
      <c r="H102" s="7"/>
      <c r="I102" s="8"/>
      <c r="J102" s="8"/>
      <c r="K102" s="8"/>
      <c r="L102" s="8"/>
      <c r="M102" s="8"/>
      <c r="N102" s="5"/>
      <c r="O102" s="5"/>
      <c r="P102" s="5"/>
      <c r="Q102" s="5"/>
      <c r="R102" s="5"/>
      <c r="S102" s="5"/>
      <c r="T102" s="5"/>
      <c r="U102" s="5"/>
    </row>
    <row r="103" spans="1:21" ht="19.5" customHeight="1" x14ac:dyDescent="0.3">
      <c r="A103" s="5"/>
      <c r="B103" s="5"/>
      <c r="C103" s="5"/>
      <c r="D103" s="5"/>
      <c r="E103" s="6"/>
      <c r="F103" s="6"/>
      <c r="G103" s="6"/>
      <c r="H103" s="7"/>
      <c r="I103" s="8"/>
      <c r="J103" s="8"/>
      <c r="K103" s="8"/>
      <c r="L103" s="8"/>
      <c r="M103" s="8"/>
      <c r="N103" s="5"/>
      <c r="O103" s="5"/>
      <c r="P103" s="5"/>
      <c r="Q103" s="5"/>
      <c r="R103" s="5"/>
      <c r="S103" s="5"/>
      <c r="T103" s="5"/>
      <c r="U103" s="5"/>
    </row>
    <row r="104" spans="1:21" ht="19.5" customHeight="1" x14ac:dyDescent="0.3">
      <c r="A104" s="5"/>
      <c r="B104" s="5"/>
      <c r="C104" s="5"/>
      <c r="D104" s="5"/>
      <c r="E104" s="6"/>
      <c r="F104" s="6"/>
      <c r="G104" s="6"/>
      <c r="H104" s="7"/>
      <c r="I104" s="8"/>
      <c r="J104" s="8"/>
      <c r="K104" s="8"/>
      <c r="L104" s="8"/>
      <c r="M104" s="8"/>
      <c r="N104" s="5"/>
      <c r="O104" s="5"/>
      <c r="P104" s="5"/>
      <c r="Q104" s="5"/>
      <c r="R104" s="5"/>
      <c r="S104" s="5"/>
      <c r="T104" s="5"/>
      <c r="U104" s="5"/>
    </row>
    <row r="105" spans="1:21" ht="19.5" customHeight="1" x14ac:dyDescent="0.3">
      <c r="A105" s="5"/>
      <c r="B105" s="5"/>
      <c r="C105" s="5"/>
      <c r="D105" s="5"/>
      <c r="E105" s="6"/>
      <c r="F105" s="6"/>
      <c r="G105" s="6"/>
      <c r="H105" s="7"/>
      <c r="I105" s="8"/>
      <c r="J105" s="8"/>
      <c r="K105" s="8"/>
      <c r="L105" s="8"/>
      <c r="M105" s="8"/>
      <c r="N105" s="5"/>
      <c r="O105" s="5"/>
      <c r="P105" s="5"/>
      <c r="Q105" s="5"/>
      <c r="R105" s="5"/>
      <c r="S105" s="5"/>
      <c r="T105" s="5"/>
      <c r="U105" s="5"/>
    </row>
    <row r="106" spans="1:21" ht="19.5" customHeight="1" x14ac:dyDescent="0.3">
      <c r="A106" s="5"/>
      <c r="B106" s="5"/>
      <c r="C106" s="5"/>
      <c r="D106" s="5"/>
      <c r="E106" s="6"/>
      <c r="F106" s="6"/>
      <c r="G106" s="6"/>
      <c r="H106" s="7"/>
      <c r="I106" s="8"/>
      <c r="J106" s="8"/>
      <c r="K106" s="8"/>
      <c r="L106" s="8"/>
      <c r="M106" s="8"/>
      <c r="N106" s="5"/>
      <c r="O106" s="5"/>
      <c r="P106" s="5"/>
      <c r="Q106" s="5"/>
      <c r="R106" s="5"/>
      <c r="S106" s="5"/>
      <c r="T106" s="5"/>
      <c r="U106" s="5"/>
    </row>
    <row r="107" spans="1:21" ht="19.5" customHeight="1" x14ac:dyDescent="0.3">
      <c r="A107" s="5"/>
      <c r="B107" s="5"/>
      <c r="C107" s="5"/>
      <c r="D107" s="5"/>
      <c r="E107" s="6"/>
      <c r="F107" s="6"/>
      <c r="G107" s="6"/>
      <c r="H107" s="7"/>
      <c r="I107" s="8"/>
      <c r="J107" s="8"/>
      <c r="K107" s="8"/>
      <c r="L107" s="8"/>
      <c r="M107" s="8"/>
      <c r="N107" s="5"/>
      <c r="O107" s="5"/>
      <c r="P107" s="5"/>
      <c r="Q107" s="5"/>
      <c r="R107" s="5"/>
      <c r="S107" s="5"/>
      <c r="T107" s="5"/>
      <c r="U107" s="5"/>
    </row>
    <row r="108" spans="1:21" ht="19.5" customHeight="1" x14ac:dyDescent="0.3">
      <c r="A108" s="5"/>
      <c r="B108" s="5"/>
      <c r="C108" s="5"/>
      <c r="D108" s="5"/>
      <c r="E108" s="6"/>
      <c r="F108" s="6"/>
      <c r="G108" s="6"/>
      <c r="H108" s="7"/>
      <c r="I108" s="8"/>
      <c r="J108" s="8"/>
      <c r="K108" s="8"/>
      <c r="L108" s="8"/>
      <c r="M108" s="8"/>
      <c r="N108" s="5"/>
      <c r="O108" s="5"/>
      <c r="P108" s="5"/>
      <c r="Q108" s="5"/>
      <c r="R108" s="5"/>
      <c r="S108" s="5"/>
      <c r="T108" s="5"/>
      <c r="U108" s="5"/>
    </row>
    <row r="109" spans="1:21" ht="19.5" customHeight="1" x14ac:dyDescent="0.3">
      <c r="A109" s="5"/>
      <c r="B109" s="5"/>
      <c r="C109" s="5"/>
      <c r="D109" s="5"/>
      <c r="E109" s="6"/>
      <c r="F109" s="6"/>
      <c r="G109" s="6"/>
      <c r="H109" s="7"/>
      <c r="I109" s="8"/>
      <c r="J109" s="8"/>
      <c r="K109" s="8"/>
      <c r="L109" s="8"/>
      <c r="M109" s="8"/>
      <c r="N109" s="5"/>
      <c r="O109" s="5"/>
      <c r="P109" s="5"/>
      <c r="Q109" s="5"/>
      <c r="R109" s="5"/>
      <c r="S109" s="5"/>
      <c r="T109" s="5"/>
      <c r="U109" s="5"/>
    </row>
    <row r="110" spans="1:21" ht="19.5" customHeight="1" x14ac:dyDescent="0.3">
      <c r="A110" s="5"/>
      <c r="B110" s="5"/>
      <c r="C110" s="5"/>
      <c r="D110" s="5"/>
      <c r="E110" s="6"/>
      <c r="F110" s="6"/>
      <c r="G110" s="6"/>
      <c r="H110" s="7"/>
      <c r="I110" s="8"/>
      <c r="J110" s="8"/>
      <c r="K110" s="8"/>
      <c r="L110" s="8"/>
      <c r="M110" s="8"/>
      <c r="N110" s="5"/>
      <c r="O110" s="5"/>
      <c r="P110" s="5"/>
      <c r="Q110" s="5"/>
      <c r="R110" s="5"/>
      <c r="S110" s="5"/>
      <c r="T110" s="5"/>
      <c r="U110" s="5"/>
    </row>
    <row r="111" spans="1:21" ht="19.5" customHeight="1" x14ac:dyDescent="0.3">
      <c r="A111" s="5"/>
      <c r="B111" s="5"/>
      <c r="C111" s="5"/>
      <c r="D111" s="5"/>
      <c r="E111" s="6"/>
      <c r="F111" s="6"/>
      <c r="G111" s="6"/>
      <c r="H111" s="7"/>
      <c r="I111" s="8"/>
      <c r="J111" s="8"/>
      <c r="K111" s="8"/>
      <c r="L111" s="8"/>
      <c r="M111" s="8"/>
      <c r="N111" s="5"/>
      <c r="O111" s="5"/>
      <c r="P111" s="5"/>
      <c r="Q111" s="5"/>
      <c r="R111" s="5"/>
      <c r="S111" s="5"/>
      <c r="T111" s="5"/>
      <c r="U111" s="5"/>
    </row>
    <row r="112" spans="1:21" ht="19.5" customHeight="1" x14ac:dyDescent="0.3">
      <c r="A112" s="5"/>
      <c r="B112" s="5"/>
      <c r="C112" s="5"/>
      <c r="D112" s="5"/>
      <c r="E112" s="6"/>
      <c r="F112" s="6"/>
      <c r="G112" s="6"/>
      <c r="H112" s="7"/>
      <c r="I112" s="8"/>
      <c r="J112" s="8"/>
      <c r="K112" s="8"/>
      <c r="L112" s="8"/>
      <c r="M112" s="8"/>
      <c r="N112" s="5"/>
      <c r="O112" s="5"/>
      <c r="P112" s="5"/>
      <c r="Q112" s="5"/>
      <c r="R112" s="5"/>
      <c r="S112" s="5"/>
      <c r="T112" s="5"/>
      <c r="U112" s="5"/>
    </row>
    <row r="113" spans="1:21" ht="19.5" customHeight="1" x14ac:dyDescent="0.3">
      <c r="A113" s="5"/>
      <c r="B113" s="5"/>
      <c r="C113" s="5"/>
      <c r="D113" s="5"/>
      <c r="E113" s="6"/>
      <c r="F113" s="6"/>
      <c r="G113" s="6"/>
      <c r="H113" s="7"/>
      <c r="I113" s="8"/>
      <c r="J113" s="8"/>
      <c r="K113" s="8"/>
      <c r="L113" s="8"/>
      <c r="M113" s="8"/>
      <c r="N113" s="5"/>
      <c r="O113" s="5"/>
      <c r="P113" s="5"/>
      <c r="Q113" s="5"/>
      <c r="R113" s="5"/>
      <c r="S113" s="5"/>
      <c r="T113" s="5"/>
      <c r="U113" s="5"/>
    </row>
    <row r="114" spans="1:21" ht="19.5" customHeight="1" x14ac:dyDescent="0.3">
      <c r="A114" s="5"/>
      <c r="B114" s="5"/>
      <c r="C114" s="5"/>
      <c r="D114" s="5"/>
      <c r="E114" s="6"/>
      <c r="F114" s="6"/>
      <c r="G114" s="6"/>
      <c r="H114" s="7"/>
      <c r="I114" s="8"/>
      <c r="J114" s="8"/>
      <c r="K114" s="8"/>
      <c r="L114" s="8"/>
      <c r="M114" s="8"/>
      <c r="N114" s="5"/>
      <c r="O114" s="5"/>
      <c r="P114" s="5"/>
      <c r="Q114" s="5"/>
      <c r="R114" s="5"/>
      <c r="S114" s="5"/>
      <c r="T114" s="5"/>
      <c r="U114" s="5"/>
    </row>
    <row r="115" spans="1:21" ht="19.5" customHeight="1" x14ac:dyDescent="0.3">
      <c r="A115" s="5"/>
      <c r="B115" s="5"/>
      <c r="C115" s="5"/>
      <c r="D115" s="5"/>
      <c r="E115" s="6"/>
      <c r="F115" s="6"/>
      <c r="G115" s="6"/>
      <c r="H115" s="7"/>
      <c r="I115" s="8"/>
      <c r="J115" s="8"/>
      <c r="K115" s="8"/>
      <c r="L115" s="8"/>
      <c r="M115" s="8"/>
      <c r="N115" s="5"/>
      <c r="O115" s="5"/>
      <c r="P115" s="5"/>
      <c r="Q115" s="5"/>
      <c r="R115" s="5"/>
      <c r="S115" s="5"/>
      <c r="T115" s="5"/>
      <c r="U115" s="5"/>
    </row>
    <row r="116" spans="1:21" ht="19.5" customHeight="1" x14ac:dyDescent="0.3">
      <c r="A116" s="5"/>
      <c r="B116" s="5"/>
      <c r="C116" s="5"/>
      <c r="D116" s="5"/>
      <c r="E116" s="6"/>
      <c r="F116" s="6"/>
      <c r="G116" s="6"/>
      <c r="H116" s="7"/>
      <c r="I116" s="8"/>
      <c r="J116" s="8"/>
      <c r="K116" s="8"/>
      <c r="L116" s="8"/>
      <c r="M116" s="8"/>
      <c r="N116" s="5"/>
      <c r="O116" s="5"/>
      <c r="P116" s="5"/>
      <c r="Q116" s="5"/>
      <c r="R116" s="5"/>
      <c r="S116" s="5"/>
      <c r="T116" s="5"/>
      <c r="U116" s="5"/>
    </row>
    <row r="117" spans="1:21" ht="19.5" customHeight="1" x14ac:dyDescent="0.3">
      <c r="A117" s="5"/>
      <c r="B117" s="5"/>
      <c r="C117" s="5"/>
      <c r="D117" s="5"/>
      <c r="E117" s="6"/>
      <c r="F117" s="6"/>
      <c r="G117" s="6"/>
      <c r="H117" s="7"/>
      <c r="I117" s="8"/>
      <c r="J117" s="8"/>
      <c r="K117" s="8"/>
      <c r="L117" s="8"/>
      <c r="M117" s="8"/>
      <c r="N117" s="5"/>
      <c r="O117" s="5"/>
      <c r="P117" s="5"/>
      <c r="Q117" s="5"/>
      <c r="R117" s="5"/>
      <c r="S117" s="5"/>
      <c r="T117" s="5"/>
      <c r="U117" s="5"/>
    </row>
    <row r="118" spans="1:21" ht="19.5" customHeight="1" x14ac:dyDescent="0.3">
      <c r="A118" s="5"/>
      <c r="B118" s="5"/>
      <c r="C118" s="5"/>
      <c r="D118" s="5"/>
      <c r="E118" s="6"/>
      <c r="F118" s="6"/>
      <c r="G118" s="6"/>
      <c r="H118" s="7"/>
      <c r="I118" s="8"/>
      <c r="J118" s="8"/>
      <c r="K118" s="8"/>
      <c r="L118" s="8"/>
      <c r="M118" s="8"/>
      <c r="N118" s="5"/>
      <c r="O118" s="5"/>
      <c r="P118" s="5"/>
      <c r="Q118" s="5"/>
      <c r="R118" s="5"/>
      <c r="S118" s="5"/>
      <c r="T118" s="5"/>
      <c r="U118" s="5"/>
    </row>
    <row r="119" spans="1:21" ht="19.5" customHeight="1" x14ac:dyDescent="0.3">
      <c r="A119" s="5"/>
      <c r="B119" s="5"/>
      <c r="C119" s="5"/>
      <c r="D119" s="5"/>
      <c r="E119" s="6"/>
      <c r="F119" s="6"/>
      <c r="G119" s="6"/>
      <c r="H119" s="7"/>
      <c r="I119" s="8"/>
      <c r="J119" s="8"/>
      <c r="K119" s="8"/>
      <c r="L119" s="8"/>
      <c r="M119" s="8"/>
      <c r="N119" s="5"/>
      <c r="O119" s="5"/>
      <c r="P119" s="5"/>
      <c r="Q119" s="5"/>
      <c r="R119" s="5"/>
      <c r="S119" s="5"/>
      <c r="T119" s="5"/>
      <c r="U119" s="5"/>
    </row>
    <row r="120" spans="1:21" ht="19.5" customHeight="1" x14ac:dyDescent="0.3">
      <c r="A120" s="5"/>
      <c r="B120" s="5"/>
      <c r="C120" s="5"/>
      <c r="D120" s="5"/>
      <c r="E120" s="6"/>
      <c r="F120" s="6"/>
      <c r="G120" s="6"/>
      <c r="H120" s="7"/>
      <c r="I120" s="8"/>
      <c r="J120" s="8"/>
      <c r="K120" s="8"/>
      <c r="L120" s="8"/>
      <c r="M120" s="8"/>
      <c r="N120" s="5"/>
      <c r="O120" s="5"/>
      <c r="P120" s="5"/>
      <c r="Q120" s="5"/>
      <c r="R120" s="5"/>
      <c r="S120" s="5"/>
      <c r="T120" s="5"/>
      <c r="U120" s="5"/>
    </row>
    <row r="121" spans="1:21" ht="19.5" customHeight="1" x14ac:dyDescent="0.3">
      <c r="A121" s="5"/>
      <c r="B121" s="5"/>
      <c r="C121" s="5"/>
      <c r="D121" s="5"/>
      <c r="E121" s="6"/>
      <c r="F121" s="6"/>
      <c r="G121" s="6"/>
      <c r="H121" s="7"/>
      <c r="I121" s="8"/>
      <c r="J121" s="8"/>
      <c r="K121" s="8"/>
      <c r="L121" s="8"/>
      <c r="M121" s="8"/>
      <c r="N121" s="5"/>
      <c r="O121" s="5"/>
      <c r="P121" s="5"/>
      <c r="Q121" s="5"/>
      <c r="R121" s="5"/>
      <c r="S121" s="5"/>
      <c r="T121" s="5"/>
      <c r="U121" s="5"/>
    </row>
    <row r="122" spans="1:21" ht="19.5" customHeight="1" x14ac:dyDescent="0.3">
      <c r="A122" s="5"/>
      <c r="B122" s="5"/>
      <c r="C122" s="5"/>
      <c r="D122" s="5"/>
      <c r="E122" s="6"/>
      <c r="F122" s="6"/>
      <c r="G122" s="6"/>
      <c r="H122" s="7"/>
      <c r="I122" s="8"/>
      <c r="J122" s="8"/>
      <c r="K122" s="8"/>
      <c r="L122" s="8"/>
      <c r="M122" s="8"/>
      <c r="N122" s="5"/>
      <c r="O122" s="5"/>
      <c r="P122" s="5"/>
      <c r="Q122" s="5"/>
      <c r="R122" s="5"/>
      <c r="S122" s="5"/>
      <c r="T122" s="5"/>
      <c r="U122" s="5"/>
    </row>
    <row r="123" spans="1:21" ht="19.5" customHeight="1" x14ac:dyDescent="0.3">
      <c r="A123" s="5"/>
      <c r="B123" s="5"/>
      <c r="C123" s="5"/>
      <c r="D123" s="5"/>
      <c r="E123" s="6"/>
      <c r="F123" s="6"/>
      <c r="G123" s="6"/>
      <c r="H123" s="7"/>
      <c r="I123" s="8"/>
      <c r="J123" s="8"/>
      <c r="K123" s="8"/>
      <c r="L123" s="8"/>
      <c r="M123" s="8"/>
      <c r="N123" s="5"/>
      <c r="O123" s="5"/>
      <c r="P123" s="5"/>
      <c r="Q123" s="5"/>
      <c r="R123" s="5"/>
      <c r="S123" s="5"/>
      <c r="T123" s="5"/>
      <c r="U123" s="5"/>
    </row>
    <row r="124" spans="1:21" ht="19.5" customHeight="1" x14ac:dyDescent="0.3">
      <c r="A124" s="5"/>
      <c r="B124" s="5"/>
      <c r="C124" s="5"/>
      <c r="D124" s="5"/>
      <c r="E124" s="6"/>
      <c r="F124" s="6"/>
      <c r="G124" s="6"/>
      <c r="H124" s="7"/>
      <c r="I124" s="8"/>
      <c r="J124" s="8"/>
      <c r="K124" s="8"/>
      <c r="L124" s="8"/>
      <c r="M124" s="8"/>
      <c r="N124" s="5"/>
      <c r="O124" s="5"/>
      <c r="P124" s="5"/>
      <c r="Q124" s="5"/>
      <c r="R124" s="5"/>
      <c r="S124" s="5"/>
      <c r="T124" s="5"/>
      <c r="U124" s="5"/>
    </row>
    <row r="125" spans="1:21" ht="19.5" customHeight="1" x14ac:dyDescent="0.3">
      <c r="A125" s="5"/>
      <c r="B125" s="5"/>
      <c r="C125" s="5"/>
      <c r="D125" s="5"/>
      <c r="E125" s="6"/>
      <c r="F125" s="6"/>
      <c r="G125" s="6"/>
      <c r="H125" s="7"/>
      <c r="I125" s="8"/>
      <c r="J125" s="8"/>
      <c r="K125" s="8"/>
      <c r="L125" s="8"/>
      <c r="M125" s="8"/>
      <c r="N125" s="5"/>
      <c r="O125" s="5"/>
      <c r="P125" s="5"/>
      <c r="Q125" s="5"/>
      <c r="R125" s="5"/>
      <c r="S125" s="5"/>
      <c r="T125" s="5"/>
      <c r="U125" s="5"/>
    </row>
    <row r="126" spans="1:21" ht="19.5" customHeight="1" x14ac:dyDescent="0.3">
      <c r="A126" s="5"/>
      <c r="B126" s="5"/>
      <c r="C126" s="5"/>
      <c r="D126" s="5"/>
      <c r="E126" s="6"/>
      <c r="F126" s="6"/>
      <c r="G126" s="6"/>
      <c r="H126" s="7"/>
      <c r="I126" s="8"/>
      <c r="J126" s="8"/>
      <c r="K126" s="8"/>
      <c r="L126" s="8"/>
      <c r="M126" s="8"/>
      <c r="N126" s="5"/>
      <c r="O126" s="5"/>
      <c r="P126" s="5"/>
      <c r="Q126" s="5"/>
      <c r="R126" s="5"/>
      <c r="S126" s="5"/>
      <c r="T126" s="5"/>
      <c r="U126" s="5"/>
    </row>
    <row r="127" spans="1:21" ht="19.5" customHeight="1" x14ac:dyDescent="0.3">
      <c r="A127" s="5"/>
      <c r="B127" s="5"/>
      <c r="C127" s="5"/>
      <c r="D127" s="5"/>
      <c r="E127" s="6"/>
      <c r="F127" s="6"/>
      <c r="G127" s="6"/>
      <c r="H127" s="7"/>
      <c r="I127" s="8"/>
      <c r="J127" s="8"/>
      <c r="K127" s="8"/>
      <c r="L127" s="8"/>
      <c r="M127" s="8"/>
      <c r="N127" s="5"/>
      <c r="O127" s="5"/>
      <c r="P127" s="5"/>
      <c r="Q127" s="5"/>
      <c r="R127" s="5"/>
      <c r="S127" s="5"/>
      <c r="T127" s="5"/>
      <c r="U127" s="5"/>
    </row>
    <row r="128" spans="1:21" ht="19.5" customHeight="1" x14ac:dyDescent="0.3">
      <c r="A128" s="5"/>
      <c r="B128" s="5"/>
      <c r="C128" s="5"/>
      <c r="D128" s="5"/>
      <c r="E128" s="6"/>
      <c r="F128" s="6"/>
      <c r="G128" s="6"/>
      <c r="H128" s="7"/>
      <c r="I128" s="8"/>
      <c r="J128" s="8"/>
      <c r="K128" s="8"/>
      <c r="L128" s="8"/>
      <c r="M128" s="8"/>
      <c r="N128" s="5"/>
      <c r="O128" s="5"/>
      <c r="P128" s="5"/>
      <c r="Q128" s="5"/>
      <c r="R128" s="5"/>
      <c r="S128" s="5"/>
      <c r="T128" s="5"/>
      <c r="U128" s="5"/>
    </row>
    <row r="129" spans="1:21" ht="19.5" customHeight="1" x14ac:dyDescent="0.3">
      <c r="A129" s="5"/>
      <c r="B129" s="5"/>
      <c r="C129" s="5"/>
      <c r="D129" s="5"/>
      <c r="E129" s="6"/>
      <c r="F129" s="6"/>
      <c r="G129" s="6"/>
      <c r="H129" s="7"/>
      <c r="I129" s="8"/>
      <c r="J129" s="8"/>
      <c r="K129" s="8"/>
      <c r="L129" s="8"/>
      <c r="M129" s="8"/>
      <c r="N129" s="5"/>
      <c r="O129" s="5"/>
      <c r="P129" s="5"/>
      <c r="Q129" s="5"/>
      <c r="R129" s="5"/>
      <c r="S129" s="5"/>
      <c r="T129" s="5"/>
      <c r="U129" s="5"/>
    </row>
    <row r="130" spans="1:21" ht="19.5" customHeight="1" x14ac:dyDescent="0.3">
      <c r="A130" s="5"/>
      <c r="B130" s="5"/>
      <c r="C130" s="5"/>
      <c r="D130" s="5"/>
      <c r="E130" s="6"/>
      <c r="F130" s="6"/>
      <c r="G130" s="6"/>
      <c r="H130" s="7"/>
      <c r="I130" s="8"/>
      <c r="J130" s="8"/>
      <c r="K130" s="8"/>
      <c r="L130" s="8"/>
      <c r="M130" s="8"/>
      <c r="N130" s="5"/>
      <c r="O130" s="5"/>
      <c r="P130" s="5"/>
      <c r="Q130" s="5"/>
      <c r="R130" s="5"/>
      <c r="S130" s="5"/>
      <c r="T130" s="5"/>
      <c r="U130" s="5"/>
    </row>
    <row r="131" spans="1:21" ht="19.5" customHeight="1" x14ac:dyDescent="0.3">
      <c r="A131" s="5"/>
      <c r="B131" s="5"/>
      <c r="C131" s="5"/>
      <c r="D131" s="5"/>
      <c r="E131" s="6"/>
      <c r="F131" s="6"/>
      <c r="G131" s="6"/>
      <c r="H131" s="7"/>
      <c r="I131" s="8"/>
      <c r="J131" s="8"/>
      <c r="K131" s="8"/>
      <c r="L131" s="8"/>
      <c r="M131" s="8"/>
      <c r="N131" s="5"/>
      <c r="O131" s="5"/>
      <c r="P131" s="5"/>
      <c r="Q131" s="5"/>
      <c r="R131" s="5"/>
      <c r="S131" s="5"/>
      <c r="T131" s="5"/>
      <c r="U131" s="5"/>
    </row>
    <row r="132" spans="1:21" ht="19.5" customHeight="1" x14ac:dyDescent="0.3">
      <c r="A132" s="5"/>
      <c r="B132" s="5"/>
      <c r="C132" s="5"/>
      <c r="D132" s="5"/>
      <c r="E132" s="6"/>
      <c r="F132" s="6"/>
      <c r="G132" s="6"/>
      <c r="H132" s="7"/>
      <c r="I132" s="8"/>
      <c r="J132" s="8"/>
      <c r="K132" s="8"/>
      <c r="L132" s="8"/>
      <c r="M132" s="8"/>
      <c r="N132" s="5"/>
      <c r="O132" s="5"/>
      <c r="P132" s="5"/>
      <c r="Q132" s="5"/>
      <c r="R132" s="5"/>
      <c r="S132" s="5"/>
      <c r="T132" s="5"/>
      <c r="U132" s="5"/>
    </row>
    <row r="133" spans="1:21" ht="19.5" customHeight="1" x14ac:dyDescent="0.3">
      <c r="A133" s="5"/>
      <c r="B133" s="5"/>
      <c r="C133" s="5"/>
      <c r="D133" s="5"/>
      <c r="E133" s="6"/>
      <c r="F133" s="6"/>
      <c r="G133" s="6"/>
      <c r="H133" s="7"/>
      <c r="I133" s="8"/>
      <c r="J133" s="8"/>
      <c r="K133" s="8"/>
      <c r="L133" s="8"/>
      <c r="M133" s="8"/>
      <c r="N133" s="5"/>
      <c r="O133" s="5"/>
      <c r="P133" s="5"/>
      <c r="Q133" s="5"/>
      <c r="R133" s="5"/>
      <c r="S133" s="5"/>
      <c r="T133" s="5"/>
      <c r="U133" s="5"/>
    </row>
    <row r="134" spans="1:21" ht="19.5" customHeight="1" x14ac:dyDescent="0.3">
      <c r="A134" s="5"/>
      <c r="B134" s="5"/>
      <c r="C134" s="5"/>
      <c r="D134" s="5"/>
      <c r="E134" s="6"/>
      <c r="F134" s="6"/>
      <c r="G134" s="6"/>
      <c r="H134" s="7"/>
      <c r="I134" s="8"/>
      <c r="J134" s="8"/>
      <c r="K134" s="8"/>
      <c r="L134" s="8"/>
      <c r="M134" s="8"/>
      <c r="N134" s="5"/>
      <c r="O134" s="5"/>
      <c r="P134" s="5"/>
      <c r="Q134" s="5"/>
      <c r="R134" s="5"/>
      <c r="S134" s="5"/>
      <c r="T134" s="5"/>
      <c r="U134" s="5"/>
    </row>
    <row r="135" spans="1:21" ht="19.5" customHeight="1" x14ac:dyDescent="0.3">
      <c r="A135" s="5"/>
      <c r="B135" s="5"/>
      <c r="C135" s="5"/>
      <c r="D135" s="5"/>
      <c r="E135" s="6"/>
      <c r="F135" s="6"/>
      <c r="G135" s="6"/>
      <c r="H135" s="7"/>
      <c r="I135" s="8"/>
      <c r="J135" s="8"/>
      <c r="K135" s="8"/>
      <c r="L135" s="8"/>
      <c r="M135" s="8"/>
      <c r="N135" s="5"/>
      <c r="O135" s="5"/>
      <c r="P135" s="5"/>
      <c r="Q135" s="5"/>
      <c r="R135" s="5"/>
      <c r="S135" s="5"/>
      <c r="T135" s="5"/>
      <c r="U135" s="5"/>
    </row>
    <row r="136" spans="1:21" ht="19.5" customHeight="1" x14ac:dyDescent="0.3">
      <c r="A136" s="5"/>
      <c r="B136" s="5"/>
      <c r="C136" s="5"/>
      <c r="D136" s="5"/>
      <c r="E136" s="6"/>
      <c r="F136" s="6"/>
      <c r="G136" s="6"/>
      <c r="H136" s="7"/>
      <c r="I136" s="8"/>
      <c r="J136" s="8"/>
      <c r="K136" s="8"/>
      <c r="L136" s="8"/>
      <c r="M136" s="8"/>
      <c r="N136" s="5"/>
      <c r="O136" s="5"/>
      <c r="P136" s="5"/>
      <c r="Q136" s="5"/>
      <c r="R136" s="5"/>
      <c r="S136" s="5"/>
      <c r="T136" s="5"/>
      <c r="U136" s="5"/>
    </row>
    <row r="137" spans="1:21" ht="19.5" customHeight="1" x14ac:dyDescent="0.3">
      <c r="A137" s="5"/>
      <c r="B137" s="5"/>
      <c r="C137" s="5"/>
      <c r="D137" s="5"/>
      <c r="E137" s="6"/>
      <c r="F137" s="6"/>
      <c r="G137" s="6"/>
      <c r="H137" s="7"/>
      <c r="I137" s="8"/>
      <c r="J137" s="8"/>
      <c r="K137" s="8"/>
      <c r="L137" s="8"/>
      <c r="M137" s="8"/>
      <c r="N137" s="5"/>
      <c r="O137" s="5"/>
      <c r="P137" s="5"/>
      <c r="Q137" s="5"/>
      <c r="R137" s="5"/>
      <c r="S137" s="5"/>
      <c r="T137" s="5"/>
      <c r="U137" s="5"/>
    </row>
    <row r="138" spans="1:21" ht="19.5" customHeight="1" x14ac:dyDescent="0.3">
      <c r="A138" s="5"/>
      <c r="B138" s="5"/>
      <c r="C138" s="5"/>
      <c r="D138" s="5"/>
      <c r="E138" s="6"/>
      <c r="F138" s="6"/>
      <c r="G138" s="6"/>
      <c r="H138" s="7"/>
      <c r="I138" s="8"/>
      <c r="J138" s="8"/>
      <c r="K138" s="8"/>
      <c r="L138" s="8"/>
      <c r="M138" s="8"/>
      <c r="N138" s="5"/>
      <c r="O138" s="5"/>
      <c r="P138" s="5"/>
      <c r="Q138" s="5"/>
      <c r="R138" s="5"/>
      <c r="S138" s="5"/>
      <c r="T138" s="5"/>
      <c r="U138" s="5"/>
    </row>
    <row r="139" spans="1:21" ht="19.5" customHeight="1" x14ac:dyDescent="0.3">
      <c r="A139" s="5"/>
      <c r="B139" s="5"/>
      <c r="C139" s="5"/>
      <c r="D139" s="5"/>
      <c r="E139" s="6"/>
      <c r="F139" s="6"/>
      <c r="G139" s="6"/>
      <c r="H139" s="7"/>
      <c r="I139" s="8"/>
      <c r="J139" s="8"/>
      <c r="K139" s="8"/>
      <c r="L139" s="8"/>
      <c r="M139" s="8"/>
      <c r="N139" s="5"/>
      <c r="O139" s="5"/>
      <c r="P139" s="5"/>
      <c r="Q139" s="5"/>
      <c r="R139" s="5"/>
      <c r="S139" s="5"/>
      <c r="T139" s="5"/>
      <c r="U139" s="5"/>
    </row>
    <row r="140" spans="1:21" ht="19.5" customHeight="1" x14ac:dyDescent="0.3">
      <c r="A140" s="5"/>
      <c r="B140" s="5"/>
      <c r="C140" s="5"/>
      <c r="D140" s="5"/>
      <c r="E140" s="6"/>
      <c r="F140" s="6"/>
      <c r="G140" s="6"/>
      <c r="H140" s="7"/>
      <c r="I140" s="8"/>
      <c r="J140" s="8"/>
      <c r="K140" s="8"/>
      <c r="L140" s="8"/>
      <c r="M140" s="8"/>
      <c r="N140" s="5"/>
      <c r="O140" s="5"/>
      <c r="P140" s="5"/>
      <c r="Q140" s="5"/>
      <c r="R140" s="5"/>
      <c r="S140" s="5"/>
      <c r="T140" s="5"/>
      <c r="U140" s="5"/>
    </row>
    <row r="141" spans="1:21" ht="19.5" customHeight="1" x14ac:dyDescent="0.3">
      <c r="A141" s="5"/>
      <c r="B141" s="5"/>
      <c r="C141" s="5"/>
      <c r="D141" s="5"/>
      <c r="E141" s="6"/>
      <c r="F141" s="6"/>
      <c r="G141" s="6"/>
      <c r="H141" s="7"/>
      <c r="I141" s="8"/>
      <c r="J141" s="8"/>
      <c r="K141" s="8"/>
      <c r="L141" s="8"/>
      <c r="M141" s="8"/>
      <c r="N141" s="5"/>
      <c r="O141" s="5"/>
      <c r="P141" s="5"/>
      <c r="Q141" s="5"/>
      <c r="R141" s="5"/>
      <c r="S141" s="5"/>
      <c r="T141" s="5"/>
      <c r="U141" s="5"/>
    </row>
    <row r="142" spans="1:21" ht="19.5" customHeight="1" x14ac:dyDescent="0.3">
      <c r="A142" s="5"/>
      <c r="B142" s="5"/>
      <c r="C142" s="5"/>
      <c r="D142" s="5"/>
      <c r="E142" s="6"/>
      <c r="F142" s="6"/>
      <c r="G142" s="6"/>
      <c r="H142" s="7"/>
      <c r="I142" s="8"/>
      <c r="J142" s="8"/>
      <c r="K142" s="8"/>
      <c r="L142" s="8"/>
      <c r="M142" s="8"/>
      <c r="N142" s="5"/>
      <c r="O142" s="5"/>
      <c r="P142" s="5"/>
      <c r="Q142" s="5"/>
      <c r="R142" s="5"/>
      <c r="S142" s="5"/>
      <c r="T142" s="5"/>
      <c r="U142" s="5"/>
    </row>
    <row r="143" spans="1:21" ht="19.5" customHeight="1" x14ac:dyDescent="0.3">
      <c r="A143" s="5"/>
      <c r="B143" s="5"/>
      <c r="C143" s="5"/>
      <c r="D143" s="5"/>
      <c r="E143" s="6"/>
      <c r="F143" s="6"/>
      <c r="G143" s="6"/>
      <c r="H143" s="7"/>
      <c r="I143" s="8"/>
      <c r="J143" s="8"/>
      <c r="K143" s="8"/>
      <c r="L143" s="8"/>
      <c r="M143" s="8"/>
      <c r="N143" s="5"/>
      <c r="O143" s="5"/>
      <c r="P143" s="5"/>
      <c r="Q143" s="5"/>
      <c r="R143" s="5"/>
      <c r="S143" s="5"/>
      <c r="T143" s="5"/>
      <c r="U143" s="5"/>
    </row>
    <row r="144" spans="1:21" ht="19.5" customHeight="1" x14ac:dyDescent="0.3">
      <c r="A144" s="5"/>
      <c r="B144" s="5"/>
      <c r="C144" s="5"/>
      <c r="D144" s="5"/>
      <c r="E144" s="6"/>
      <c r="F144" s="6"/>
      <c r="G144" s="6"/>
      <c r="H144" s="7"/>
      <c r="I144" s="8"/>
      <c r="J144" s="8"/>
      <c r="K144" s="8"/>
      <c r="L144" s="8"/>
      <c r="M144" s="8"/>
      <c r="N144" s="5"/>
      <c r="O144" s="5"/>
      <c r="P144" s="5"/>
      <c r="Q144" s="5"/>
      <c r="R144" s="5"/>
      <c r="S144" s="5"/>
      <c r="T144" s="5"/>
      <c r="U144" s="5"/>
    </row>
    <row r="145" spans="1:21" ht="19.5" customHeight="1" x14ac:dyDescent="0.3">
      <c r="A145" s="5"/>
      <c r="B145" s="5"/>
      <c r="C145" s="5"/>
      <c r="D145" s="5"/>
      <c r="E145" s="6"/>
      <c r="F145" s="6"/>
      <c r="G145" s="6"/>
      <c r="H145" s="7"/>
      <c r="I145" s="8"/>
      <c r="J145" s="8"/>
      <c r="K145" s="8"/>
      <c r="L145" s="8"/>
      <c r="M145" s="8"/>
      <c r="N145" s="5"/>
      <c r="O145" s="5"/>
      <c r="P145" s="5"/>
      <c r="Q145" s="5"/>
      <c r="R145" s="5"/>
      <c r="S145" s="5"/>
      <c r="T145" s="5"/>
      <c r="U145" s="5"/>
    </row>
    <row r="146" spans="1:21" ht="19.5" customHeight="1" x14ac:dyDescent="0.3">
      <c r="A146" s="5"/>
      <c r="B146" s="5"/>
      <c r="C146" s="5"/>
      <c r="D146" s="5"/>
      <c r="E146" s="6"/>
      <c r="F146" s="6"/>
      <c r="G146" s="6"/>
      <c r="H146" s="7"/>
      <c r="I146" s="8"/>
      <c r="J146" s="8"/>
      <c r="K146" s="8"/>
      <c r="L146" s="8"/>
      <c r="M146" s="8"/>
      <c r="N146" s="5"/>
      <c r="O146" s="5"/>
      <c r="P146" s="5"/>
      <c r="Q146" s="5"/>
      <c r="R146" s="5"/>
      <c r="S146" s="5"/>
      <c r="T146" s="5"/>
      <c r="U146" s="5"/>
    </row>
    <row r="147" spans="1:21" ht="19.5" customHeight="1" x14ac:dyDescent="0.3">
      <c r="A147" s="5"/>
      <c r="B147" s="5"/>
      <c r="C147" s="5"/>
      <c r="D147" s="5"/>
      <c r="E147" s="6"/>
      <c r="F147" s="6"/>
      <c r="G147" s="6"/>
      <c r="H147" s="7"/>
      <c r="I147" s="8"/>
      <c r="J147" s="8"/>
      <c r="K147" s="8"/>
      <c r="L147" s="8"/>
      <c r="M147" s="8"/>
      <c r="N147" s="5"/>
      <c r="O147" s="5"/>
      <c r="P147" s="5"/>
      <c r="Q147" s="5"/>
      <c r="R147" s="5"/>
      <c r="S147" s="5"/>
      <c r="T147" s="5"/>
      <c r="U147" s="5"/>
    </row>
    <row r="148" spans="1:21" ht="19.5" customHeight="1" x14ac:dyDescent="0.3">
      <c r="A148" s="5"/>
      <c r="B148" s="5"/>
      <c r="C148" s="5"/>
      <c r="D148" s="5"/>
      <c r="E148" s="6"/>
      <c r="F148" s="6"/>
      <c r="G148" s="6"/>
      <c r="H148" s="7"/>
      <c r="I148" s="8"/>
      <c r="J148" s="8"/>
      <c r="K148" s="8"/>
      <c r="L148" s="8"/>
      <c r="M148" s="8"/>
      <c r="N148" s="5"/>
      <c r="O148" s="5"/>
      <c r="P148" s="5"/>
      <c r="Q148" s="5"/>
      <c r="R148" s="5"/>
      <c r="S148" s="5"/>
      <c r="T148" s="5"/>
      <c r="U148" s="5"/>
    </row>
    <row r="149" spans="1:21" ht="19.5" customHeight="1" x14ac:dyDescent="0.3">
      <c r="A149" s="5"/>
      <c r="B149" s="5"/>
      <c r="C149" s="5"/>
      <c r="D149" s="5"/>
      <c r="E149" s="6"/>
      <c r="F149" s="6"/>
      <c r="G149" s="6"/>
      <c r="H149" s="7"/>
      <c r="I149" s="8"/>
      <c r="J149" s="8"/>
      <c r="K149" s="8"/>
      <c r="L149" s="8"/>
      <c r="M149" s="8"/>
      <c r="N149" s="5"/>
      <c r="O149" s="5"/>
      <c r="P149" s="5"/>
      <c r="Q149" s="5"/>
      <c r="R149" s="5"/>
      <c r="S149" s="5"/>
      <c r="T149" s="5"/>
      <c r="U149" s="5"/>
    </row>
    <row r="150" spans="1:21" ht="19.5" customHeight="1" x14ac:dyDescent="0.3">
      <c r="A150" s="5"/>
      <c r="B150" s="5"/>
      <c r="C150" s="5"/>
      <c r="D150" s="5"/>
      <c r="E150" s="6"/>
      <c r="F150" s="6"/>
      <c r="G150" s="6"/>
      <c r="H150" s="7"/>
      <c r="I150" s="8"/>
      <c r="J150" s="8"/>
      <c r="K150" s="8"/>
      <c r="L150" s="8"/>
      <c r="M150" s="8"/>
      <c r="N150" s="5"/>
      <c r="O150" s="5"/>
      <c r="P150" s="5"/>
      <c r="Q150" s="5"/>
      <c r="R150" s="5"/>
      <c r="S150" s="5"/>
      <c r="T150" s="5"/>
      <c r="U150" s="5"/>
    </row>
    <row r="151" spans="1:21" ht="19.5" customHeight="1" x14ac:dyDescent="0.3">
      <c r="A151" s="5"/>
      <c r="B151" s="5"/>
      <c r="C151" s="5"/>
      <c r="D151" s="5"/>
      <c r="E151" s="6"/>
      <c r="F151" s="6"/>
      <c r="G151" s="6"/>
      <c r="H151" s="7"/>
      <c r="I151" s="8"/>
      <c r="J151" s="8"/>
      <c r="K151" s="8"/>
      <c r="L151" s="8"/>
      <c r="M151" s="8"/>
      <c r="N151" s="5"/>
      <c r="O151" s="5"/>
      <c r="P151" s="5"/>
      <c r="Q151" s="5"/>
      <c r="R151" s="5"/>
      <c r="S151" s="5"/>
      <c r="T151" s="5"/>
      <c r="U151" s="5"/>
    </row>
    <row r="152" spans="1:21" ht="19.5" customHeight="1" x14ac:dyDescent="0.3">
      <c r="A152" s="5"/>
      <c r="B152" s="5"/>
      <c r="C152" s="5"/>
      <c r="D152" s="5"/>
      <c r="E152" s="6"/>
      <c r="F152" s="6"/>
      <c r="G152" s="6"/>
      <c r="H152" s="7"/>
      <c r="I152" s="8"/>
      <c r="J152" s="8"/>
      <c r="K152" s="8"/>
      <c r="L152" s="8"/>
      <c r="M152" s="8"/>
      <c r="N152" s="5"/>
      <c r="O152" s="5"/>
      <c r="P152" s="5"/>
      <c r="Q152" s="5"/>
      <c r="R152" s="5"/>
      <c r="S152" s="5"/>
      <c r="T152" s="5"/>
      <c r="U152" s="5"/>
    </row>
    <row r="153" spans="1:21" ht="19.5" customHeight="1" x14ac:dyDescent="0.3">
      <c r="A153" s="5"/>
      <c r="B153" s="5"/>
      <c r="C153" s="5"/>
      <c r="D153" s="5"/>
      <c r="E153" s="6"/>
      <c r="F153" s="6"/>
      <c r="G153" s="6"/>
      <c r="H153" s="7"/>
      <c r="I153" s="8"/>
      <c r="J153" s="8"/>
      <c r="K153" s="8"/>
      <c r="L153" s="8"/>
      <c r="M153" s="8"/>
      <c r="N153" s="5"/>
      <c r="O153" s="5"/>
      <c r="P153" s="5"/>
      <c r="Q153" s="5"/>
      <c r="R153" s="5"/>
      <c r="S153" s="5"/>
      <c r="T153" s="5"/>
      <c r="U153" s="5"/>
    </row>
    <row r="154" spans="1:21" ht="19.5" customHeight="1" x14ac:dyDescent="0.3">
      <c r="A154" s="5"/>
      <c r="B154" s="5"/>
      <c r="C154" s="5"/>
      <c r="D154" s="5"/>
      <c r="E154" s="6"/>
      <c r="F154" s="6"/>
      <c r="G154" s="6"/>
      <c r="H154" s="7"/>
      <c r="I154" s="8"/>
      <c r="J154" s="8"/>
      <c r="K154" s="8"/>
      <c r="L154" s="8"/>
      <c r="M154" s="8"/>
      <c r="N154" s="5"/>
      <c r="O154" s="5"/>
      <c r="P154" s="5"/>
      <c r="Q154" s="5"/>
      <c r="R154" s="5"/>
      <c r="S154" s="5"/>
      <c r="T154" s="5"/>
      <c r="U154" s="5"/>
    </row>
    <row r="155" spans="1:21" ht="19.5" customHeight="1" x14ac:dyDescent="0.3">
      <c r="A155" s="5"/>
      <c r="B155" s="5"/>
      <c r="C155" s="5"/>
      <c r="D155" s="5"/>
      <c r="E155" s="6"/>
      <c r="F155" s="6"/>
      <c r="G155" s="6"/>
      <c r="H155" s="7"/>
      <c r="I155" s="8"/>
      <c r="J155" s="8"/>
      <c r="K155" s="8"/>
      <c r="L155" s="8"/>
      <c r="M155" s="8"/>
      <c r="N155" s="5"/>
      <c r="O155" s="5"/>
      <c r="P155" s="5"/>
      <c r="Q155" s="5"/>
      <c r="R155" s="5"/>
      <c r="S155" s="5"/>
      <c r="T155" s="5"/>
      <c r="U155" s="5"/>
    </row>
    <row r="156" spans="1:21" ht="19.5" customHeight="1" x14ac:dyDescent="0.3">
      <c r="A156" s="5"/>
      <c r="B156" s="5"/>
      <c r="C156" s="5"/>
      <c r="D156" s="5"/>
      <c r="E156" s="6"/>
      <c r="F156" s="6"/>
      <c r="G156" s="6"/>
      <c r="H156" s="7"/>
      <c r="I156" s="8"/>
      <c r="J156" s="8"/>
      <c r="K156" s="8"/>
      <c r="L156" s="8"/>
      <c r="M156" s="8"/>
      <c r="N156" s="5"/>
      <c r="O156" s="5"/>
      <c r="P156" s="5"/>
      <c r="Q156" s="5"/>
      <c r="R156" s="5"/>
      <c r="S156" s="5"/>
      <c r="T156" s="5"/>
      <c r="U156" s="5"/>
    </row>
    <row r="157" spans="1:21" ht="19.5" customHeight="1" x14ac:dyDescent="0.3">
      <c r="A157" s="5"/>
      <c r="B157" s="5"/>
      <c r="C157" s="5"/>
      <c r="D157" s="5"/>
      <c r="E157" s="6"/>
      <c r="F157" s="6"/>
      <c r="G157" s="6"/>
      <c r="H157" s="7"/>
      <c r="I157" s="8"/>
      <c r="J157" s="8"/>
      <c r="K157" s="8"/>
      <c r="L157" s="8"/>
      <c r="M157" s="8"/>
      <c r="N157" s="5"/>
      <c r="O157" s="5"/>
      <c r="P157" s="5"/>
      <c r="Q157" s="5"/>
      <c r="R157" s="5"/>
      <c r="S157" s="5"/>
      <c r="T157" s="5"/>
      <c r="U157" s="5"/>
    </row>
    <row r="158" spans="1:21" ht="19.5" customHeight="1" x14ac:dyDescent="0.3">
      <c r="A158" s="5"/>
      <c r="B158" s="5"/>
      <c r="C158" s="5"/>
      <c r="D158" s="5"/>
      <c r="E158" s="6"/>
      <c r="F158" s="6"/>
      <c r="G158" s="6"/>
      <c r="H158" s="7"/>
      <c r="I158" s="8"/>
      <c r="J158" s="8"/>
      <c r="K158" s="8"/>
      <c r="L158" s="8"/>
      <c r="M158" s="8"/>
      <c r="N158" s="5"/>
      <c r="O158" s="5"/>
      <c r="P158" s="5"/>
      <c r="Q158" s="5"/>
      <c r="R158" s="5"/>
      <c r="S158" s="5"/>
      <c r="T158" s="5"/>
      <c r="U158" s="5"/>
    </row>
    <row r="159" spans="1:21" ht="19.5" customHeight="1" x14ac:dyDescent="0.3">
      <c r="A159" s="5"/>
      <c r="B159" s="5"/>
      <c r="C159" s="5"/>
      <c r="D159" s="5"/>
      <c r="E159" s="6"/>
      <c r="F159" s="6"/>
      <c r="G159" s="6"/>
      <c r="H159" s="7"/>
      <c r="I159" s="8"/>
      <c r="J159" s="8"/>
      <c r="K159" s="8"/>
      <c r="L159" s="8"/>
      <c r="M159" s="8"/>
      <c r="N159" s="5"/>
      <c r="O159" s="5"/>
      <c r="P159" s="5"/>
      <c r="Q159" s="5"/>
      <c r="R159" s="5"/>
      <c r="S159" s="5"/>
      <c r="T159" s="5"/>
      <c r="U159" s="5"/>
    </row>
    <row r="160" spans="1:21" ht="19.5" customHeight="1" x14ac:dyDescent="0.3">
      <c r="A160" s="5"/>
      <c r="B160" s="5"/>
      <c r="C160" s="5"/>
      <c r="D160" s="5"/>
      <c r="E160" s="6"/>
      <c r="F160" s="6"/>
      <c r="G160" s="6"/>
      <c r="H160" s="7"/>
      <c r="I160" s="8"/>
      <c r="J160" s="8"/>
      <c r="K160" s="8"/>
      <c r="L160" s="8"/>
      <c r="M160" s="8"/>
      <c r="N160" s="5"/>
      <c r="O160" s="5"/>
      <c r="P160" s="5"/>
      <c r="Q160" s="5"/>
      <c r="R160" s="5"/>
      <c r="S160" s="5"/>
      <c r="T160" s="5"/>
      <c r="U160" s="5"/>
    </row>
    <row r="161" spans="1:21" ht="19.5" customHeight="1" x14ac:dyDescent="0.3">
      <c r="A161" s="5"/>
      <c r="B161" s="5"/>
      <c r="C161" s="5"/>
      <c r="D161" s="5"/>
      <c r="E161" s="6"/>
      <c r="F161" s="6"/>
      <c r="G161" s="6"/>
      <c r="H161" s="7"/>
      <c r="I161" s="8"/>
      <c r="J161" s="8"/>
      <c r="K161" s="8"/>
      <c r="L161" s="8"/>
      <c r="M161" s="8"/>
      <c r="N161" s="5"/>
      <c r="O161" s="5"/>
      <c r="P161" s="5"/>
      <c r="Q161" s="5"/>
      <c r="R161" s="5"/>
      <c r="S161" s="5"/>
      <c r="T161" s="5"/>
      <c r="U161" s="5"/>
    </row>
    <row r="162" spans="1:21" ht="19.5" customHeight="1" x14ac:dyDescent="0.3">
      <c r="A162" s="5"/>
      <c r="B162" s="5"/>
      <c r="C162" s="5"/>
      <c r="D162" s="5"/>
      <c r="E162" s="6"/>
      <c r="F162" s="6"/>
      <c r="G162" s="6"/>
      <c r="H162" s="7"/>
      <c r="I162" s="8"/>
      <c r="J162" s="8"/>
      <c r="K162" s="8"/>
      <c r="L162" s="8"/>
      <c r="M162" s="8"/>
      <c r="N162" s="5"/>
      <c r="O162" s="5"/>
      <c r="P162" s="5"/>
      <c r="Q162" s="5"/>
      <c r="R162" s="5"/>
      <c r="S162" s="5"/>
      <c r="T162" s="5"/>
      <c r="U162" s="5"/>
    </row>
    <row r="163" spans="1:21" ht="19.5" customHeight="1" x14ac:dyDescent="0.3">
      <c r="A163" s="5"/>
      <c r="B163" s="5"/>
      <c r="C163" s="5"/>
      <c r="D163" s="5"/>
      <c r="E163" s="6"/>
      <c r="F163" s="6"/>
      <c r="G163" s="6"/>
      <c r="H163" s="7"/>
      <c r="I163" s="8"/>
      <c r="J163" s="8"/>
      <c r="K163" s="8"/>
      <c r="L163" s="8"/>
      <c r="M163" s="8"/>
      <c r="N163" s="5"/>
      <c r="O163" s="5"/>
      <c r="P163" s="5"/>
      <c r="Q163" s="5"/>
      <c r="R163" s="5"/>
      <c r="S163" s="5"/>
      <c r="T163" s="5"/>
      <c r="U163" s="5"/>
    </row>
    <row r="164" spans="1:21" ht="19.5" customHeight="1" x14ac:dyDescent="0.3">
      <c r="A164" s="5"/>
      <c r="B164" s="5"/>
      <c r="C164" s="5"/>
      <c r="D164" s="5"/>
      <c r="E164" s="6"/>
      <c r="F164" s="6"/>
      <c r="G164" s="6"/>
      <c r="H164" s="7"/>
      <c r="I164" s="8"/>
      <c r="J164" s="8"/>
      <c r="K164" s="8"/>
      <c r="L164" s="8"/>
      <c r="M164" s="8"/>
      <c r="N164" s="5"/>
      <c r="O164" s="5"/>
      <c r="P164" s="5"/>
      <c r="Q164" s="5"/>
      <c r="R164" s="5"/>
      <c r="S164" s="5"/>
      <c r="T164" s="5"/>
      <c r="U164" s="5"/>
    </row>
    <row r="165" spans="1:21" ht="19.5" customHeight="1" x14ac:dyDescent="0.3">
      <c r="A165" s="5"/>
      <c r="B165" s="5"/>
      <c r="C165" s="5"/>
      <c r="D165" s="5"/>
      <c r="E165" s="6"/>
      <c r="F165" s="6"/>
      <c r="G165" s="6"/>
      <c r="H165" s="7"/>
      <c r="I165" s="8"/>
      <c r="J165" s="8"/>
      <c r="K165" s="8"/>
      <c r="L165" s="8"/>
      <c r="M165" s="8"/>
      <c r="N165" s="5"/>
      <c r="O165" s="5"/>
      <c r="P165" s="5"/>
      <c r="Q165" s="5"/>
      <c r="R165" s="5"/>
      <c r="S165" s="5"/>
      <c r="T165" s="5"/>
      <c r="U165" s="5"/>
    </row>
    <row r="166" spans="1:21" ht="19.5" customHeight="1" x14ac:dyDescent="0.3">
      <c r="A166" s="5"/>
      <c r="B166" s="5"/>
      <c r="C166" s="5"/>
      <c r="D166" s="5"/>
      <c r="E166" s="6"/>
      <c r="F166" s="6"/>
      <c r="G166" s="6"/>
      <c r="H166" s="7"/>
      <c r="I166" s="8"/>
      <c r="J166" s="8"/>
      <c r="K166" s="8"/>
      <c r="L166" s="8"/>
      <c r="M166" s="8"/>
      <c r="N166" s="5"/>
      <c r="O166" s="5"/>
      <c r="P166" s="5"/>
      <c r="Q166" s="5"/>
      <c r="R166" s="5"/>
      <c r="S166" s="5"/>
      <c r="T166" s="5"/>
      <c r="U166" s="5"/>
    </row>
    <row r="167" spans="1:21" ht="19.5" customHeight="1" x14ac:dyDescent="0.3">
      <c r="A167" s="5"/>
      <c r="B167" s="5"/>
      <c r="C167" s="5"/>
      <c r="D167" s="5"/>
      <c r="E167" s="6"/>
      <c r="F167" s="6"/>
      <c r="G167" s="6"/>
      <c r="H167" s="7"/>
      <c r="I167" s="8"/>
      <c r="J167" s="8"/>
      <c r="K167" s="8"/>
      <c r="L167" s="8"/>
      <c r="M167" s="8"/>
      <c r="N167" s="5"/>
      <c r="O167" s="5"/>
      <c r="P167" s="5"/>
      <c r="Q167" s="5"/>
      <c r="R167" s="5"/>
      <c r="S167" s="5"/>
      <c r="T167" s="5"/>
      <c r="U167" s="5"/>
    </row>
    <row r="168" spans="1:21" ht="19.5" customHeight="1" x14ac:dyDescent="0.3">
      <c r="A168" s="5"/>
      <c r="B168" s="5"/>
      <c r="C168" s="5"/>
      <c r="D168" s="5"/>
      <c r="E168" s="6"/>
      <c r="F168" s="6"/>
      <c r="G168" s="6"/>
      <c r="H168" s="7"/>
      <c r="I168" s="8"/>
      <c r="J168" s="8"/>
      <c r="K168" s="8"/>
      <c r="L168" s="8"/>
      <c r="M168" s="8"/>
      <c r="N168" s="5"/>
      <c r="O168" s="5"/>
      <c r="P168" s="5"/>
      <c r="Q168" s="5"/>
      <c r="R168" s="5"/>
      <c r="S168" s="5"/>
      <c r="T168" s="5"/>
      <c r="U168" s="5"/>
    </row>
    <row r="169" spans="1:21" ht="19.5" customHeight="1" x14ac:dyDescent="0.3">
      <c r="A169" s="5"/>
      <c r="B169" s="5"/>
      <c r="C169" s="5"/>
      <c r="D169" s="5"/>
      <c r="E169" s="6"/>
      <c r="F169" s="6"/>
      <c r="G169" s="6"/>
      <c r="H169" s="7"/>
      <c r="I169" s="8"/>
      <c r="J169" s="8"/>
      <c r="K169" s="8"/>
      <c r="L169" s="8"/>
      <c r="M169" s="8"/>
      <c r="N169" s="5"/>
      <c r="O169" s="5"/>
      <c r="P169" s="5"/>
      <c r="Q169" s="5"/>
      <c r="R169" s="5"/>
      <c r="S169" s="5"/>
      <c r="T169" s="5"/>
      <c r="U169" s="5"/>
    </row>
    <row r="170" spans="1:21" ht="19.5" customHeight="1" x14ac:dyDescent="0.3">
      <c r="A170" s="5"/>
      <c r="B170" s="5"/>
      <c r="C170" s="5"/>
      <c r="D170" s="5"/>
      <c r="E170" s="6"/>
      <c r="F170" s="6"/>
      <c r="G170" s="6"/>
      <c r="H170" s="7"/>
      <c r="I170" s="8"/>
      <c r="J170" s="8"/>
      <c r="K170" s="8"/>
      <c r="L170" s="8"/>
      <c r="M170" s="8"/>
      <c r="N170" s="5"/>
      <c r="O170" s="5"/>
      <c r="P170" s="5"/>
      <c r="Q170" s="5"/>
      <c r="R170" s="5"/>
      <c r="S170" s="5"/>
      <c r="T170" s="5"/>
      <c r="U170" s="5"/>
    </row>
    <row r="171" spans="1:21" ht="19.5" customHeight="1" x14ac:dyDescent="0.3">
      <c r="A171" s="5"/>
      <c r="B171" s="5"/>
      <c r="C171" s="5"/>
      <c r="D171" s="5"/>
      <c r="E171" s="6"/>
      <c r="F171" s="6"/>
      <c r="G171" s="6"/>
      <c r="H171" s="7"/>
      <c r="I171" s="8"/>
      <c r="J171" s="8"/>
      <c r="K171" s="8"/>
      <c r="L171" s="8"/>
      <c r="M171" s="8"/>
      <c r="N171" s="5"/>
      <c r="O171" s="5"/>
      <c r="P171" s="5"/>
      <c r="Q171" s="5"/>
      <c r="R171" s="5"/>
      <c r="S171" s="5"/>
      <c r="T171" s="5"/>
      <c r="U171" s="5"/>
    </row>
    <row r="172" spans="1:21" ht="19.5" customHeight="1" x14ac:dyDescent="0.3">
      <c r="A172" s="5"/>
      <c r="B172" s="5"/>
      <c r="C172" s="5"/>
      <c r="D172" s="5"/>
      <c r="E172" s="6"/>
      <c r="F172" s="6"/>
      <c r="G172" s="6"/>
      <c r="H172" s="7"/>
      <c r="I172" s="8"/>
      <c r="J172" s="8"/>
      <c r="K172" s="8"/>
      <c r="L172" s="8"/>
      <c r="M172" s="8"/>
      <c r="N172" s="5"/>
      <c r="O172" s="5"/>
      <c r="P172" s="5"/>
      <c r="Q172" s="5"/>
      <c r="R172" s="5"/>
      <c r="S172" s="5"/>
      <c r="T172" s="5"/>
      <c r="U172" s="5"/>
    </row>
    <row r="173" spans="1:21" ht="19.5" customHeight="1" x14ac:dyDescent="0.3">
      <c r="A173" s="5"/>
      <c r="B173" s="5"/>
      <c r="C173" s="5"/>
      <c r="D173" s="5"/>
      <c r="E173" s="6"/>
      <c r="F173" s="6"/>
      <c r="G173" s="6"/>
      <c r="H173" s="7"/>
      <c r="I173" s="8"/>
      <c r="J173" s="8"/>
      <c r="K173" s="8"/>
      <c r="L173" s="8"/>
      <c r="M173" s="8"/>
      <c r="N173" s="5"/>
      <c r="O173" s="5"/>
      <c r="P173" s="5"/>
      <c r="Q173" s="5"/>
      <c r="R173" s="5"/>
      <c r="S173" s="5"/>
      <c r="T173" s="5"/>
      <c r="U173" s="5"/>
    </row>
    <row r="174" spans="1:21" ht="19.5" customHeight="1" x14ac:dyDescent="0.3">
      <c r="A174" s="5"/>
      <c r="B174" s="5"/>
      <c r="C174" s="5"/>
      <c r="D174" s="5"/>
      <c r="E174" s="6"/>
      <c r="F174" s="6"/>
      <c r="G174" s="6"/>
      <c r="H174" s="7"/>
      <c r="I174" s="8"/>
      <c r="J174" s="8"/>
      <c r="K174" s="8"/>
      <c r="L174" s="8"/>
      <c r="M174" s="8"/>
      <c r="N174" s="5"/>
      <c r="O174" s="5"/>
      <c r="P174" s="5"/>
      <c r="Q174" s="5"/>
      <c r="R174" s="5"/>
      <c r="S174" s="5"/>
      <c r="T174" s="5"/>
      <c r="U174" s="5"/>
    </row>
    <row r="175" spans="1:21" ht="19.5" customHeight="1" x14ac:dyDescent="0.3">
      <c r="A175" s="5"/>
      <c r="B175" s="5"/>
      <c r="C175" s="5"/>
      <c r="D175" s="5"/>
      <c r="E175" s="6"/>
      <c r="F175" s="6"/>
      <c r="G175" s="6"/>
      <c r="H175" s="7"/>
      <c r="I175" s="8"/>
      <c r="J175" s="8"/>
      <c r="K175" s="8"/>
      <c r="L175" s="8"/>
      <c r="M175" s="8"/>
      <c r="N175" s="5"/>
      <c r="O175" s="5"/>
      <c r="P175" s="5"/>
      <c r="Q175" s="5"/>
      <c r="R175" s="5"/>
      <c r="S175" s="5"/>
      <c r="T175" s="5"/>
      <c r="U175" s="5"/>
    </row>
    <row r="176" spans="1:21" ht="19.5" customHeight="1" x14ac:dyDescent="0.3">
      <c r="A176" s="5"/>
      <c r="B176" s="5"/>
      <c r="C176" s="5"/>
      <c r="D176" s="5"/>
      <c r="E176" s="6"/>
      <c r="F176" s="6"/>
      <c r="G176" s="6"/>
      <c r="H176" s="7"/>
      <c r="I176" s="8"/>
      <c r="J176" s="8"/>
      <c r="K176" s="8"/>
      <c r="L176" s="8"/>
      <c r="M176" s="8"/>
      <c r="N176" s="5"/>
      <c r="O176" s="5"/>
      <c r="P176" s="5"/>
      <c r="Q176" s="5"/>
      <c r="R176" s="5"/>
      <c r="S176" s="5"/>
      <c r="T176" s="5"/>
      <c r="U176" s="5"/>
    </row>
    <row r="177" spans="1:21" ht="19.5" customHeight="1" x14ac:dyDescent="0.3">
      <c r="A177" s="5"/>
      <c r="B177" s="5"/>
      <c r="C177" s="5"/>
      <c r="D177" s="5"/>
      <c r="E177" s="6"/>
      <c r="F177" s="6"/>
      <c r="G177" s="6"/>
      <c r="H177" s="7"/>
      <c r="I177" s="8"/>
      <c r="J177" s="8"/>
      <c r="K177" s="8"/>
      <c r="L177" s="8"/>
      <c r="M177" s="8"/>
      <c r="N177" s="5"/>
      <c r="O177" s="5"/>
      <c r="P177" s="5"/>
      <c r="Q177" s="5"/>
      <c r="R177" s="5"/>
      <c r="S177" s="5"/>
      <c r="T177" s="5"/>
      <c r="U177" s="5"/>
    </row>
    <row r="178" spans="1:21" ht="19.5" customHeight="1" x14ac:dyDescent="0.3">
      <c r="A178" s="5"/>
      <c r="B178" s="5"/>
      <c r="C178" s="5"/>
      <c r="D178" s="5"/>
      <c r="E178" s="6"/>
      <c r="F178" s="6"/>
      <c r="G178" s="6"/>
      <c r="H178" s="7"/>
      <c r="I178" s="8"/>
      <c r="J178" s="8"/>
      <c r="K178" s="8"/>
      <c r="L178" s="8"/>
      <c r="M178" s="8"/>
      <c r="N178" s="5"/>
      <c r="O178" s="5"/>
      <c r="P178" s="5"/>
      <c r="Q178" s="5"/>
      <c r="R178" s="5"/>
      <c r="S178" s="5"/>
      <c r="T178" s="5"/>
      <c r="U178" s="5"/>
    </row>
    <row r="179" spans="1:21" ht="19.5" customHeight="1" x14ac:dyDescent="0.3">
      <c r="A179" s="5"/>
      <c r="B179" s="5"/>
      <c r="C179" s="5"/>
      <c r="D179" s="5"/>
      <c r="E179" s="6"/>
      <c r="F179" s="6"/>
      <c r="G179" s="6"/>
      <c r="H179" s="7"/>
      <c r="I179" s="8"/>
      <c r="J179" s="8"/>
      <c r="K179" s="8"/>
      <c r="L179" s="8"/>
      <c r="M179" s="8"/>
      <c r="N179" s="5"/>
      <c r="O179" s="5"/>
      <c r="P179" s="5"/>
      <c r="Q179" s="5"/>
      <c r="R179" s="5"/>
      <c r="S179" s="5"/>
      <c r="T179" s="5"/>
      <c r="U179" s="5"/>
    </row>
    <row r="180" spans="1:21" ht="19.5" customHeight="1" x14ac:dyDescent="0.3">
      <c r="A180" s="5"/>
      <c r="B180" s="5"/>
      <c r="C180" s="5"/>
      <c r="D180" s="5"/>
      <c r="E180" s="6"/>
      <c r="F180" s="6"/>
      <c r="G180" s="6"/>
      <c r="H180" s="7"/>
      <c r="I180" s="8"/>
      <c r="J180" s="8"/>
      <c r="K180" s="8"/>
      <c r="L180" s="8"/>
      <c r="M180" s="8"/>
      <c r="N180" s="5"/>
      <c r="O180" s="5"/>
      <c r="P180" s="5"/>
      <c r="Q180" s="5"/>
      <c r="R180" s="5"/>
      <c r="S180" s="5"/>
      <c r="T180" s="5"/>
      <c r="U180" s="5"/>
    </row>
    <row r="181" spans="1:21" ht="19.5" customHeight="1" x14ac:dyDescent="0.3">
      <c r="A181" s="5"/>
      <c r="B181" s="5"/>
      <c r="C181" s="5"/>
      <c r="D181" s="5"/>
      <c r="E181" s="6"/>
      <c r="F181" s="6"/>
      <c r="G181" s="6"/>
      <c r="H181" s="7"/>
      <c r="I181" s="8"/>
      <c r="J181" s="8"/>
      <c r="K181" s="8"/>
      <c r="L181" s="8"/>
      <c r="M181" s="8"/>
      <c r="N181" s="5"/>
      <c r="O181" s="5"/>
      <c r="P181" s="5"/>
      <c r="Q181" s="5"/>
      <c r="R181" s="5"/>
      <c r="S181" s="5"/>
      <c r="T181" s="5"/>
      <c r="U181" s="5"/>
    </row>
    <row r="182" spans="1:21" ht="19.5" customHeight="1" x14ac:dyDescent="0.3">
      <c r="A182" s="5"/>
      <c r="B182" s="5"/>
      <c r="C182" s="5"/>
      <c r="D182" s="5"/>
      <c r="E182" s="6"/>
      <c r="F182" s="6"/>
      <c r="G182" s="6"/>
      <c r="H182" s="7"/>
      <c r="I182" s="8"/>
      <c r="J182" s="8"/>
      <c r="K182" s="8"/>
      <c r="L182" s="8"/>
      <c r="M182" s="8"/>
      <c r="N182" s="5"/>
      <c r="O182" s="5"/>
      <c r="P182" s="5"/>
      <c r="Q182" s="5"/>
      <c r="R182" s="5"/>
      <c r="S182" s="5"/>
      <c r="T182" s="5"/>
      <c r="U182" s="5"/>
    </row>
    <row r="183" spans="1:21" ht="19.5" customHeight="1" x14ac:dyDescent="0.3">
      <c r="A183" s="5"/>
      <c r="B183" s="5"/>
      <c r="C183" s="5"/>
      <c r="D183" s="5"/>
      <c r="E183" s="6"/>
      <c r="F183" s="6"/>
      <c r="G183" s="6"/>
      <c r="H183" s="7"/>
      <c r="I183" s="8"/>
      <c r="J183" s="8"/>
      <c r="K183" s="8"/>
      <c r="L183" s="8"/>
      <c r="M183" s="8"/>
      <c r="N183" s="5"/>
      <c r="O183" s="5"/>
      <c r="P183" s="5"/>
      <c r="Q183" s="5"/>
      <c r="R183" s="5"/>
      <c r="S183" s="5"/>
      <c r="T183" s="5"/>
      <c r="U183" s="5"/>
    </row>
    <row r="184" spans="1:21" ht="19.5" customHeight="1" x14ac:dyDescent="0.3">
      <c r="A184" s="5"/>
      <c r="B184" s="5"/>
      <c r="C184" s="5"/>
      <c r="D184" s="5"/>
      <c r="E184" s="6"/>
      <c r="F184" s="6"/>
      <c r="G184" s="6"/>
      <c r="H184" s="7"/>
      <c r="I184" s="8"/>
      <c r="J184" s="8"/>
      <c r="K184" s="8"/>
      <c r="L184" s="8"/>
      <c r="M184" s="8"/>
      <c r="N184" s="5"/>
      <c r="O184" s="5"/>
      <c r="P184" s="5"/>
      <c r="Q184" s="5"/>
      <c r="R184" s="5"/>
      <c r="S184" s="5"/>
      <c r="T184" s="5"/>
      <c r="U184" s="5"/>
    </row>
    <row r="185" spans="1:21" ht="19.5" customHeight="1" x14ac:dyDescent="0.3">
      <c r="A185" s="5"/>
      <c r="B185" s="5"/>
      <c r="C185" s="5"/>
      <c r="D185" s="5"/>
      <c r="E185" s="6"/>
      <c r="F185" s="6"/>
      <c r="G185" s="6"/>
      <c r="H185" s="7"/>
      <c r="I185" s="8"/>
      <c r="J185" s="8"/>
      <c r="K185" s="8"/>
      <c r="L185" s="8"/>
      <c r="M185" s="8"/>
      <c r="N185" s="5"/>
      <c r="O185" s="5"/>
      <c r="P185" s="5"/>
      <c r="Q185" s="5"/>
      <c r="R185" s="5"/>
      <c r="S185" s="5"/>
      <c r="T185" s="5"/>
      <c r="U185" s="5"/>
    </row>
    <row r="186" spans="1:21" ht="19.5" customHeight="1" x14ac:dyDescent="0.3">
      <c r="A186" s="5"/>
      <c r="B186" s="5"/>
      <c r="C186" s="5"/>
      <c r="D186" s="5"/>
      <c r="E186" s="6"/>
      <c r="F186" s="6"/>
      <c r="G186" s="6"/>
      <c r="H186" s="7"/>
      <c r="I186" s="8"/>
      <c r="J186" s="8"/>
      <c r="K186" s="8"/>
      <c r="L186" s="8"/>
      <c r="M186" s="8"/>
      <c r="N186" s="5"/>
      <c r="O186" s="5"/>
      <c r="P186" s="5"/>
      <c r="Q186" s="5"/>
      <c r="R186" s="5"/>
      <c r="S186" s="5"/>
      <c r="T186" s="5"/>
      <c r="U186" s="5"/>
    </row>
    <row r="187" spans="1:21" ht="19.5" customHeight="1" x14ac:dyDescent="0.3">
      <c r="A187" s="5"/>
      <c r="B187" s="5"/>
      <c r="C187" s="5"/>
      <c r="D187" s="5"/>
      <c r="E187" s="6"/>
      <c r="F187" s="6"/>
      <c r="G187" s="6"/>
      <c r="H187" s="7"/>
      <c r="I187" s="8"/>
      <c r="J187" s="8"/>
      <c r="K187" s="8"/>
      <c r="L187" s="8"/>
      <c r="M187" s="8"/>
      <c r="N187" s="5"/>
      <c r="O187" s="5"/>
      <c r="P187" s="5"/>
      <c r="Q187" s="5"/>
      <c r="R187" s="5"/>
      <c r="S187" s="5"/>
      <c r="T187" s="5"/>
      <c r="U187" s="5"/>
    </row>
    <row r="188" spans="1:21" ht="19.5" customHeight="1" x14ac:dyDescent="0.3">
      <c r="A188" s="5"/>
      <c r="B188" s="5"/>
      <c r="C188" s="5"/>
      <c r="D188" s="5"/>
      <c r="E188" s="6"/>
      <c r="F188" s="6"/>
      <c r="G188" s="6"/>
      <c r="H188" s="7"/>
      <c r="I188" s="8"/>
      <c r="J188" s="8"/>
      <c r="K188" s="8"/>
      <c r="L188" s="8"/>
      <c r="M188" s="8"/>
      <c r="N188" s="5"/>
      <c r="O188" s="5"/>
      <c r="P188" s="5"/>
      <c r="Q188" s="5"/>
      <c r="R188" s="5"/>
      <c r="S188" s="5"/>
      <c r="T188" s="5"/>
      <c r="U188" s="5"/>
    </row>
    <row r="189" spans="1:21" ht="19.5" customHeight="1" x14ac:dyDescent="0.3">
      <c r="A189" s="5"/>
      <c r="B189" s="5"/>
      <c r="C189" s="5"/>
      <c r="D189" s="5"/>
      <c r="E189" s="6"/>
      <c r="F189" s="6"/>
      <c r="G189" s="6"/>
      <c r="H189" s="7"/>
      <c r="I189" s="8"/>
      <c r="J189" s="8"/>
      <c r="K189" s="8"/>
      <c r="L189" s="8"/>
      <c r="M189" s="8"/>
      <c r="N189" s="5"/>
      <c r="O189" s="5"/>
      <c r="P189" s="5"/>
      <c r="Q189" s="5"/>
      <c r="R189" s="5"/>
      <c r="S189" s="5"/>
      <c r="T189" s="5"/>
      <c r="U189" s="5"/>
    </row>
    <row r="190" spans="1:21" ht="19.5" customHeight="1" x14ac:dyDescent="0.3">
      <c r="A190" s="5"/>
      <c r="B190" s="5"/>
      <c r="C190" s="5"/>
      <c r="D190" s="5"/>
      <c r="E190" s="6"/>
      <c r="F190" s="6"/>
      <c r="G190" s="6"/>
      <c r="H190" s="7"/>
      <c r="I190" s="8"/>
      <c r="J190" s="8"/>
      <c r="K190" s="8"/>
      <c r="L190" s="8"/>
      <c r="M190" s="8"/>
      <c r="N190" s="5"/>
      <c r="O190" s="5"/>
      <c r="P190" s="5"/>
      <c r="Q190" s="5"/>
      <c r="R190" s="5"/>
      <c r="S190" s="5"/>
      <c r="T190" s="5"/>
      <c r="U190" s="5"/>
    </row>
    <row r="191" spans="1:21" ht="19.5" customHeight="1" x14ac:dyDescent="0.3">
      <c r="A191" s="5"/>
      <c r="B191" s="5"/>
      <c r="C191" s="5"/>
      <c r="D191" s="5"/>
      <c r="E191" s="6"/>
      <c r="F191" s="6"/>
      <c r="G191" s="6"/>
      <c r="H191" s="7"/>
      <c r="I191" s="8"/>
      <c r="J191" s="8"/>
      <c r="K191" s="8"/>
      <c r="L191" s="8"/>
      <c r="M191" s="8"/>
      <c r="N191" s="5"/>
      <c r="O191" s="5"/>
      <c r="P191" s="5"/>
      <c r="Q191" s="5"/>
      <c r="R191" s="5"/>
      <c r="S191" s="5"/>
      <c r="T191" s="5"/>
      <c r="U191" s="5"/>
    </row>
    <row r="192" spans="1:21" ht="19.5" customHeight="1" x14ac:dyDescent="0.3">
      <c r="A192" s="5"/>
      <c r="B192" s="5"/>
      <c r="C192" s="5"/>
      <c r="D192" s="5"/>
      <c r="E192" s="6"/>
      <c r="F192" s="6"/>
      <c r="G192" s="6"/>
      <c r="H192" s="7"/>
      <c r="I192" s="8"/>
      <c r="J192" s="8"/>
      <c r="K192" s="8"/>
      <c r="L192" s="8"/>
      <c r="M192" s="8"/>
      <c r="N192" s="5"/>
      <c r="O192" s="5"/>
      <c r="P192" s="5"/>
      <c r="Q192" s="5"/>
      <c r="R192" s="5"/>
      <c r="S192" s="5"/>
      <c r="T192" s="5"/>
      <c r="U192" s="5"/>
    </row>
    <row r="193" spans="1:21" ht="19.5" customHeight="1" x14ac:dyDescent="0.3">
      <c r="A193" s="5"/>
      <c r="B193" s="5"/>
      <c r="C193" s="5"/>
      <c r="D193" s="5"/>
      <c r="E193" s="6"/>
      <c r="F193" s="6"/>
      <c r="G193" s="6"/>
      <c r="H193" s="7"/>
      <c r="I193" s="8"/>
      <c r="J193" s="8"/>
      <c r="K193" s="8"/>
      <c r="L193" s="8"/>
      <c r="M193" s="8"/>
      <c r="N193" s="5"/>
      <c r="O193" s="5"/>
      <c r="P193" s="5"/>
      <c r="Q193" s="5"/>
      <c r="R193" s="5"/>
      <c r="S193" s="5"/>
      <c r="T193" s="5"/>
      <c r="U193" s="5"/>
    </row>
    <row r="194" spans="1:21" ht="19.5" customHeight="1" x14ac:dyDescent="0.3">
      <c r="A194" s="5"/>
      <c r="B194" s="5"/>
      <c r="C194" s="5"/>
      <c r="D194" s="5"/>
      <c r="E194" s="6"/>
      <c r="F194" s="6"/>
      <c r="G194" s="6"/>
      <c r="H194" s="7"/>
      <c r="I194" s="8"/>
      <c r="J194" s="8"/>
      <c r="K194" s="8"/>
      <c r="L194" s="8"/>
      <c r="M194" s="8"/>
      <c r="N194" s="5"/>
      <c r="O194" s="5"/>
      <c r="P194" s="5"/>
      <c r="Q194" s="5"/>
      <c r="R194" s="5"/>
      <c r="S194" s="5"/>
      <c r="T194" s="5"/>
      <c r="U194" s="5"/>
    </row>
    <row r="195" spans="1:21" ht="19.5" customHeight="1" x14ac:dyDescent="0.3">
      <c r="A195" s="5"/>
      <c r="B195" s="5"/>
      <c r="C195" s="5"/>
      <c r="D195" s="5"/>
      <c r="E195" s="6"/>
      <c r="F195" s="6"/>
      <c r="G195" s="6"/>
      <c r="H195" s="7"/>
      <c r="I195" s="8"/>
      <c r="J195" s="8"/>
      <c r="K195" s="8"/>
      <c r="L195" s="8"/>
      <c r="M195" s="8"/>
      <c r="N195" s="5"/>
      <c r="O195" s="5"/>
      <c r="P195" s="5"/>
      <c r="Q195" s="5"/>
      <c r="R195" s="5"/>
      <c r="S195" s="5"/>
      <c r="T195" s="5"/>
      <c r="U195" s="5"/>
    </row>
    <row r="196" spans="1:21" ht="19.5" customHeight="1" x14ac:dyDescent="0.3">
      <c r="A196" s="5"/>
      <c r="B196" s="5"/>
      <c r="C196" s="5"/>
      <c r="D196" s="5"/>
      <c r="E196" s="6"/>
      <c r="F196" s="6"/>
      <c r="G196" s="6"/>
      <c r="H196" s="7"/>
      <c r="I196" s="8"/>
      <c r="J196" s="8"/>
      <c r="K196" s="8"/>
      <c r="L196" s="8"/>
      <c r="M196" s="8"/>
      <c r="N196" s="5"/>
      <c r="O196" s="5"/>
      <c r="P196" s="5"/>
      <c r="Q196" s="5"/>
      <c r="R196" s="5"/>
      <c r="S196" s="5"/>
      <c r="T196" s="5"/>
      <c r="U196" s="5"/>
    </row>
    <row r="197" spans="1:21" ht="19.5" customHeight="1" x14ac:dyDescent="0.3">
      <c r="A197" s="5"/>
      <c r="B197" s="5"/>
      <c r="C197" s="5"/>
      <c r="D197" s="5"/>
      <c r="E197" s="6"/>
      <c r="F197" s="6"/>
      <c r="G197" s="6"/>
      <c r="H197" s="7"/>
      <c r="I197" s="8"/>
      <c r="J197" s="8"/>
      <c r="K197" s="8"/>
      <c r="L197" s="8"/>
      <c r="M197" s="8"/>
      <c r="N197" s="5"/>
      <c r="O197" s="5"/>
      <c r="P197" s="5"/>
      <c r="Q197" s="5"/>
      <c r="R197" s="5"/>
      <c r="S197" s="5"/>
      <c r="T197" s="5"/>
      <c r="U197" s="5"/>
    </row>
    <row r="198" spans="1:21" ht="19.5" customHeight="1" x14ac:dyDescent="0.3">
      <c r="A198" s="5"/>
      <c r="B198" s="5"/>
      <c r="C198" s="5"/>
      <c r="D198" s="5"/>
      <c r="E198" s="6"/>
      <c r="F198" s="6"/>
      <c r="G198" s="6"/>
      <c r="H198" s="7"/>
      <c r="I198" s="8"/>
      <c r="J198" s="8"/>
      <c r="K198" s="8"/>
      <c r="L198" s="8"/>
      <c r="M198" s="8"/>
      <c r="N198" s="5"/>
      <c r="O198" s="5"/>
      <c r="P198" s="5"/>
      <c r="Q198" s="5"/>
      <c r="R198" s="5"/>
      <c r="S198" s="5"/>
      <c r="T198" s="5"/>
      <c r="U198" s="5"/>
    </row>
    <row r="199" spans="1:21" ht="19.5" customHeight="1" x14ac:dyDescent="0.3">
      <c r="A199" s="5"/>
      <c r="B199" s="5"/>
      <c r="C199" s="5"/>
      <c r="D199" s="5"/>
      <c r="E199" s="6"/>
      <c r="F199" s="6"/>
      <c r="G199" s="6"/>
      <c r="H199" s="7"/>
      <c r="I199" s="8"/>
      <c r="J199" s="8"/>
      <c r="K199" s="8"/>
      <c r="L199" s="8"/>
      <c r="M199" s="8"/>
      <c r="N199" s="5"/>
      <c r="O199" s="5"/>
      <c r="P199" s="5"/>
      <c r="Q199" s="5"/>
      <c r="R199" s="5"/>
      <c r="S199" s="5"/>
      <c r="T199" s="5"/>
      <c r="U199" s="5"/>
    </row>
    <row r="200" spans="1:21" ht="19.5" customHeight="1" x14ac:dyDescent="0.3">
      <c r="A200" s="5"/>
      <c r="B200" s="5"/>
      <c r="C200" s="5"/>
      <c r="D200" s="5"/>
      <c r="E200" s="6"/>
      <c r="F200" s="6"/>
      <c r="G200" s="6"/>
      <c r="H200" s="7"/>
      <c r="I200" s="8"/>
      <c r="J200" s="8"/>
      <c r="K200" s="8"/>
      <c r="L200" s="8"/>
      <c r="M200" s="8"/>
      <c r="N200" s="5"/>
      <c r="O200" s="5"/>
      <c r="P200" s="5"/>
      <c r="Q200" s="5"/>
      <c r="R200" s="5"/>
      <c r="S200" s="5"/>
      <c r="T200" s="5"/>
      <c r="U200" s="5"/>
    </row>
    <row r="201" spans="1:21" ht="19.5" customHeight="1" x14ac:dyDescent="0.3">
      <c r="A201" s="5"/>
      <c r="B201" s="5"/>
      <c r="C201" s="5"/>
      <c r="D201" s="5"/>
      <c r="E201" s="6"/>
      <c r="F201" s="6"/>
      <c r="G201" s="6"/>
      <c r="H201" s="7"/>
      <c r="I201" s="8"/>
      <c r="J201" s="8"/>
      <c r="K201" s="8"/>
      <c r="L201" s="8"/>
      <c r="M201" s="8"/>
      <c r="N201" s="5"/>
      <c r="O201" s="5"/>
      <c r="P201" s="5"/>
      <c r="Q201" s="5"/>
      <c r="R201" s="5"/>
      <c r="S201" s="5"/>
      <c r="T201" s="5"/>
      <c r="U201" s="5"/>
    </row>
    <row r="202" spans="1:21" ht="19.5" customHeight="1" x14ac:dyDescent="0.3">
      <c r="A202" s="5"/>
      <c r="B202" s="5"/>
      <c r="C202" s="5"/>
      <c r="D202" s="5"/>
      <c r="E202" s="6"/>
      <c r="F202" s="6"/>
      <c r="G202" s="6"/>
      <c r="H202" s="7"/>
      <c r="I202" s="8"/>
      <c r="J202" s="8"/>
      <c r="K202" s="8"/>
      <c r="L202" s="8"/>
      <c r="M202" s="8"/>
      <c r="N202" s="5"/>
      <c r="O202" s="5"/>
      <c r="P202" s="5"/>
      <c r="Q202" s="5"/>
      <c r="R202" s="5"/>
      <c r="S202" s="5"/>
      <c r="T202" s="5"/>
      <c r="U202" s="5"/>
    </row>
    <row r="203" spans="1:21" ht="19.5" customHeight="1" x14ac:dyDescent="0.3">
      <c r="A203" s="5"/>
      <c r="B203" s="5"/>
      <c r="C203" s="5"/>
      <c r="D203" s="5"/>
      <c r="E203" s="6"/>
      <c r="F203" s="6"/>
      <c r="G203" s="6"/>
      <c r="H203" s="7"/>
      <c r="I203" s="8"/>
      <c r="J203" s="8"/>
      <c r="K203" s="8"/>
      <c r="L203" s="8"/>
      <c r="M203" s="8"/>
      <c r="N203" s="5"/>
      <c r="O203" s="5"/>
      <c r="P203" s="5"/>
      <c r="Q203" s="5"/>
      <c r="R203" s="5"/>
      <c r="S203" s="5"/>
      <c r="T203" s="5"/>
      <c r="U203" s="5"/>
    </row>
    <row r="204" spans="1:21" ht="19.5" customHeight="1" x14ac:dyDescent="0.3">
      <c r="A204" s="5"/>
      <c r="B204" s="5"/>
      <c r="C204" s="5"/>
      <c r="D204" s="5"/>
      <c r="E204" s="6"/>
      <c r="F204" s="6"/>
      <c r="G204" s="6"/>
      <c r="H204" s="7"/>
      <c r="I204" s="8"/>
      <c r="J204" s="8"/>
      <c r="K204" s="8"/>
      <c r="L204" s="8"/>
      <c r="M204" s="8"/>
      <c r="N204" s="5"/>
      <c r="O204" s="5"/>
      <c r="P204" s="5"/>
      <c r="Q204" s="5"/>
      <c r="R204" s="5"/>
      <c r="S204" s="5"/>
      <c r="T204" s="5"/>
      <c r="U204" s="5"/>
    </row>
    <row r="205" spans="1:21" ht="19.5" customHeight="1" x14ac:dyDescent="0.3">
      <c r="A205" s="5"/>
      <c r="B205" s="5"/>
      <c r="C205" s="5"/>
      <c r="D205" s="5"/>
      <c r="E205" s="6"/>
      <c r="F205" s="6"/>
      <c r="G205" s="6"/>
      <c r="H205" s="7"/>
      <c r="I205" s="8"/>
      <c r="J205" s="8"/>
      <c r="K205" s="8"/>
      <c r="L205" s="8"/>
      <c r="M205" s="8"/>
      <c r="N205" s="5"/>
      <c r="O205" s="5"/>
      <c r="P205" s="5"/>
      <c r="Q205" s="5"/>
      <c r="R205" s="5"/>
      <c r="S205" s="5"/>
      <c r="T205" s="5"/>
      <c r="U205" s="5"/>
    </row>
    <row r="206" spans="1:21" ht="19.5" customHeight="1" x14ac:dyDescent="0.3">
      <c r="A206" s="5"/>
      <c r="B206" s="5"/>
      <c r="C206" s="5"/>
      <c r="D206" s="5"/>
      <c r="E206" s="6"/>
      <c r="F206" s="6"/>
      <c r="G206" s="6"/>
      <c r="H206" s="7"/>
      <c r="I206" s="8"/>
      <c r="J206" s="8"/>
      <c r="K206" s="8"/>
      <c r="L206" s="8"/>
      <c r="M206" s="8"/>
      <c r="N206" s="5"/>
      <c r="O206" s="5"/>
      <c r="P206" s="5"/>
      <c r="Q206" s="5"/>
      <c r="R206" s="5"/>
      <c r="S206" s="5"/>
      <c r="T206" s="5"/>
      <c r="U206" s="5"/>
    </row>
    <row r="207" spans="1:21" ht="19.5" customHeight="1" x14ac:dyDescent="0.3">
      <c r="A207" s="5"/>
      <c r="B207" s="5"/>
      <c r="C207" s="5"/>
      <c r="D207" s="5"/>
      <c r="E207" s="6"/>
      <c r="F207" s="6"/>
      <c r="G207" s="6"/>
      <c r="H207" s="7"/>
      <c r="I207" s="8"/>
      <c r="J207" s="8"/>
      <c r="K207" s="8"/>
      <c r="L207" s="8"/>
      <c r="M207" s="8"/>
      <c r="N207" s="5"/>
      <c r="O207" s="5"/>
      <c r="P207" s="5"/>
      <c r="Q207" s="5"/>
      <c r="R207" s="5"/>
      <c r="S207" s="5"/>
      <c r="T207" s="5"/>
      <c r="U207" s="5"/>
    </row>
    <row r="208" spans="1:21" ht="19.5" customHeight="1" x14ac:dyDescent="0.3">
      <c r="A208" s="5"/>
      <c r="B208" s="5"/>
      <c r="C208" s="5"/>
      <c r="D208" s="5"/>
      <c r="E208" s="6"/>
      <c r="F208" s="6"/>
      <c r="G208" s="6"/>
      <c r="H208" s="7"/>
      <c r="I208" s="8"/>
      <c r="J208" s="8"/>
      <c r="K208" s="8"/>
      <c r="L208" s="8"/>
      <c r="M208" s="8"/>
      <c r="N208" s="5"/>
      <c r="O208" s="5"/>
      <c r="P208" s="5"/>
      <c r="Q208" s="5"/>
      <c r="R208" s="5"/>
      <c r="S208" s="5"/>
      <c r="T208" s="5"/>
      <c r="U208" s="5"/>
    </row>
    <row r="209" spans="1:21" ht="19.5" customHeight="1" x14ac:dyDescent="0.3">
      <c r="A209" s="5"/>
      <c r="B209" s="5"/>
      <c r="C209" s="5"/>
      <c r="D209" s="5"/>
      <c r="E209" s="6"/>
      <c r="F209" s="6"/>
      <c r="G209" s="6"/>
      <c r="H209" s="7"/>
      <c r="I209" s="8"/>
      <c r="J209" s="8"/>
      <c r="K209" s="8"/>
      <c r="L209" s="8"/>
      <c r="M209" s="8"/>
      <c r="N209" s="5"/>
      <c r="O209" s="5"/>
      <c r="P209" s="5"/>
      <c r="Q209" s="5"/>
      <c r="R209" s="5"/>
      <c r="S209" s="5"/>
      <c r="T209" s="5"/>
      <c r="U209" s="5"/>
    </row>
    <row r="210" spans="1:21" ht="19.5" customHeight="1" x14ac:dyDescent="0.3">
      <c r="A210" s="5"/>
      <c r="B210" s="5"/>
      <c r="C210" s="5"/>
      <c r="D210" s="5"/>
      <c r="E210" s="6"/>
      <c r="F210" s="6"/>
      <c r="G210" s="6"/>
      <c r="H210" s="7"/>
      <c r="I210" s="8"/>
      <c r="J210" s="8"/>
      <c r="K210" s="8"/>
      <c r="L210" s="8"/>
      <c r="M210" s="8"/>
      <c r="N210" s="5"/>
      <c r="O210" s="5"/>
      <c r="P210" s="5"/>
      <c r="Q210" s="5"/>
      <c r="R210" s="5"/>
      <c r="S210" s="5"/>
      <c r="T210" s="5"/>
      <c r="U210" s="5"/>
    </row>
    <row r="211" spans="1:21" ht="19.5" customHeight="1" x14ac:dyDescent="0.3">
      <c r="A211" s="5"/>
      <c r="B211" s="5"/>
      <c r="C211" s="5"/>
      <c r="D211" s="5"/>
      <c r="E211" s="6"/>
      <c r="F211" s="6"/>
      <c r="G211" s="6"/>
      <c r="H211" s="7"/>
      <c r="I211" s="8"/>
      <c r="J211" s="8"/>
      <c r="K211" s="8"/>
      <c r="L211" s="8"/>
      <c r="M211" s="8"/>
      <c r="N211" s="5"/>
      <c r="O211" s="5"/>
      <c r="P211" s="5"/>
      <c r="Q211" s="5"/>
      <c r="R211" s="5"/>
      <c r="S211" s="5"/>
      <c r="T211" s="5"/>
      <c r="U211" s="5"/>
    </row>
    <row r="212" spans="1:21" ht="19.5" customHeight="1" x14ac:dyDescent="0.3">
      <c r="A212" s="5"/>
      <c r="B212" s="5"/>
      <c r="C212" s="5"/>
      <c r="D212" s="5"/>
      <c r="E212" s="6"/>
      <c r="F212" s="6"/>
      <c r="G212" s="6"/>
      <c r="H212" s="7"/>
      <c r="I212" s="8"/>
      <c r="J212" s="8"/>
      <c r="K212" s="8"/>
      <c r="L212" s="8"/>
      <c r="M212" s="8"/>
      <c r="N212" s="5"/>
      <c r="O212" s="5"/>
      <c r="P212" s="5"/>
      <c r="Q212" s="5"/>
      <c r="R212" s="5"/>
      <c r="S212" s="5"/>
      <c r="T212" s="5"/>
      <c r="U212" s="5"/>
    </row>
    <row r="213" spans="1:21" ht="19.5" customHeight="1" x14ac:dyDescent="0.3">
      <c r="A213" s="5"/>
      <c r="B213" s="5"/>
      <c r="C213" s="5"/>
      <c r="D213" s="5"/>
      <c r="E213" s="6"/>
      <c r="F213" s="6"/>
      <c r="G213" s="6"/>
      <c r="H213" s="7"/>
      <c r="I213" s="8"/>
      <c r="J213" s="8"/>
      <c r="K213" s="8"/>
      <c r="L213" s="8"/>
      <c r="M213" s="8"/>
      <c r="N213" s="5"/>
      <c r="O213" s="5"/>
      <c r="P213" s="5"/>
      <c r="Q213" s="5"/>
      <c r="R213" s="5"/>
      <c r="S213" s="5"/>
      <c r="T213" s="5"/>
      <c r="U213" s="5"/>
    </row>
    <row r="214" spans="1:21" ht="19.5" customHeight="1" x14ac:dyDescent="0.3">
      <c r="A214" s="5"/>
      <c r="B214" s="5"/>
      <c r="C214" s="5"/>
      <c r="D214" s="5"/>
      <c r="E214" s="6"/>
      <c r="F214" s="6"/>
      <c r="G214" s="6"/>
      <c r="H214" s="7"/>
      <c r="I214" s="8"/>
      <c r="J214" s="8"/>
      <c r="K214" s="8"/>
      <c r="L214" s="8"/>
      <c r="M214" s="8"/>
      <c r="N214" s="5"/>
      <c r="O214" s="5"/>
      <c r="P214" s="5"/>
      <c r="Q214" s="5"/>
      <c r="R214" s="5"/>
      <c r="S214" s="5"/>
      <c r="T214" s="5"/>
      <c r="U214" s="5"/>
    </row>
    <row r="215" spans="1:21" ht="19.5" customHeight="1" x14ac:dyDescent="0.3">
      <c r="A215" s="5"/>
      <c r="B215" s="5"/>
      <c r="C215" s="5"/>
      <c r="D215" s="5"/>
      <c r="E215" s="6"/>
      <c r="F215" s="6"/>
      <c r="G215" s="6"/>
      <c r="H215" s="7"/>
      <c r="I215" s="8"/>
      <c r="J215" s="8"/>
      <c r="K215" s="8"/>
      <c r="L215" s="8"/>
      <c r="M215" s="8"/>
      <c r="N215" s="5"/>
      <c r="O215" s="5"/>
      <c r="P215" s="5"/>
      <c r="Q215" s="5"/>
      <c r="R215" s="5"/>
      <c r="S215" s="5"/>
      <c r="T215" s="5"/>
      <c r="U215" s="5"/>
    </row>
    <row r="216" spans="1:21" ht="19.5" customHeight="1" x14ac:dyDescent="0.3">
      <c r="A216" s="5"/>
      <c r="B216" s="5"/>
      <c r="C216" s="5"/>
      <c r="D216" s="5"/>
      <c r="E216" s="6"/>
      <c r="F216" s="6"/>
      <c r="G216" s="6"/>
      <c r="H216" s="7"/>
      <c r="I216" s="8"/>
      <c r="J216" s="8"/>
      <c r="K216" s="8"/>
      <c r="L216" s="8"/>
      <c r="M216" s="8"/>
      <c r="N216" s="5"/>
      <c r="O216" s="5"/>
      <c r="P216" s="5"/>
      <c r="Q216" s="5"/>
      <c r="R216" s="5"/>
      <c r="S216" s="5"/>
      <c r="T216" s="5"/>
      <c r="U216" s="5"/>
    </row>
    <row r="217" spans="1:21" ht="19.5" customHeight="1" x14ac:dyDescent="0.3">
      <c r="A217" s="5"/>
      <c r="B217" s="5"/>
      <c r="C217" s="5"/>
      <c r="D217" s="5"/>
      <c r="E217" s="6"/>
      <c r="F217" s="6"/>
      <c r="G217" s="6"/>
      <c r="H217" s="7"/>
      <c r="I217" s="8"/>
      <c r="J217" s="8"/>
      <c r="K217" s="8"/>
      <c r="L217" s="8"/>
      <c r="M217" s="8"/>
      <c r="N217" s="5"/>
      <c r="O217" s="5"/>
      <c r="P217" s="5"/>
      <c r="Q217" s="5"/>
      <c r="R217" s="5"/>
      <c r="S217" s="5"/>
      <c r="T217" s="5"/>
      <c r="U217" s="5"/>
    </row>
    <row r="218" spans="1:21" ht="19.5" customHeight="1" x14ac:dyDescent="0.3">
      <c r="A218" s="5"/>
      <c r="B218" s="5"/>
      <c r="C218" s="5"/>
      <c r="D218" s="5"/>
      <c r="E218" s="6"/>
      <c r="F218" s="6"/>
      <c r="G218" s="6"/>
      <c r="H218" s="7"/>
      <c r="I218" s="8"/>
      <c r="J218" s="8"/>
      <c r="K218" s="8"/>
      <c r="L218" s="8"/>
      <c r="M218" s="8"/>
      <c r="N218" s="5"/>
      <c r="O218" s="5"/>
      <c r="P218" s="5"/>
      <c r="Q218" s="5"/>
      <c r="R218" s="5"/>
      <c r="S218" s="5"/>
      <c r="T218" s="5"/>
      <c r="U218" s="5"/>
    </row>
    <row r="219" spans="1:21" ht="19.5" customHeight="1" x14ac:dyDescent="0.3">
      <c r="A219" s="5"/>
      <c r="B219" s="5"/>
      <c r="C219" s="5"/>
      <c r="D219" s="5"/>
      <c r="E219" s="6"/>
      <c r="F219" s="6"/>
      <c r="G219" s="6"/>
      <c r="H219" s="7"/>
      <c r="I219" s="8"/>
      <c r="J219" s="8"/>
      <c r="K219" s="8"/>
      <c r="L219" s="8"/>
      <c r="M219" s="8"/>
      <c r="N219" s="5"/>
      <c r="O219" s="5"/>
      <c r="P219" s="5"/>
      <c r="Q219" s="5"/>
      <c r="R219" s="5"/>
      <c r="S219" s="5"/>
      <c r="T219" s="5"/>
      <c r="U219" s="5"/>
    </row>
    <row r="220" spans="1:21" ht="19.5" customHeight="1" x14ac:dyDescent="0.3">
      <c r="A220" s="5"/>
      <c r="B220" s="5"/>
      <c r="C220" s="5"/>
      <c r="D220" s="5"/>
      <c r="E220" s="6"/>
      <c r="F220" s="6"/>
      <c r="G220" s="6"/>
      <c r="H220" s="7"/>
      <c r="I220" s="8"/>
      <c r="J220" s="8"/>
      <c r="K220" s="8"/>
      <c r="L220" s="8"/>
      <c r="M220" s="8"/>
      <c r="N220" s="5"/>
      <c r="O220" s="5"/>
      <c r="P220" s="5"/>
      <c r="Q220" s="5"/>
      <c r="R220" s="5"/>
      <c r="S220" s="5"/>
      <c r="T220" s="5"/>
      <c r="U220" s="5"/>
    </row>
    <row r="221" spans="1:21" ht="19.5" customHeight="1" x14ac:dyDescent="0.3">
      <c r="A221" s="5"/>
      <c r="B221" s="5"/>
      <c r="C221" s="5"/>
      <c r="D221" s="5"/>
      <c r="E221" s="6"/>
      <c r="F221" s="6"/>
      <c r="G221" s="6"/>
      <c r="H221" s="7"/>
      <c r="I221" s="8"/>
      <c r="J221" s="8"/>
      <c r="K221" s="8"/>
      <c r="L221" s="8"/>
      <c r="M221" s="8"/>
      <c r="N221" s="5"/>
      <c r="O221" s="5"/>
      <c r="P221" s="5"/>
      <c r="Q221" s="5"/>
      <c r="R221" s="5"/>
      <c r="S221" s="5"/>
      <c r="T221" s="5"/>
      <c r="U221" s="5"/>
    </row>
    <row r="222" spans="1:21" ht="19.5" customHeight="1" x14ac:dyDescent="0.3">
      <c r="A222" s="5"/>
      <c r="B222" s="5"/>
      <c r="C222" s="5"/>
      <c r="D222" s="5"/>
      <c r="E222" s="6"/>
      <c r="F222" s="6"/>
      <c r="G222" s="6"/>
      <c r="H222" s="7"/>
      <c r="I222" s="8"/>
      <c r="J222" s="8"/>
      <c r="K222" s="8"/>
      <c r="L222" s="8"/>
      <c r="M222" s="8"/>
      <c r="N222" s="5"/>
      <c r="O222" s="5"/>
      <c r="P222" s="5"/>
      <c r="Q222" s="5"/>
      <c r="R222" s="5"/>
      <c r="S222" s="5"/>
      <c r="T222" s="5"/>
      <c r="U222" s="5"/>
    </row>
    <row r="223" spans="1:21" ht="19.5" customHeight="1" x14ac:dyDescent="0.3">
      <c r="A223" s="5"/>
      <c r="B223" s="5"/>
      <c r="C223" s="5"/>
      <c r="D223" s="5"/>
      <c r="E223" s="6"/>
      <c r="F223" s="6"/>
      <c r="G223" s="6"/>
      <c r="H223" s="7"/>
      <c r="I223" s="8"/>
      <c r="J223" s="8"/>
      <c r="K223" s="8"/>
      <c r="L223" s="8"/>
      <c r="M223" s="8"/>
      <c r="N223" s="5"/>
      <c r="O223" s="5"/>
      <c r="P223" s="5"/>
      <c r="Q223" s="5"/>
      <c r="R223" s="5"/>
      <c r="S223" s="5"/>
      <c r="T223" s="5"/>
      <c r="U223" s="5"/>
    </row>
    <row r="224" spans="1:21" ht="19.5" customHeight="1" x14ac:dyDescent="0.3">
      <c r="A224" s="5"/>
      <c r="B224" s="5"/>
      <c r="C224" s="5"/>
      <c r="D224" s="5"/>
      <c r="E224" s="6"/>
      <c r="F224" s="6"/>
      <c r="G224" s="6"/>
      <c r="H224" s="7"/>
      <c r="I224" s="8"/>
      <c r="J224" s="8"/>
      <c r="K224" s="8"/>
      <c r="L224" s="8"/>
      <c r="M224" s="8"/>
      <c r="N224" s="5"/>
      <c r="O224" s="5"/>
      <c r="P224" s="5"/>
      <c r="Q224" s="5"/>
      <c r="R224" s="5"/>
      <c r="S224" s="5"/>
      <c r="T224" s="5"/>
      <c r="U224" s="5"/>
    </row>
    <row r="225" spans="1:21" ht="19.5" customHeight="1" x14ac:dyDescent="0.3">
      <c r="A225" s="5"/>
      <c r="B225" s="5"/>
      <c r="C225" s="5"/>
      <c r="D225" s="5"/>
      <c r="E225" s="6"/>
      <c r="F225" s="6"/>
      <c r="G225" s="6"/>
      <c r="H225" s="7"/>
      <c r="I225" s="8"/>
      <c r="J225" s="8"/>
      <c r="K225" s="8"/>
      <c r="L225" s="8"/>
      <c r="M225" s="8"/>
      <c r="N225" s="5"/>
      <c r="O225" s="5"/>
      <c r="P225" s="5"/>
      <c r="Q225" s="5"/>
      <c r="R225" s="5"/>
      <c r="S225" s="5"/>
      <c r="T225" s="5"/>
      <c r="U225" s="5"/>
    </row>
    <row r="226" spans="1:21" ht="19.5" customHeight="1" x14ac:dyDescent="0.3">
      <c r="A226" s="5"/>
      <c r="B226" s="5"/>
      <c r="C226" s="5"/>
      <c r="D226" s="5"/>
      <c r="E226" s="6"/>
      <c r="F226" s="6"/>
      <c r="G226" s="6"/>
      <c r="H226" s="7"/>
      <c r="I226" s="8"/>
      <c r="J226" s="8"/>
      <c r="K226" s="8"/>
      <c r="L226" s="8"/>
      <c r="M226" s="8"/>
      <c r="N226" s="5"/>
      <c r="O226" s="5"/>
      <c r="P226" s="5"/>
      <c r="Q226" s="5"/>
      <c r="R226" s="5"/>
      <c r="S226" s="5"/>
      <c r="T226" s="5"/>
      <c r="U226" s="5"/>
    </row>
    <row r="227" spans="1:21" ht="19.5" customHeight="1" x14ac:dyDescent="0.3">
      <c r="A227" s="5"/>
      <c r="B227" s="5"/>
      <c r="C227" s="5"/>
      <c r="D227" s="5"/>
      <c r="E227" s="6"/>
      <c r="F227" s="6"/>
      <c r="G227" s="6"/>
      <c r="H227" s="7"/>
      <c r="I227" s="8"/>
      <c r="J227" s="8"/>
      <c r="K227" s="8"/>
      <c r="L227" s="8"/>
      <c r="M227" s="8"/>
      <c r="N227" s="5"/>
      <c r="O227" s="5"/>
      <c r="P227" s="5"/>
      <c r="Q227" s="5"/>
      <c r="R227" s="5"/>
      <c r="S227" s="5"/>
      <c r="T227" s="5"/>
      <c r="U227" s="5"/>
    </row>
    <row r="228" spans="1:21" ht="19.5" customHeight="1" x14ac:dyDescent="0.3">
      <c r="A228" s="5"/>
      <c r="B228" s="5"/>
      <c r="C228" s="5"/>
      <c r="D228" s="5"/>
      <c r="E228" s="6"/>
      <c r="F228" s="6"/>
      <c r="G228" s="6"/>
      <c r="H228" s="7"/>
      <c r="I228" s="8"/>
      <c r="J228" s="8"/>
      <c r="K228" s="8"/>
      <c r="L228" s="8"/>
      <c r="M228" s="8"/>
      <c r="N228" s="5"/>
      <c r="O228" s="5"/>
      <c r="P228" s="5"/>
      <c r="Q228" s="5"/>
      <c r="R228" s="5"/>
      <c r="S228" s="5"/>
      <c r="T228" s="5"/>
      <c r="U228" s="5"/>
    </row>
    <row r="229" spans="1:21" ht="19.5" customHeight="1" x14ac:dyDescent="0.3">
      <c r="A229" s="5"/>
      <c r="B229" s="5"/>
      <c r="C229" s="5"/>
      <c r="D229" s="5"/>
      <c r="E229" s="6"/>
      <c r="F229" s="6"/>
      <c r="G229" s="6"/>
      <c r="H229" s="7"/>
      <c r="I229" s="8"/>
      <c r="J229" s="8"/>
      <c r="K229" s="8"/>
      <c r="L229" s="8"/>
      <c r="M229" s="8"/>
      <c r="N229" s="5"/>
      <c r="O229" s="5"/>
      <c r="P229" s="5"/>
      <c r="Q229" s="5"/>
      <c r="R229" s="5"/>
      <c r="S229" s="5"/>
      <c r="T229" s="5"/>
      <c r="U229" s="5"/>
    </row>
    <row r="230" spans="1:21" ht="19.5" customHeight="1" x14ac:dyDescent="0.3">
      <c r="A230" s="5"/>
      <c r="B230" s="5"/>
      <c r="C230" s="5"/>
      <c r="D230" s="5"/>
      <c r="E230" s="6"/>
      <c r="F230" s="6"/>
      <c r="G230" s="6"/>
      <c r="H230" s="7"/>
      <c r="I230" s="8"/>
      <c r="J230" s="8"/>
      <c r="K230" s="8"/>
      <c r="L230" s="8"/>
      <c r="M230" s="8"/>
      <c r="N230" s="5"/>
      <c r="O230" s="5"/>
      <c r="P230" s="5"/>
      <c r="Q230" s="5"/>
      <c r="R230" s="5"/>
      <c r="S230" s="5"/>
      <c r="T230" s="5"/>
      <c r="U230" s="5"/>
    </row>
    <row r="231" spans="1:21" ht="19.5" customHeight="1" x14ac:dyDescent="0.3">
      <c r="A231" s="5"/>
      <c r="B231" s="5"/>
      <c r="C231" s="5"/>
      <c r="D231" s="5"/>
      <c r="E231" s="6"/>
      <c r="F231" s="6"/>
      <c r="G231" s="6"/>
      <c r="H231" s="7"/>
      <c r="I231" s="8"/>
      <c r="J231" s="8"/>
      <c r="K231" s="8"/>
      <c r="L231" s="8"/>
      <c r="M231" s="8"/>
      <c r="N231" s="5"/>
      <c r="O231" s="5"/>
      <c r="P231" s="5"/>
      <c r="Q231" s="5"/>
      <c r="R231" s="5"/>
      <c r="S231" s="5"/>
      <c r="T231" s="5"/>
      <c r="U231" s="5"/>
    </row>
    <row r="232" spans="1:21" ht="19.5" customHeight="1" x14ac:dyDescent="0.3">
      <c r="A232" s="5"/>
      <c r="B232" s="5"/>
      <c r="C232" s="5"/>
      <c r="D232" s="5"/>
      <c r="E232" s="6"/>
      <c r="F232" s="6"/>
      <c r="G232" s="6"/>
      <c r="H232" s="7"/>
      <c r="I232" s="8"/>
      <c r="J232" s="8"/>
      <c r="K232" s="8"/>
      <c r="L232" s="8"/>
      <c r="M232" s="8"/>
      <c r="N232" s="5"/>
      <c r="O232" s="5"/>
      <c r="P232" s="5"/>
      <c r="Q232" s="5"/>
      <c r="R232" s="5"/>
      <c r="S232" s="5"/>
      <c r="T232" s="5"/>
      <c r="U232" s="5"/>
    </row>
    <row r="233" spans="1:21" ht="19.5" customHeight="1" x14ac:dyDescent="0.3">
      <c r="A233" s="5"/>
      <c r="B233" s="5"/>
      <c r="C233" s="5"/>
      <c r="D233" s="5"/>
      <c r="E233" s="6"/>
      <c r="F233" s="6"/>
      <c r="G233" s="6"/>
      <c r="H233" s="7"/>
      <c r="I233" s="8"/>
      <c r="J233" s="8"/>
      <c r="K233" s="8"/>
      <c r="L233" s="8"/>
      <c r="M233" s="8"/>
      <c r="N233" s="5"/>
      <c r="O233" s="5"/>
      <c r="P233" s="5"/>
      <c r="Q233" s="5"/>
      <c r="R233" s="5"/>
      <c r="S233" s="5"/>
      <c r="T233" s="5"/>
      <c r="U233" s="5"/>
    </row>
    <row r="234" spans="1:21" ht="19.5" customHeight="1" x14ac:dyDescent="0.3">
      <c r="A234" s="5"/>
      <c r="B234" s="5"/>
      <c r="C234" s="5"/>
      <c r="D234" s="5"/>
      <c r="E234" s="6"/>
      <c r="F234" s="6"/>
      <c r="G234" s="6"/>
      <c r="H234" s="7"/>
      <c r="I234" s="8"/>
      <c r="J234" s="8"/>
      <c r="K234" s="8"/>
      <c r="L234" s="8"/>
      <c r="M234" s="8"/>
      <c r="N234" s="5"/>
      <c r="O234" s="5"/>
      <c r="P234" s="5"/>
      <c r="Q234" s="5"/>
      <c r="R234" s="5"/>
      <c r="S234" s="5"/>
      <c r="T234" s="5"/>
      <c r="U234" s="5"/>
    </row>
    <row r="235" spans="1:21" ht="19.5" customHeight="1" x14ac:dyDescent="0.3">
      <c r="A235" s="5"/>
      <c r="B235" s="5"/>
      <c r="C235" s="5"/>
      <c r="D235" s="5"/>
      <c r="E235" s="6"/>
      <c r="F235" s="6"/>
      <c r="G235" s="6"/>
      <c r="H235" s="7"/>
      <c r="I235" s="8"/>
      <c r="J235" s="8"/>
      <c r="K235" s="8"/>
      <c r="L235" s="8"/>
      <c r="M235" s="8"/>
      <c r="N235" s="5"/>
      <c r="O235" s="5"/>
      <c r="P235" s="5"/>
      <c r="Q235" s="5"/>
      <c r="R235" s="5"/>
      <c r="S235" s="5"/>
      <c r="T235" s="5"/>
      <c r="U235" s="5"/>
    </row>
    <row r="236" spans="1:21" ht="19.5" customHeight="1" x14ac:dyDescent="0.3">
      <c r="A236" s="5"/>
      <c r="B236" s="5"/>
      <c r="C236" s="5"/>
      <c r="D236" s="5"/>
      <c r="E236" s="6"/>
      <c r="F236" s="6"/>
      <c r="G236" s="6"/>
      <c r="H236" s="7"/>
      <c r="I236" s="8"/>
      <c r="J236" s="8"/>
      <c r="K236" s="8"/>
      <c r="L236" s="8"/>
      <c r="M236" s="8"/>
      <c r="N236" s="5"/>
      <c r="O236" s="5"/>
      <c r="P236" s="5"/>
      <c r="Q236" s="5"/>
      <c r="R236" s="5"/>
      <c r="S236" s="5"/>
      <c r="T236" s="5"/>
      <c r="U236" s="5"/>
    </row>
    <row r="237" spans="1:21" ht="19.5" customHeight="1" x14ac:dyDescent="0.3">
      <c r="A237" s="5"/>
      <c r="B237" s="5"/>
      <c r="C237" s="5"/>
      <c r="D237" s="5"/>
      <c r="E237" s="6"/>
      <c r="F237" s="6"/>
      <c r="G237" s="6"/>
      <c r="H237" s="7"/>
      <c r="I237" s="8"/>
      <c r="J237" s="8"/>
      <c r="K237" s="8"/>
      <c r="L237" s="8"/>
      <c r="M237" s="8"/>
      <c r="N237" s="5"/>
      <c r="O237" s="5"/>
      <c r="P237" s="5"/>
      <c r="Q237" s="5"/>
      <c r="R237" s="5"/>
      <c r="S237" s="5"/>
      <c r="T237" s="5"/>
      <c r="U237" s="5"/>
    </row>
    <row r="238" spans="1:21" ht="19.5" customHeight="1" x14ac:dyDescent="0.3">
      <c r="A238" s="5"/>
      <c r="B238" s="5"/>
      <c r="C238" s="5"/>
      <c r="D238" s="5"/>
      <c r="E238" s="6"/>
      <c r="F238" s="6"/>
      <c r="G238" s="6"/>
      <c r="H238" s="7"/>
      <c r="I238" s="8"/>
      <c r="J238" s="8"/>
      <c r="K238" s="8"/>
      <c r="L238" s="8"/>
      <c r="M238" s="8"/>
      <c r="N238" s="5"/>
      <c r="O238" s="5"/>
      <c r="P238" s="5"/>
      <c r="Q238" s="5"/>
      <c r="R238" s="5"/>
      <c r="S238" s="5"/>
      <c r="T238" s="5"/>
      <c r="U238" s="5"/>
    </row>
    <row r="239" spans="1:21" ht="19.5" customHeight="1" x14ac:dyDescent="0.3">
      <c r="A239" s="5"/>
      <c r="B239" s="5"/>
      <c r="C239" s="5"/>
      <c r="D239" s="5"/>
      <c r="E239" s="6"/>
      <c r="F239" s="6"/>
      <c r="G239" s="6"/>
      <c r="H239" s="7"/>
      <c r="I239" s="8"/>
      <c r="J239" s="8"/>
      <c r="K239" s="8"/>
      <c r="L239" s="8"/>
      <c r="M239" s="8"/>
      <c r="N239" s="5"/>
      <c r="O239" s="5"/>
      <c r="P239" s="5"/>
      <c r="Q239" s="5"/>
      <c r="R239" s="5"/>
      <c r="S239" s="5"/>
      <c r="T239" s="5"/>
      <c r="U239" s="5"/>
    </row>
    <row r="240" spans="1:21" ht="19.5" customHeight="1" x14ac:dyDescent="0.3">
      <c r="A240" s="5"/>
      <c r="B240" s="5"/>
      <c r="C240" s="5"/>
      <c r="D240" s="5"/>
      <c r="E240" s="6"/>
      <c r="F240" s="6"/>
      <c r="G240" s="6"/>
      <c r="H240" s="7"/>
      <c r="I240" s="8"/>
      <c r="J240" s="8"/>
      <c r="K240" s="8"/>
      <c r="L240" s="8"/>
      <c r="M240" s="8"/>
      <c r="N240" s="5"/>
      <c r="O240" s="5"/>
      <c r="P240" s="5"/>
      <c r="Q240" s="5"/>
      <c r="R240" s="5"/>
      <c r="S240" s="5"/>
      <c r="T240" s="5"/>
      <c r="U240" s="5"/>
    </row>
    <row r="241" spans="1:21" ht="19.5" customHeight="1" x14ac:dyDescent="0.3">
      <c r="A241" s="5"/>
      <c r="B241" s="5"/>
      <c r="C241" s="5"/>
      <c r="D241" s="5"/>
      <c r="E241" s="6"/>
      <c r="F241" s="6"/>
      <c r="G241" s="6"/>
      <c r="H241" s="7"/>
      <c r="I241" s="8"/>
      <c r="J241" s="8"/>
      <c r="K241" s="8"/>
      <c r="L241" s="8"/>
      <c r="M241" s="8"/>
      <c r="N241" s="5"/>
      <c r="O241" s="5"/>
      <c r="P241" s="5"/>
      <c r="Q241" s="5"/>
      <c r="R241" s="5"/>
      <c r="S241" s="5"/>
      <c r="T241" s="5"/>
      <c r="U241" s="5"/>
    </row>
    <row r="242" spans="1:21" ht="19.5" customHeight="1" x14ac:dyDescent="0.3">
      <c r="A242" s="5"/>
      <c r="B242" s="5"/>
      <c r="C242" s="5"/>
      <c r="D242" s="5"/>
      <c r="E242" s="6"/>
      <c r="F242" s="6"/>
      <c r="G242" s="6"/>
      <c r="H242" s="7"/>
      <c r="I242" s="8"/>
      <c r="J242" s="8"/>
      <c r="K242" s="8"/>
      <c r="L242" s="8"/>
      <c r="M242" s="8"/>
      <c r="N242" s="5"/>
      <c r="O242" s="5"/>
      <c r="P242" s="5"/>
      <c r="Q242" s="5"/>
      <c r="R242" s="5"/>
      <c r="S242" s="5"/>
      <c r="T242" s="5"/>
      <c r="U242" s="5"/>
    </row>
    <row r="243" spans="1:21" ht="19.5" customHeight="1" x14ac:dyDescent="0.3">
      <c r="A243" s="5"/>
      <c r="B243" s="5"/>
      <c r="C243" s="5"/>
      <c r="D243" s="5"/>
      <c r="E243" s="6"/>
      <c r="F243" s="6"/>
      <c r="G243" s="6"/>
      <c r="H243" s="7"/>
      <c r="I243" s="8"/>
      <c r="J243" s="8"/>
      <c r="K243" s="8"/>
      <c r="L243" s="8"/>
      <c r="M243" s="8"/>
      <c r="N243" s="5"/>
      <c r="O243" s="5"/>
      <c r="P243" s="5"/>
      <c r="Q243" s="5"/>
      <c r="R243" s="5"/>
      <c r="S243" s="5"/>
      <c r="T243" s="5"/>
      <c r="U243" s="5"/>
    </row>
    <row r="244" spans="1:21" ht="19.5" customHeight="1" x14ac:dyDescent="0.3">
      <c r="A244" s="5"/>
      <c r="B244" s="5"/>
      <c r="C244" s="5"/>
      <c r="D244" s="5"/>
      <c r="E244" s="6"/>
      <c r="F244" s="6"/>
      <c r="G244" s="6"/>
      <c r="H244" s="7"/>
      <c r="I244" s="8"/>
      <c r="J244" s="8"/>
      <c r="K244" s="8"/>
      <c r="L244" s="8"/>
      <c r="M244" s="8"/>
      <c r="N244" s="5"/>
      <c r="O244" s="5"/>
      <c r="P244" s="5"/>
      <c r="Q244" s="5"/>
      <c r="R244" s="5"/>
      <c r="S244" s="5"/>
      <c r="T244" s="5"/>
      <c r="U244" s="5"/>
    </row>
    <row r="245" spans="1:21" ht="19.5" customHeight="1" x14ac:dyDescent="0.3">
      <c r="A245" s="5"/>
      <c r="B245" s="5"/>
      <c r="C245" s="5"/>
      <c r="D245" s="5"/>
      <c r="E245" s="6"/>
      <c r="F245" s="6"/>
      <c r="G245" s="6"/>
      <c r="H245" s="7"/>
      <c r="I245" s="8"/>
      <c r="J245" s="8"/>
      <c r="K245" s="8"/>
      <c r="L245" s="8"/>
      <c r="M245" s="8"/>
      <c r="N245" s="5"/>
      <c r="O245" s="5"/>
      <c r="P245" s="5"/>
      <c r="Q245" s="5"/>
      <c r="R245" s="5"/>
      <c r="S245" s="5"/>
      <c r="T245" s="5"/>
      <c r="U245" s="5"/>
    </row>
    <row r="246" spans="1:21" ht="19.5" customHeight="1" x14ac:dyDescent="0.3">
      <c r="A246" s="5"/>
      <c r="B246" s="5"/>
      <c r="C246" s="5"/>
      <c r="D246" s="5"/>
      <c r="E246" s="6"/>
      <c r="F246" s="6"/>
      <c r="G246" s="6"/>
      <c r="H246" s="7"/>
      <c r="I246" s="8"/>
      <c r="J246" s="8"/>
      <c r="K246" s="8"/>
      <c r="L246" s="8"/>
      <c r="M246" s="8"/>
      <c r="N246" s="5"/>
      <c r="O246" s="5"/>
      <c r="P246" s="5"/>
      <c r="Q246" s="5"/>
      <c r="R246" s="5"/>
      <c r="S246" s="5"/>
      <c r="T246" s="5"/>
      <c r="U246" s="5"/>
    </row>
    <row r="247" spans="1:21" ht="19.5" customHeight="1" x14ac:dyDescent="0.3">
      <c r="A247" s="5"/>
      <c r="B247" s="5"/>
      <c r="C247" s="5"/>
      <c r="D247" s="5"/>
      <c r="E247" s="6"/>
      <c r="F247" s="6"/>
      <c r="G247" s="6"/>
      <c r="H247" s="7"/>
      <c r="I247" s="8"/>
      <c r="J247" s="8"/>
      <c r="K247" s="8"/>
      <c r="L247" s="8"/>
      <c r="M247" s="8"/>
      <c r="N247" s="5"/>
      <c r="O247" s="5"/>
      <c r="P247" s="5"/>
      <c r="Q247" s="5"/>
      <c r="R247" s="5"/>
      <c r="S247" s="5"/>
      <c r="T247" s="5"/>
      <c r="U247" s="5"/>
    </row>
    <row r="248" spans="1:21" ht="19.5" customHeight="1" x14ac:dyDescent="0.3">
      <c r="A248" s="5"/>
      <c r="B248" s="5"/>
      <c r="C248" s="5"/>
      <c r="D248" s="5"/>
      <c r="E248" s="6"/>
      <c r="F248" s="6"/>
      <c r="G248" s="6"/>
      <c r="H248" s="7"/>
      <c r="I248" s="8"/>
      <c r="J248" s="8"/>
      <c r="K248" s="8"/>
      <c r="L248" s="8"/>
      <c r="M248" s="8"/>
      <c r="N248" s="5"/>
      <c r="O248" s="5"/>
      <c r="P248" s="5"/>
      <c r="Q248" s="5"/>
      <c r="R248" s="5"/>
      <c r="S248" s="5"/>
      <c r="T248" s="5"/>
      <c r="U248" s="5"/>
    </row>
    <row r="249" spans="1:21" ht="19.5" customHeight="1" x14ac:dyDescent="0.3">
      <c r="A249" s="5"/>
      <c r="B249" s="5"/>
      <c r="C249" s="5"/>
      <c r="D249" s="5"/>
      <c r="E249" s="6"/>
      <c r="F249" s="6"/>
      <c r="G249" s="6"/>
      <c r="H249" s="7"/>
      <c r="I249" s="8"/>
      <c r="J249" s="8"/>
      <c r="K249" s="8"/>
      <c r="L249" s="8"/>
      <c r="M249" s="8"/>
      <c r="N249" s="5"/>
      <c r="O249" s="5"/>
      <c r="P249" s="5"/>
      <c r="Q249" s="5"/>
      <c r="R249" s="5"/>
      <c r="S249" s="5"/>
      <c r="T249" s="5"/>
      <c r="U249" s="5"/>
    </row>
    <row r="250" spans="1:21" ht="19.5" customHeight="1" x14ac:dyDescent="0.3">
      <c r="A250" s="5"/>
      <c r="B250" s="5"/>
      <c r="C250" s="5"/>
      <c r="D250" s="5"/>
      <c r="E250" s="6"/>
      <c r="F250" s="6"/>
      <c r="G250" s="6"/>
      <c r="H250" s="7"/>
      <c r="I250" s="8"/>
      <c r="J250" s="8"/>
      <c r="K250" s="8"/>
      <c r="L250" s="8"/>
      <c r="M250" s="8"/>
      <c r="N250" s="5"/>
      <c r="O250" s="5"/>
      <c r="P250" s="5"/>
      <c r="Q250" s="5"/>
      <c r="R250" s="5"/>
      <c r="S250" s="5"/>
      <c r="T250" s="5"/>
      <c r="U250" s="5"/>
    </row>
    <row r="251" spans="1:21" ht="19.5" customHeight="1" x14ac:dyDescent="0.3">
      <c r="A251" s="5"/>
      <c r="B251" s="5"/>
      <c r="C251" s="5"/>
      <c r="D251" s="5"/>
      <c r="E251" s="6"/>
      <c r="F251" s="6"/>
      <c r="G251" s="6"/>
      <c r="H251" s="7"/>
      <c r="I251" s="8"/>
      <c r="J251" s="8"/>
      <c r="K251" s="8"/>
      <c r="L251" s="8"/>
      <c r="M251" s="8"/>
      <c r="N251" s="5"/>
      <c r="O251" s="5"/>
      <c r="P251" s="5"/>
      <c r="Q251" s="5"/>
      <c r="R251" s="5"/>
      <c r="S251" s="5"/>
      <c r="T251" s="5"/>
      <c r="U251" s="5"/>
    </row>
    <row r="252" spans="1:21" ht="19.5" customHeight="1" x14ac:dyDescent="0.3">
      <c r="A252" s="5"/>
      <c r="B252" s="5"/>
      <c r="C252" s="5"/>
      <c r="D252" s="5"/>
      <c r="E252" s="6"/>
      <c r="F252" s="6"/>
      <c r="G252" s="6"/>
      <c r="H252" s="7"/>
      <c r="I252" s="8"/>
      <c r="J252" s="8"/>
      <c r="K252" s="8"/>
      <c r="L252" s="8"/>
      <c r="M252" s="8"/>
      <c r="N252" s="5"/>
      <c r="O252" s="5"/>
      <c r="P252" s="5"/>
      <c r="Q252" s="5"/>
      <c r="R252" s="5"/>
      <c r="S252" s="5"/>
      <c r="T252" s="5"/>
      <c r="U252" s="5"/>
    </row>
    <row r="253" spans="1:21" ht="19.5" customHeight="1" x14ac:dyDescent="0.3">
      <c r="A253" s="5"/>
      <c r="B253" s="5"/>
      <c r="C253" s="5"/>
      <c r="D253" s="5"/>
      <c r="E253" s="6"/>
      <c r="F253" s="6"/>
      <c r="G253" s="6"/>
      <c r="H253" s="7"/>
      <c r="I253" s="8"/>
      <c r="J253" s="8"/>
      <c r="K253" s="8"/>
      <c r="L253" s="8"/>
      <c r="M253" s="8"/>
      <c r="N253" s="5"/>
      <c r="O253" s="5"/>
      <c r="P253" s="5"/>
      <c r="Q253" s="5"/>
      <c r="R253" s="5"/>
      <c r="S253" s="5"/>
      <c r="T253" s="5"/>
      <c r="U253" s="5"/>
    </row>
    <row r="254" spans="1:21" ht="19.5" customHeight="1" x14ac:dyDescent="0.3">
      <c r="A254" s="5"/>
      <c r="B254" s="5"/>
      <c r="C254" s="5"/>
      <c r="D254" s="5"/>
      <c r="E254" s="6"/>
      <c r="F254" s="6"/>
      <c r="G254" s="6"/>
      <c r="H254" s="7"/>
      <c r="I254" s="8"/>
      <c r="J254" s="8"/>
      <c r="K254" s="8"/>
      <c r="L254" s="8"/>
      <c r="M254" s="8"/>
      <c r="N254" s="5"/>
      <c r="O254" s="5"/>
      <c r="P254" s="5"/>
      <c r="Q254" s="5"/>
      <c r="R254" s="5"/>
      <c r="S254" s="5"/>
      <c r="T254" s="5"/>
      <c r="U254" s="5"/>
    </row>
    <row r="255" spans="1:21" ht="19.5" customHeight="1" x14ac:dyDescent="0.3">
      <c r="A255" s="5"/>
      <c r="B255" s="5"/>
      <c r="C255" s="5"/>
      <c r="D255" s="5"/>
      <c r="E255" s="6"/>
      <c r="F255" s="6"/>
      <c r="G255" s="6"/>
      <c r="H255" s="7"/>
      <c r="I255" s="8"/>
      <c r="J255" s="8"/>
      <c r="K255" s="8"/>
      <c r="L255" s="8"/>
      <c r="M255" s="8"/>
      <c r="N255" s="5"/>
      <c r="O255" s="5"/>
      <c r="P255" s="5"/>
      <c r="Q255" s="5"/>
      <c r="R255" s="5"/>
      <c r="S255" s="5"/>
      <c r="T255" s="5"/>
      <c r="U255" s="5"/>
    </row>
    <row r="256" spans="1:21" ht="19.5" customHeight="1" x14ac:dyDescent="0.3">
      <c r="A256" s="5"/>
      <c r="B256" s="5"/>
      <c r="C256" s="5"/>
      <c r="D256" s="5"/>
      <c r="E256" s="6"/>
      <c r="F256" s="6"/>
      <c r="G256" s="6"/>
      <c r="H256" s="7"/>
      <c r="I256" s="8"/>
      <c r="J256" s="8"/>
      <c r="K256" s="8"/>
      <c r="L256" s="8"/>
      <c r="M256" s="8"/>
      <c r="N256" s="5"/>
      <c r="O256" s="5"/>
      <c r="P256" s="5"/>
      <c r="Q256" s="5"/>
      <c r="R256" s="5"/>
      <c r="S256" s="5"/>
      <c r="T256" s="5"/>
      <c r="U256" s="5"/>
    </row>
    <row r="257" spans="1:21" ht="19.5" customHeight="1" x14ac:dyDescent="0.3">
      <c r="A257" s="5"/>
      <c r="B257" s="5"/>
      <c r="C257" s="5"/>
      <c r="D257" s="5"/>
      <c r="E257" s="6"/>
      <c r="F257" s="6"/>
      <c r="G257" s="6"/>
      <c r="H257" s="7"/>
      <c r="I257" s="8"/>
      <c r="J257" s="8"/>
      <c r="K257" s="8"/>
      <c r="L257" s="8"/>
      <c r="M257" s="8"/>
      <c r="N257" s="5"/>
      <c r="O257" s="5"/>
      <c r="P257" s="5"/>
      <c r="Q257" s="5"/>
      <c r="R257" s="5"/>
      <c r="S257" s="5"/>
      <c r="T257" s="5"/>
      <c r="U257" s="5"/>
    </row>
    <row r="258" spans="1:21" ht="19.5" customHeight="1" x14ac:dyDescent="0.3">
      <c r="A258" s="5"/>
      <c r="B258" s="5"/>
      <c r="C258" s="5"/>
      <c r="D258" s="5"/>
      <c r="E258" s="6"/>
      <c r="F258" s="6"/>
      <c r="G258" s="6"/>
      <c r="H258" s="7"/>
      <c r="I258" s="8"/>
      <c r="J258" s="8"/>
      <c r="K258" s="8"/>
      <c r="L258" s="8"/>
      <c r="M258" s="8"/>
      <c r="N258" s="5"/>
      <c r="O258" s="5"/>
      <c r="P258" s="5"/>
      <c r="Q258" s="5"/>
      <c r="R258" s="5"/>
      <c r="S258" s="5"/>
      <c r="T258" s="5"/>
      <c r="U258" s="5"/>
    </row>
    <row r="259" spans="1:21" ht="19.5" customHeight="1" x14ac:dyDescent="0.3">
      <c r="A259" s="5"/>
      <c r="B259" s="5"/>
      <c r="C259" s="5"/>
      <c r="D259" s="5"/>
      <c r="E259" s="6"/>
      <c r="F259" s="6"/>
      <c r="G259" s="6"/>
      <c r="H259" s="7"/>
      <c r="I259" s="8"/>
      <c r="J259" s="8"/>
      <c r="K259" s="8"/>
      <c r="L259" s="8"/>
      <c r="M259" s="8"/>
      <c r="N259" s="5"/>
      <c r="O259" s="5"/>
      <c r="P259" s="5"/>
      <c r="Q259" s="5"/>
      <c r="R259" s="5"/>
      <c r="S259" s="5"/>
      <c r="T259" s="5"/>
      <c r="U259" s="5"/>
    </row>
    <row r="260" spans="1:21" ht="19.5" customHeight="1" x14ac:dyDescent="0.3">
      <c r="A260" s="5"/>
      <c r="B260" s="5"/>
      <c r="C260" s="5"/>
      <c r="D260" s="5"/>
      <c r="E260" s="6"/>
      <c r="F260" s="6"/>
      <c r="G260" s="6"/>
      <c r="H260" s="7"/>
      <c r="I260" s="8"/>
      <c r="J260" s="8"/>
      <c r="K260" s="8"/>
      <c r="L260" s="8"/>
      <c r="M260" s="8"/>
      <c r="N260" s="5"/>
      <c r="O260" s="5"/>
      <c r="P260" s="5"/>
      <c r="Q260" s="5"/>
      <c r="R260" s="5"/>
      <c r="S260" s="5"/>
      <c r="T260" s="5"/>
      <c r="U260" s="5"/>
    </row>
    <row r="261" spans="1:21" ht="19.5" customHeight="1" x14ac:dyDescent="0.3">
      <c r="A261" s="5"/>
      <c r="B261" s="5"/>
      <c r="C261" s="5"/>
      <c r="D261" s="5"/>
      <c r="E261" s="6"/>
      <c r="F261" s="6"/>
      <c r="G261" s="6"/>
      <c r="H261" s="7"/>
      <c r="I261" s="8"/>
      <c r="J261" s="8"/>
      <c r="K261" s="8"/>
      <c r="L261" s="8"/>
      <c r="M261" s="8"/>
      <c r="N261" s="5"/>
      <c r="O261" s="5"/>
      <c r="P261" s="5"/>
      <c r="Q261" s="5"/>
      <c r="R261" s="5"/>
      <c r="S261" s="5"/>
      <c r="T261" s="5"/>
      <c r="U261" s="5"/>
    </row>
    <row r="262" spans="1:21" ht="19.5" customHeight="1" x14ac:dyDescent="0.3">
      <c r="A262" s="5"/>
      <c r="B262" s="5"/>
      <c r="C262" s="5"/>
      <c r="D262" s="5"/>
      <c r="E262" s="6"/>
      <c r="F262" s="6"/>
      <c r="G262" s="6"/>
      <c r="H262" s="7"/>
      <c r="I262" s="8"/>
      <c r="J262" s="8"/>
      <c r="K262" s="8"/>
      <c r="L262" s="8"/>
      <c r="M262" s="8"/>
      <c r="N262" s="5"/>
      <c r="O262" s="5"/>
      <c r="P262" s="5"/>
      <c r="Q262" s="5"/>
      <c r="R262" s="5"/>
      <c r="S262" s="5"/>
      <c r="T262" s="5"/>
      <c r="U262" s="5"/>
    </row>
    <row r="263" spans="1:21" ht="19.5" customHeight="1" x14ac:dyDescent="0.3">
      <c r="A263" s="5"/>
      <c r="B263" s="5"/>
      <c r="C263" s="5"/>
      <c r="D263" s="5"/>
      <c r="E263" s="6"/>
      <c r="F263" s="6"/>
      <c r="G263" s="6"/>
      <c r="H263" s="7"/>
      <c r="I263" s="8"/>
      <c r="J263" s="8"/>
      <c r="K263" s="8"/>
      <c r="L263" s="8"/>
      <c r="M263" s="8"/>
      <c r="N263" s="5"/>
      <c r="O263" s="5"/>
      <c r="P263" s="5"/>
      <c r="Q263" s="5"/>
      <c r="R263" s="5"/>
      <c r="S263" s="5"/>
      <c r="T263" s="5"/>
      <c r="U263" s="5"/>
    </row>
    <row r="264" spans="1:21" ht="19.5" customHeight="1" x14ac:dyDescent="0.3">
      <c r="A264" s="5"/>
      <c r="B264" s="5"/>
      <c r="C264" s="5"/>
      <c r="D264" s="5"/>
      <c r="E264" s="6"/>
      <c r="F264" s="6"/>
      <c r="G264" s="6"/>
      <c r="H264" s="7"/>
      <c r="I264" s="8"/>
      <c r="J264" s="8"/>
      <c r="K264" s="8"/>
      <c r="L264" s="8"/>
      <c r="M264" s="8"/>
      <c r="N264" s="5"/>
      <c r="O264" s="5"/>
      <c r="P264" s="5"/>
      <c r="Q264" s="5"/>
      <c r="R264" s="5"/>
      <c r="S264" s="5"/>
      <c r="T264" s="5"/>
      <c r="U264" s="5"/>
    </row>
    <row r="265" spans="1:21" ht="19.5" customHeight="1" x14ac:dyDescent="0.3">
      <c r="A265" s="5"/>
      <c r="B265" s="5"/>
      <c r="C265" s="5"/>
      <c r="D265" s="5"/>
      <c r="E265" s="6"/>
      <c r="F265" s="6"/>
      <c r="G265" s="6"/>
      <c r="H265" s="7"/>
      <c r="I265" s="8"/>
      <c r="J265" s="8"/>
      <c r="K265" s="8"/>
      <c r="L265" s="8"/>
      <c r="M265" s="8"/>
      <c r="N265" s="5"/>
      <c r="O265" s="5"/>
      <c r="P265" s="5"/>
      <c r="Q265" s="5"/>
      <c r="R265" s="5"/>
      <c r="S265" s="5"/>
      <c r="T265" s="5"/>
      <c r="U265" s="5"/>
    </row>
    <row r="266" spans="1:21" ht="19.5" customHeight="1" x14ac:dyDescent="0.3">
      <c r="A266" s="5"/>
      <c r="B266" s="5"/>
      <c r="C266" s="5"/>
      <c r="D266" s="5"/>
      <c r="E266" s="6"/>
      <c r="F266" s="6"/>
      <c r="G266" s="6"/>
      <c r="H266" s="7"/>
      <c r="I266" s="8"/>
      <c r="J266" s="8"/>
      <c r="K266" s="8"/>
      <c r="L266" s="8"/>
      <c r="M266" s="8"/>
      <c r="N266" s="5"/>
      <c r="O266" s="5"/>
      <c r="P266" s="5"/>
      <c r="Q266" s="5"/>
      <c r="R266" s="5"/>
      <c r="S266" s="5"/>
      <c r="T266" s="5"/>
      <c r="U266" s="5"/>
    </row>
    <row r="267" spans="1:21" ht="19.5" customHeight="1" x14ac:dyDescent="0.3">
      <c r="A267" s="5"/>
      <c r="B267" s="5"/>
      <c r="C267" s="5"/>
      <c r="D267" s="5"/>
      <c r="E267" s="6"/>
      <c r="F267" s="6"/>
      <c r="G267" s="6"/>
      <c r="H267" s="7"/>
      <c r="I267" s="8"/>
      <c r="J267" s="8"/>
      <c r="K267" s="8"/>
      <c r="L267" s="8"/>
      <c r="M267" s="8"/>
      <c r="N267" s="5"/>
      <c r="O267" s="5"/>
      <c r="P267" s="5"/>
      <c r="Q267" s="5"/>
      <c r="R267" s="5"/>
      <c r="S267" s="5"/>
      <c r="T267" s="5"/>
      <c r="U267" s="5"/>
    </row>
    <row r="268" spans="1:21" ht="19.5" customHeight="1" x14ac:dyDescent="0.3">
      <c r="A268" s="5"/>
      <c r="B268" s="5"/>
      <c r="C268" s="5"/>
      <c r="D268" s="5"/>
      <c r="E268" s="6"/>
      <c r="F268" s="6"/>
      <c r="G268" s="6"/>
      <c r="H268" s="7"/>
      <c r="I268" s="8"/>
      <c r="J268" s="8"/>
      <c r="K268" s="8"/>
      <c r="L268" s="8"/>
      <c r="M268" s="8"/>
      <c r="N268" s="5"/>
      <c r="O268" s="5"/>
      <c r="P268" s="5"/>
      <c r="Q268" s="5"/>
      <c r="R268" s="5"/>
      <c r="S268" s="5"/>
      <c r="T268" s="5"/>
      <c r="U268" s="5"/>
    </row>
    <row r="269" spans="1:21" ht="19.5" customHeight="1" x14ac:dyDescent="0.3">
      <c r="A269" s="5"/>
      <c r="B269" s="5"/>
      <c r="C269" s="5"/>
      <c r="D269" s="5"/>
      <c r="E269" s="6"/>
      <c r="F269" s="6"/>
      <c r="G269" s="6"/>
      <c r="H269" s="7"/>
      <c r="I269" s="8"/>
      <c r="J269" s="8"/>
      <c r="K269" s="8"/>
      <c r="L269" s="8"/>
      <c r="M269" s="8"/>
      <c r="N269" s="5"/>
      <c r="O269" s="5"/>
      <c r="P269" s="5"/>
      <c r="Q269" s="5"/>
      <c r="R269" s="5"/>
      <c r="S269" s="5"/>
      <c r="T269" s="5"/>
      <c r="U269" s="5"/>
    </row>
    <row r="270" spans="1:21" ht="19.5" customHeight="1" x14ac:dyDescent="0.3">
      <c r="A270" s="5"/>
      <c r="B270" s="5"/>
      <c r="C270" s="5"/>
      <c r="D270" s="5"/>
      <c r="E270" s="6"/>
      <c r="F270" s="6"/>
      <c r="G270" s="6"/>
      <c r="H270" s="7"/>
      <c r="I270" s="8"/>
      <c r="J270" s="8"/>
      <c r="K270" s="8"/>
      <c r="L270" s="8"/>
      <c r="M270" s="8"/>
      <c r="N270" s="5"/>
      <c r="O270" s="5"/>
      <c r="P270" s="5"/>
      <c r="Q270" s="5"/>
      <c r="R270" s="5"/>
      <c r="S270" s="5"/>
      <c r="T270" s="5"/>
      <c r="U270" s="5"/>
    </row>
    <row r="271" spans="1:21" ht="19.5" customHeight="1" x14ac:dyDescent="0.3">
      <c r="A271" s="5"/>
      <c r="B271" s="5"/>
      <c r="C271" s="5"/>
      <c r="D271" s="5"/>
      <c r="E271" s="6"/>
      <c r="F271" s="6"/>
      <c r="G271" s="6"/>
      <c r="H271" s="7"/>
      <c r="I271" s="8"/>
      <c r="J271" s="8"/>
      <c r="K271" s="8"/>
      <c r="L271" s="8"/>
      <c r="M271" s="8"/>
      <c r="N271" s="5"/>
      <c r="O271" s="5"/>
      <c r="P271" s="5"/>
      <c r="Q271" s="5"/>
      <c r="R271" s="5"/>
      <c r="S271" s="5"/>
      <c r="T271" s="5"/>
      <c r="U271" s="5"/>
    </row>
    <row r="272" spans="1:21" ht="19.5" customHeight="1" x14ac:dyDescent="0.3">
      <c r="A272" s="5"/>
      <c r="B272" s="5"/>
      <c r="C272" s="5"/>
      <c r="D272" s="5"/>
      <c r="E272" s="6"/>
      <c r="F272" s="6"/>
      <c r="G272" s="6"/>
      <c r="H272" s="7"/>
      <c r="I272" s="8"/>
      <c r="J272" s="8"/>
      <c r="K272" s="8"/>
      <c r="L272" s="8"/>
      <c r="M272" s="8"/>
      <c r="N272" s="5"/>
      <c r="O272" s="5"/>
      <c r="P272" s="5"/>
      <c r="Q272" s="5"/>
      <c r="R272" s="5"/>
      <c r="S272" s="5"/>
      <c r="T272" s="5"/>
      <c r="U272" s="5"/>
    </row>
    <row r="273" spans="1:21" ht="19.5" customHeight="1" x14ac:dyDescent="0.3">
      <c r="A273" s="5"/>
      <c r="B273" s="5"/>
      <c r="C273" s="5"/>
      <c r="D273" s="5"/>
      <c r="E273" s="6"/>
      <c r="F273" s="6"/>
      <c r="G273" s="6"/>
      <c r="H273" s="7"/>
      <c r="I273" s="8"/>
      <c r="J273" s="8"/>
      <c r="K273" s="8"/>
      <c r="L273" s="8"/>
      <c r="M273" s="8"/>
      <c r="N273" s="5"/>
      <c r="O273" s="5"/>
      <c r="P273" s="5"/>
      <c r="Q273" s="5"/>
      <c r="R273" s="5"/>
      <c r="S273" s="5"/>
      <c r="T273" s="5"/>
      <c r="U273" s="5"/>
    </row>
    <row r="274" spans="1:21" ht="19.5" customHeight="1" x14ac:dyDescent="0.3">
      <c r="A274" s="5"/>
      <c r="B274" s="5"/>
      <c r="C274" s="5"/>
      <c r="D274" s="5"/>
      <c r="E274" s="6"/>
      <c r="F274" s="6"/>
      <c r="G274" s="6"/>
      <c r="H274" s="7"/>
      <c r="I274" s="8"/>
      <c r="J274" s="8"/>
      <c r="K274" s="8"/>
      <c r="L274" s="8"/>
      <c r="M274" s="8"/>
      <c r="N274" s="5"/>
      <c r="O274" s="5"/>
      <c r="P274" s="5"/>
      <c r="Q274" s="5"/>
      <c r="R274" s="5"/>
      <c r="S274" s="5"/>
      <c r="T274" s="5"/>
      <c r="U274" s="5"/>
    </row>
    <row r="275" spans="1:21" ht="19.5" customHeight="1" x14ac:dyDescent="0.3">
      <c r="A275" s="5"/>
      <c r="B275" s="5"/>
      <c r="C275" s="5"/>
      <c r="D275" s="5"/>
      <c r="E275" s="6"/>
      <c r="F275" s="6"/>
      <c r="G275" s="6"/>
      <c r="H275" s="7"/>
      <c r="I275" s="8"/>
      <c r="J275" s="8"/>
      <c r="K275" s="8"/>
      <c r="L275" s="8"/>
      <c r="M275" s="8"/>
      <c r="N275" s="5"/>
      <c r="O275" s="5"/>
      <c r="P275" s="5"/>
      <c r="Q275" s="5"/>
      <c r="R275" s="5"/>
      <c r="S275" s="5"/>
      <c r="T275" s="5"/>
      <c r="U275" s="5"/>
    </row>
    <row r="276" spans="1:21" ht="19.5" customHeight="1" x14ac:dyDescent="0.3">
      <c r="A276" s="5"/>
      <c r="B276" s="5"/>
      <c r="C276" s="5"/>
      <c r="D276" s="5"/>
      <c r="E276" s="6"/>
      <c r="F276" s="6"/>
      <c r="G276" s="6"/>
      <c r="H276" s="7"/>
      <c r="I276" s="8"/>
      <c r="J276" s="8"/>
      <c r="K276" s="8"/>
      <c r="L276" s="8"/>
      <c r="M276" s="8"/>
      <c r="N276" s="5"/>
      <c r="O276" s="5"/>
      <c r="P276" s="5"/>
      <c r="Q276" s="5"/>
      <c r="R276" s="5"/>
      <c r="S276" s="5"/>
      <c r="T276" s="5"/>
      <c r="U276" s="5"/>
    </row>
    <row r="277" spans="1:21" ht="19.5" customHeight="1" x14ac:dyDescent="0.3">
      <c r="A277" s="5"/>
      <c r="B277" s="5"/>
      <c r="C277" s="5"/>
      <c r="D277" s="5"/>
      <c r="E277" s="6"/>
      <c r="F277" s="6"/>
      <c r="G277" s="6"/>
      <c r="H277" s="7"/>
      <c r="I277" s="8"/>
      <c r="J277" s="8"/>
      <c r="K277" s="8"/>
      <c r="L277" s="8"/>
      <c r="M277" s="8"/>
      <c r="N277" s="5"/>
      <c r="O277" s="5"/>
      <c r="P277" s="5"/>
      <c r="Q277" s="5"/>
      <c r="R277" s="5"/>
      <c r="S277" s="5"/>
      <c r="T277" s="5"/>
      <c r="U277" s="5"/>
    </row>
    <row r="278" spans="1:21" ht="19.5" customHeight="1" x14ac:dyDescent="0.3">
      <c r="A278" s="5"/>
      <c r="B278" s="5"/>
      <c r="C278" s="5"/>
      <c r="D278" s="5"/>
      <c r="E278" s="6"/>
      <c r="F278" s="6"/>
      <c r="G278" s="6"/>
      <c r="H278" s="7"/>
      <c r="I278" s="8"/>
      <c r="J278" s="8"/>
      <c r="K278" s="8"/>
      <c r="L278" s="8"/>
      <c r="M278" s="8"/>
      <c r="N278" s="5"/>
      <c r="O278" s="5"/>
      <c r="P278" s="5"/>
      <c r="Q278" s="5"/>
      <c r="R278" s="5"/>
      <c r="S278" s="5"/>
      <c r="T278" s="5"/>
      <c r="U278" s="5"/>
    </row>
    <row r="279" spans="1:21" ht="19.5" customHeight="1" x14ac:dyDescent="0.3">
      <c r="A279" s="5"/>
      <c r="B279" s="5"/>
      <c r="C279" s="5"/>
      <c r="D279" s="5"/>
      <c r="E279" s="6"/>
      <c r="F279" s="6"/>
      <c r="G279" s="6"/>
      <c r="H279" s="7"/>
      <c r="I279" s="8"/>
      <c r="J279" s="8"/>
      <c r="K279" s="8"/>
      <c r="L279" s="8"/>
      <c r="M279" s="8"/>
      <c r="N279" s="5"/>
      <c r="O279" s="5"/>
      <c r="P279" s="5"/>
      <c r="Q279" s="5"/>
      <c r="R279" s="5"/>
      <c r="S279" s="5"/>
      <c r="T279" s="5"/>
      <c r="U279" s="5"/>
    </row>
    <row r="280" spans="1:21" ht="19.5" customHeight="1" x14ac:dyDescent="0.3">
      <c r="A280" s="5"/>
      <c r="B280" s="5"/>
      <c r="C280" s="5"/>
      <c r="D280" s="5"/>
      <c r="E280" s="6"/>
      <c r="F280" s="6"/>
      <c r="G280" s="6"/>
      <c r="H280" s="7"/>
      <c r="I280" s="8"/>
      <c r="J280" s="8"/>
      <c r="K280" s="8"/>
      <c r="L280" s="8"/>
      <c r="M280" s="8"/>
      <c r="N280" s="5"/>
      <c r="O280" s="5"/>
      <c r="P280" s="5"/>
      <c r="Q280" s="5"/>
      <c r="R280" s="5"/>
      <c r="S280" s="5"/>
      <c r="T280" s="5"/>
      <c r="U280" s="5"/>
    </row>
    <row r="281" spans="1:21" ht="19.5" customHeight="1" x14ac:dyDescent="0.3">
      <c r="A281" s="5"/>
      <c r="B281" s="5"/>
      <c r="C281" s="5"/>
      <c r="D281" s="5"/>
      <c r="E281" s="6"/>
      <c r="F281" s="6"/>
      <c r="G281" s="6"/>
      <c r="H281" s="7"/>
      <c r="I281" s="8"/>
      <c r="J281" s="8"/>
      <c r="K281" s="8"/>
      <c r="L281" s="8"/>
      <c r="M281" s="8"/>
      <c r="N281" s="5"/>
      <c r="O281" s="5"/>
      <c r="P281" s="5"/>
      <c r="Q281" s="5"/>
      <c r="R281" s="5"/>
      <c r="S281" s="5"/>
      <c r="T281" s="5"/>
      <c r="U281" s="5"/>
    </row>
    <row r="282" spans="1:21" ht="19.5" customHeight="1" x14ac:dyDescent="0.3">
      <c r="A282" s="5"/>
      <c r="B282" s="5"/>
      <c r="C282" s="5"/>
      <c r="D282" s="5"/>
      <c r="E282" s="6"/>
      <c r="F282" s="6"/>
      <c r="G282" s="6"/>
      <c r="H282" s="7"/>
      <c r="I282" s="8"/>
      <c r="J282" s="8"/>
      <c r="K282" s="8"/>
      <c r="L282" s="8"/>
      <c r="M282" s="8"/>
      <c r="N282" s="5"/>
      <c r="O282" s="5"/>
      <c r="P282" s="5"/>
      <c r="Q282" s="5"/>
      <c r="R282" s="5"/>
      <c r="S282" s="5"/>
      <c r="T282" s="5"/>
      <c r="U282" s="5"/>
    </row>
    <row r="283" spans="1:21" ht="19.5" customHeight="1" x14ac:dyDescent="0.3">
      <c r="A283" s="5"/>
      <c r="B283" s="5"/>
      <c r="C283" s="5"/>
      <c r="D283" s="5"/>
      <c r="E283" s="6"/>
      <c r="F283" s="6"/>
      <c r="G283" s="6"/>
      <c r="H283" s="7"/>
      <c r="I283" s="8"/>
      <c r="J283" s="8"/>
      <c r="K283" s="8"/>
      <c r="L283" s="8"/>
      <c r="M283" s="8"/>
      <c r="N283" s="5"/>
      <c r="O283" s="5"/>
      <c r="P283" s="5"/>
      <c r="Q283" s="5"/>
      <c r="R283" s="5"/>
      <c r="S283" s="5"/>
      <c r="T283" s="5"/>
      <c r="U283" s="5"/>
    </row>
    <row r="284" spans="1:21" ht="19.5" customHeight="1" x14ac:dyDescent="0.3">
      <c r="A284" s="5"/>
      <c r="B284" s="5"/>
      <c r="C284" s="5"/>
      <c r="D284" s="5"/>
      <c r="E284" s="6"/>
      <c r="F284" s="6"/>
      <c r="G284" s="6"/>
      <c r="H284" s="7"/>
      <c r="I284" s="8"/>
      <c r="J284" s="8"/>
      <c r="K284" s="8"/>
      <c r="L284" s="8"/>
      <c r="M284" s="8"/>
      <c r="N284" s="5"/>
      <c r="O284" s="5"/>
      <c r="P284" s="5"/>
      <c r="Q284" s="5"/>
      <c r="R284" s="5"/>
      <c r="S284" s="5"/>
      <c r="T284" s="5"/>
      <c r="U284" s="5"/>
    </row>
    <row r="285" spans="1:21" ht="19.5" customHeight="1" x14ac:dyDescent="0.3">
      <c r="A285" s="5"/>
      <c r="B285" s="5"/>
      <c r="C285" s="5"/>
      <c r="D285" s="5"/>
      <c r="E285" s="6"/>
      <c r="F285" s="6"/>
      <c r="G285" s="6"/>
      <c r="H285" s="7"/>
      <c r="I285" s="8"/>
      <c r="J285" s="8"/>
      <c r="K285" s="8"/>
      <c r="L285" s="8"/>
      <c r="M285" s="8"/>
      <c r="N285" s="5"/>
      <c r="O285" s="5"/>
      <c r="P285" s="5"/>
      <c r="Q285" s="5"/>
      <c r="R285" s="5"/>
      <c r="S285" s="5"/>
      <c r="T285" s="5"/>
      <c r="U285" s="5"/>
    </row>
    <row r="286" spans="1:21" ht="19.5" customHeight="1" x14ac:dyDescent="0.3">
      <c r="A286" s="5"/>
      <c r="B286" s="5"/>
      <c r="C286" s="5"/>
      <c r="D286" s="5"/>
      <c r="E286" s="6"/>
      <c r="F286" s="6"/>
      <c r="G286" s="6"/>
      <c r="H286" s="7"/>
      <c r="I286" s="8"/>
      <c r="J286" s="8"/>
      <c r="K286" s="8"/>
      <c r="L286" s="8"/>
      <c r="M286" s="8"/>
      <c r="N286" s="5"/>
      <c r="O286" s="5"/>
      <c r="P286" s="5"/>
      <c r="Q286" s="5"/>
      <c r="R286" s="5"/>
      <c r="S286" s="5"/>
      <c r="T286" s="5"/>
      <c r="U286" s="5"/>
    </row>
    <row r="287" spans="1:21" ht="19.5" customHeight="1" x14ac:dyDescent="0.3">
      <c r="A287" s="5"/>
      <c r="B287" s="5"/>
      <c r="C287" s="5"/>
      <c r="D287" s="5"/>
      <c r="E287" s="6"/>
      <c r="F287" s="6"/>
      <c r="G287" s="6"/>
      <c r="H287" s="7"/>
      <c r="I287" s="8"/>
      <c r="J287" s="8"/>
      <c r="K287" s="8"/>
      <c r="L287" s="8"/>
      <c r="M287" s="8"/>
      <c r="N287" s="5"/>
      <c r="O287" s="5"/>
      <c r="P287" s="5"/>
      <c r="Q287" s="5"/>
      <c r="R287" s="5"/>
      <c r="S287" s="5"/>
      <c r="T287" s="5"/>
      <c r="U287" s="5"/>
    </row>
    <row r="288" spans="1:21" ht="19.5" customHeight="1" x14ac:dyDescent="0.3">
      <c r="A288" s="5"/>
      <c r="B288" s="5"/>
      <c r="C288" s="5"/>
      <c r="D288" s="5"/>
      <c r="E288" s="6"/>
      <c r="F288" s="6"/>
      <c r="G288" s="6"/>
      <c r="H288" s="7"/>
      <c r="I288" s="8"/>
      <c r="J288" s="8"/>
      <c r="K288" s="8"/>
      <c r="L288" s="8"/>
      <c r="M288" s="8"/>
      <c r="N288" s="5"/>
      <c r="O288" s="5"/>
      <c r="P288" s="5"/>
      <c r="Q288" s="5"/>
      <c r="R288" s="5"/>
      <c r="S288" s="5"/>
      <c r="T288" s="5"/>
      <c r="U288" s="5"/>
    </row>
    <row r="289" spans="1:21" ht="19.5" customHeight="1" x14ac:dyDescent="0.3">
      <c r="A289" s="5"/>
      <c r="B289" s="5"/>
      <c r="C289" s="5"/>
      <c r="D289" s="5"/>
      <c r="E289" s="6"/>
      <c r="F289" s="6"/>
      <c r="G289" s="6"/>
      <c r="H289" s="7"/>
      <c r="I289" s="8"/>
      <c r="J289" s="8"/>
      <c r="K289" s="8"/>
      <c r="L289" s="8"/>
      <c r="M289" s="8"/>
      <c r="N289" s="5"/>
      <c r="O289" s="5"/>
      <c r="P289" s="5"/>
      <c r="Q289" s="5"/>
      <c r="R289" s="5"/>
      <c r="S289" s="5"/>
      <c r="T289" s="5"/>
      <c r="U289" s="5"/>
    </row>
    <row r="290" spans="1:21" ht="19.5" customHeight="1" x14ac:dyDescent="0.3">
      <c r="A290" s="5"/>
      <c r="B290" s="5"/>
      <c r="C290" s="5"/>
      <c r="D290" s="5"/>
      <c r="E290" s="6"/>
      <c r="F290" s="6"/>
      <c r="G290" s="6"/>
      <c r="H290" s="7"/>
      <c r="I290" s="8"/>
      <c r="J290" s="8"/>
      <c r="K290" s="8"/>
      <c r="L290" s="8"/>
      <c r="M290" s="8"/>
      <c r="N290" s="5"/>
      <c r="O290" s="5"/>
      <c r="P290" s="5"/>
      <c r="Q290" s="5"/>
      <c r="R290" s="5"/>
      <c r="S290" s="5"/>
      <c r="T290" s="5"/>
      <c r="U290" s="5"/>
    </row>
    <row r="291" spans="1:21" ht="19.5" customHeight="1" x14ac:dyDescent="0.3">
      <c r="A291" s="5"/>
      <c r="B291" s="5"/>
      <c r="C291" s="5"/>
      <c r="D291" s="5"/>
      <c r="E291" s="6"/>
      <c r="F291" s="6"/>
      <c r="G291" s="6"/>
      <c r="H291" s="7"/>
      <c r="I291" s="8"/>
      <c r="J291" s="8"/>
      <c r="K291" s="8"/>
      <c r="L291" s="8"/>
      <c r="M291" s="8"/>
      <c r="N291" s="5"/>
      <c r="O291" s="5"/>
      <c r="P291" s="5"/>
      <c r="Q291" s="5"/>
      <c r="R291" s="5"/>
      <c r="S291" s="5"/>
      <c r="T291" s="5"/>
      <c r="U291" s="5"/>
    </row>
    <row r="292" spans="1:21" ht="19.5" customHeight="1" x14ac:dyDescent="0.3">
      <c r="A292" s="5"/>
      <c r="B292" s="5"/>
      <c r="C292" s="5"/>
      <c r="D292" s="5"/>
      <c r="E292" s="6"/>
      <c r="F292" s="6"/>
      <c r="G292" s="6"/>
      <c r="H292" s="7"/>
      <c r="I292" s="8"/>
      <c r="J292" s="8"/>
      <c r="K292" s="8"/>
      <c r="L292" s="8"/>
      <c r="M292" s="8"/>
      <c r="N292" s="5"/>
      <c r="O292" s="5"/>
      <c r="P292" s="5"/>
      <c r="Q292" s="5"/>
      <c r="R292" s="5"/>
      <c r="S292" s="5"/>
      <c r="T292" s="5"/>
      <c r="U292" s="5"/>
    </row>
    <row r="293" spans="1:21" ht="19.5" customHeight="1" x14ac:dyDescent="0.3">
      <c r="A293" s="5"/>
      <c r="B293" s="5"/>
      <c r="C293" s="5"/>
      <c r="D293" s="5"/>
      <c r="E293" s="6"/>
      <c r="F293" s="6"/>
      <c r="G293" s="6"/>
      <c r="H293" s="7"/>
      <c r="I293" s="8"/>
      <c r="J293" s="8"/>
      <c r="K293" s="8"/>
      <c r="L293" s="8"/>
      <c r="M293" s="8"/>
      <c r="N293" s="5"/>
      <c r="O293" s="5"/>
      <c r="P293" s="5"/>
      <c r="Q293" s="5"/>
      <c r="R293" s="5"/>
      <c r="S293" s="5"/>
      <c r="T293" s="5"/>
      <c r="U293" s="5"/>
    </row>
    <row r="294" spans="1:21" ht="19.5" customHeight="1" x14ac:dyDescent="0.3">
      <c r="A294" s="5"/>
      <c r="B294" s="5"/>
      <c r="C294" s="5"/>
      <c r="D294" s="5"/>
      <c r="E294" s="6"/>
      <c r="F294" s="6"/>
      <c r="G294" s="6"/>
      <c r="H294" s="7"/>
      <c r="I294" s="8"/>
      <c r="J294" s="8"/>
      <c r="K294" s="8"/>
      <c r="L294" s="8"/>
      <c r="M294" s="8"/>
      <c r="N294" s="5"/>
      <c r="O294" s="5"/>
      <c r="P294" s="5"/>
      <c r="Q294" s="5"/>
      <c r="R294" s="5"/>
      <c r="S294" s="5"/>
      <c r="T294" s="5"/>
      <c r="U294" s="5"/>
    </row>
    <row r="295" spans="1:21" ht="19.5" customHeight="1" x14ac:dyDescent="0.3">
      <c r="A295" s="5"/>
      <c r="B295" s="5"/>
      <c r="C295" s="5"/>
      <c r="D295" s="5"/>
      <c r="E295" s="6"/>
      <c r="F295" s="6"/>
      <c r="G295" s="6"/>
      <c r="H295" s="7"/>
      <c r="I295" s="8"/>
      <c r="J295" s="8"/>
      <c r="K295" s="8"/>
      <c r="L295" s="8"/>
      <c r="M295" s="8"/>
      <c r="N295" s="5"/>
      <c r="O295" s="5"/>
      <c r="P295" s="5"/>
      <c r="Q295" s="5"/>
      <c r="R295" s="5"/>
      <c r="S295" s="5"/>
      <c r="T295" s="5"/>
      <c r="U295" s="5"/>
    </row>
    <row r="296" spans="1:21" ht="19.5" customHeight="1" x14ac:dyDescent="0.3">
      <c r="A296" s="5"/>
      <c r="B296" s="5"/>
      <c r="C296" s="5"/>
      <c r="D296" s="5"/>
      <c r="E296" s="6"/>
      <c r="F296" s="6"/>
      <c r="G296" s="6"/>
      <c r="H296" s="7"/>
      <c r="I296" s="8"/>
      <c r="J296" s="8"/>
      <c r="K296" s="8"/>
      <c r="L296" s="8"/>
      <c r="M296" s="8"/>
      <c r="N296" s="5"/>
      <c r="O296" s="5"/>
      <c r="P296" s="5"/>
      <c r="Q296" s="5"/>
      <c r="R296" s="5"/>
      <c r="S296" s="5"/>
      <c r="T296" s="5"/>
      <c r="U296" s="5"/>
    </row>
    <row r="297" spans="1:21" ht="19.5" customHeight="1" x14ac:dyDescent="0.3">
      <c r="A297" s="5"/>
      <c r="B297" s="5"/>
      <c r="C297" s="5"/>
      <c r="D297" s="5"/>
      <c r="E297" s="6"/>
      <c r="F297" s="6"/>
      <c r="G297" s="6"/>
      <c r="H297" s="7"/>
      <c r="I297" s="8"/>
      <c r="J297" s="8"/>
      <c r="K297" s="8"/>
      <c r="L297" s="8"/>
      <c r="M297" s="8"/>
      <c r="N297" s="5"/>
      <c r="O297" s="5"/>
      <c r="P297" s="5"/>
      <c r="Q297" s="5"/>
      <c r="R297" s="5"/>
      <c r="S297" s="5"/>
      <c r="T297" s="5"/>
      <c r="U297" s="5"/>
    </row>
    <row r="298" spans="1:21" ht="19.5" customHeight="1" x14ac:dyDescent="0.3">
      <c r="A298" s="5"/>
      <c r="B298" s="5"/>
      <c r="C298" s="5"/>
      <c r="D298" s="5"/>
      <c r="E298" s="6"/>
      <c r="F298" s="6"/>
      <c r="G298" s="6"/>
      <c r="H298" s="7"/>
      <c r="I298" s="8"/>
      <c r="J298" s="8"/>
      <c r="K298" s="8"/>
      <c r="L298" s="8"/>
      <c r="M298" s="8"/>
      <c r="N298" s="5"/>
      <c r="O298" s="5"/>
      <c r="P298" s="5"/>
      <c r="Q298" s="5"/>
      <c r="R298" s="5"/>
      <c r="S298" s="5"/>
      <c r="T298" s="5"/>
      <c r="U298" s="5"/>
    </row>
    <row r="299" spans="1:21" ht="19.5" customHeight="1" x14ac:dyDescent="0.3">
      <c r="A299" s="5"/>
      <c r="B299" s="5"/>
      <c r="C299" s="5"/>
      <c r="D299" s="5"/>
      <c r="E299" s="6"/>
      <c r="F299" s="6"/>
      <c r="G299" s="6"/>
      <c r="H299" s="7"/>
      <c r="I299" s="8"/>
      <c r="J299" s="8"/>
      <c r="K299" s="8"/>
      <c r="L299" s="8"/>
      <c r="M299" s="8"/>
      <c r="N299" s="5"/>
      <c r="O299" s="5"/>
      <c r="P299" s="5"/>
      <c r="Q299" s="5"/>
      <c r="R299" s="5"/>
      <c r="S299" s="5"/>
      <c r="T299" s="5"/>
      <c r="U299" s="5"/>
    </row>
    <row r="300" spans="1:21" ht="19.5" customHeight="1" x14ac:dyDescent="0.3">
      <c r="A300" s="5"/>
      <c r="B300" s="5"/>
      <c r="C300" s="5"/>
      <c r="D300" s="5"/>
      <c r="E300" s="6"/>
      <c r="F300" s="6"/>
      <c r="G300" s="6"/>
      <c r="H300" s="7"/>
      <c r="I300" s="8"/>
      <c r="J300" s="8"/>
      <c r="K300" s="8"/>
      <c r="L300" s="8"/>
      <c r="M300" s="8"/>
      <c r="N300" s="5"/>
      <c r="O300" s="5"/>
      <c r="P300" s="5"/>
      <c r="Q300" s="5"/>
      <c r="R300" s="5"/>
      <c r="S300" s="5"/>
      <c r="T300" s="5"/>
      <c r="U300" s="5"/>
    </row>
    <row r="301" spans="1:21" ht="19.5" customHeight="1" x14ac:dyDescent="0.3">
      <c r="A301" s="5"/>
      <c r="B301" s="5"/>
      <c r="C301" s="5"/>
      <c r="D301" s="5"/>
      <c r="E301" s="6"/>
      <c r="F301" s="6"/>
      <c r="G301" s="6"/>
      <c r="H301" s="7"/>
      <c r="I301" s="8"/>
      <c r="J301" s="8"/>
      <c r="K301" s="8"/>
      <c r="L301" s="8"/>
      <c r="M301" s="8"/>
      <c r="N301" s="5"/>
      <c r="O301" s="5"/>
      <c r="P301" s="5"/>
      <c r="Q301" s="5"/>
      <c r="R301" s="5"/>
      <c r="S301" s="5"/>
      <c r="T301" s="5"/>
      <c r="U301" s="5"/>
    </row>
    <row r="302" spans="1:21" ht="19.5" customHeight="1" x14ac:dyDescent="0.3">
      <c r="A302" s="5"/>
      <c r="B302" s="5"/>
      <c r="C302" s="5"/>
      <c r="D302" s="5"/>
      <c r="E302" s="6"/>
      <c r="F302" s="6"/>
      <c r="G302" s="6"/>
      <c r="H302" s="7"/>
      <c r="I302" s="8"/>
      <c r="J302" s="8"/>
      <c r="K302" s="8"/>
      <c r="L302" s="8"/>
      <c r="M302" s="8"/>
      <c r="N302" s="5"/>
      <c r="O302" s="5"/>
      <c r="P302" s="5"/>
      <c r="Q302" s="5"/>
      <c r="R302" s="5"/>
      <c r="S302" s="5"/>
      <c r="T302" s="5"/>
      <c r="U302" s="5"/>
    </row>
    <row r="303" spans="1:21" ht="19.5" customHeight="1" x14ac:dyDescent="0.3">
      <c r="A303" s="5"/>
      <c r="B303" s="5"/>
      <c r="C303" s="5"/>
      <c r="D303" s="5"/>
      <c r="E303" s="6"/>
      <c r="F303" s="6"/>
      <c r="G303" s="6"/>
      <c r="H303" s="7"/>
      <c r="I303" s="8"/>
      <c r="J303" s="8"/>
      <c r="K303" s="8"/>
      <c r="L303" s="8"/>
      <c r="M303" s="8"/>
      <c r="N303" s="5"/>
      <c r="O303" s="5"/>
      <c r="P303" s="5"/>
      <c r="Q303" s="5"/>
      <c r="R303" s="5"/>
      <c r="S303" s="5"/>
      <c r="T303" s="5"/>
      <c r="U303" s="5"/>
    </row>
    <row r="304" spans="1:21" ht="19.5" customHeight="1" x14ac:dyDescent="0.3">
      <c r="A304" s="5"/>
      <c r="B304" s="5"/>
      <c r="C304" s="5"/>
      <c r="D304" s="5"/>
      <c r="E304" s="6"/>
      <c r="F304" s="6"/>
      <c r="G304" s="6"/>
      <c r="H304" s="7"/>
      <c r="I304" s="8"/>
      <c r="J304" s="8"/>
      <c r="K304" s="8"/>
      <c r="L304" s="8"/>
      <c r="M304" s="8"/>
      <c r="N304" s="5"/>
      <c r="O304" s="5"/>
      <c r="P304" s="5"/>
      <c r="Q304" s="5"/>
      <c r="R304" s="5"/>
      <c r="S304" s="5"/>
      <c r="T304" s="5"/>
      <c r="U304" s="5"/>
    </row>
    <row r="305" spans="1:21" ht="19.5" customHeight="1" x14ac:dyDescent="0.3">
      <c r="A305" s="5"/>
      <c r="B305" s="5"/>
      <c r="C305" s="5"/>
      <c r="D305" s="5"/>
      <c r="E305" s="6"/>
      <c r="F305" s="6"/>
      <c r="G305" s="6"/>
      <c r="H305" s="7"/>
      <c r="I305" s="8"/>
      <c r="J305" s="8"/>
      <c r="K305" s="8"/>
      <c r="L305" s="8"/>
      <c r="M305" s="8"/>
      <c r="N305" s="5"/>
      <c r="O305" s="5"/>
      <c r="P305" s="5"/>
      <c r="Q305" s="5"/>
      <c r="R305" s="5"/>
      <c r="S305" s="5"/>
      <c r="T305" s="5"/>
      <c r="U305" s="5"/>
    </row>
    <row r="306" spans="1:21" ht="19.5" customHeight="1" x14ac:dyDescent="0.3">
      <c r="A306" s="5"/>
      <c r="B306" s="5"/>
      <c r="C306" s="5"/>
      <c r="D306" s="5"/>
      <c r="E306" s="6"/>
      <c r="F306" s="6"/>
      <c r="G306" s="6"/>
      <c r="H306" s="7"/>
      <c r="I306" s="8"/>
      <c r="J306" s="8"/>
      <c r="K306" s="8"/>
      <c r="L306" s="8"/>
      <c r="M306" s="8"/>
      <c r="N306" s="5"/>
      <c r="O306" s="5"/>
      <c r="P306" s="5"/>
      <c r="Q306" s="5"/>
      <c r="R306" s="5"/>
      <c r="S306" s="5"/>
      <c r="T306" s="5"/>
      <c r="U306" s="5"/>
    </row>
    <row r="307" spans="1:21" ht="19.5" customHeight="1" x14ac:dyDescent="0.3">
      <c r="A307" s="5"/>
      <c r="B307" s="5"/>
      <c r="C307" s="5"/>
      <c r="D307" s="5"/>
      <c r="E307" s="6"/>
      <c r="F307" s="6"/>
      <c r="G307" s="6"/>
      <c r="H307" s="7"/>
      <c r="I307" s="8"/>
      <c r="J307" s="8"/>
      <c r="K307" s="8"/>
      <c r="L307" s="8"/>
      <c r="M307" s="8"/>
      <c r="N307" s="5"/>
      <c r="O307" s="5"/>
      <c r="P307" s="5"/>
      <c r="Q307" s="5"/>
      <c r="R307" s="5"/>
      <c r="S307" s="5"/>
      <c r="T307" s="5"/>
      <c r="U307" s="5"/>
    </row>
    <row r="308" spans="1:21" ht="19.5" customHeight="1" x14ac:dyDescent="0.3">
      <c r="A308" s="5"/>
      <c r="B308" s="5"/>
      <c r="C308" s="5"/>
      <c r="D308" s="5"/>
      <c r="E308" s="6"/>
      <c r="F308" s="6"/>
      <c r="G308" s="6"/>
      <c r="H308" s="7"/>
      <c r="I308" s="8"/>
      <c r="J308" s="8"/>
      <c r="K308" s="8"/>
      <c r="L308" s="8"/>
      <c r="M308" s="8"/>
      <c r="N308" s="5"/>
      <c r="O308" s="5"/>
      <c r="P308" s="5"/>
      <c r="Q308" s="5"/>
      <c r="R308" s="5"/>
      <c r="S308" s="5"/>
      <c r="T308" s="5"/>
      <c r="U308" s="5"/>
    </row>
    <row r="309" spans="1:21" ht="19.5" customHeight="1" x14ac:dyDescent="0.3">
      <c r="A309" s="5"/>
      <c r="B309" s="5"/>
      <c r="C309" s="5"/>
      <c r="D309" s="5"/>
      <c r="E309" s="6"/>
      <c r="F309" s="6"/>
      <c r="G309" s="6"/>
      <c r="H309" s="7"/>
      <c r="I309" s="8"/>
      <c r="J309" s="8"/>
      <c r="K309" s="8"/>
      <c r="L309" s="8"/>
      <c r="M309" s="8"/>
      <c r="N309" s="5"/>
      <c r="O309" s="5"/>
      <c r="P309" s="5"/>
      <c r="Q309" s="5"/>
      <c r="R309" s="5"/>
      <c r="S309" s="5"/>
      <c r="T309" s="5"/>
      <c r="U309" s="5"/>
    </row>
    <row r="310" spans="1:21" ht="19.5" customHeight="1" x14ac:dyDescent="0.3">
      <c r="A310" s="5"/>
      <c r="B310" s="5"/>
      <c r="C310" s="5"/>
      <c r="D310" s="5"/>
      <c r="E310" s="6"/>
      <c r="F310" s="6"/>
      <c r="G310" s="6"/>
      <c r="H310" s="7"/>
      <c r="I310" s="8"/>
      <c r="J310" s="8"/>
      <c r="K310" s="8"/>
      <c r="L310" s="8"/>
      <c r="M310" s="8"/>
      <c r="N310" s="5"/>
      <c r="O310" s="5"/>
      <c r="P310" s="5"/>
      <c r="Q310" s="5"/>
      <c r="R310" s="5"/>
      <c r="S310" s="5"/>
      <c r="T310" s="5"/>
      <c r="U310" s="5"/>
    </row>
    <row r="311" spans="1:21" ht="19.5" customHeight="1" x14ac:dyDescent="0.3">
      <c r="A311" s="5"/>
      <c r="B311" s="5"/>
      <c r="C311" s="5"/>
      <c r="D311" s="5"/>
      <c r="E311" s="6"/>
      <c r="F311" s="6"/>
      <c r="G311" s="6"/>
      <c r="H311" s="7"/>
      <c r="I311" s="8"/>
      <c r="J311" s="8"/>
      <c r="K311" s="8"/>
      <c r="L311" s="8"/>
      <c r="M311" s="8"/>
      <c r="N311" s="5"/>
      <c r="O311" s="5"/>
      <c r="P311" s="5"/>
      <c r="Q311" s="5"/>
      <c r="R311" s="5"/>
      <c r="S311" s="5"/>
      <c r="T311" s="5"/>
      <c r="U311" s="5"/>
    </row>
    <row r="312" spans="1:21" ht="19.5" customHeight="1" x14ac:dyDescent="0.3">
      <c r="A312" s="5"/>
      <c r="B312" s="5"/>
      <c r="C312" s="5"/>
      <c r="D312" s="5"/>
      <c r="E312" s="6"/>
      <c r="F312" s="6"/>
      <c r="G312" s="6"/>
      <c r="H312" s="7"/>
      <c r="I312" s="8"/>
      <c r="J312" s="8"/>
      <c r="K312" s="8"/>
      <c r="L312" s="8"/>
      <c r="M312" s="8"/>
      <c r="N312" s="5"/>
      <c r="O312" s="5"/>
      <c r="P312" s="5"/>
      <c r="Q312" s="5"/>
      <c r="R312" s="5"/>
      <c r="S312" s="5"/>
      <c r="T312" s="5"/>
      <c r="U312" s="5"/>
    </row>
    <row r="313" spans="1:21" ht="19.5" customHeight="1" x14ac:dyDescent="0.3">
      <c r="A313" s="5"/>
      <c r="B313" s="5"/>
      <c r="C313" s="5"/>
      <c r="D313" s="5"/>
      <c r="E313" s="6"/>
      <c r="F313" s="6"/>
      <c r="G313" s="6"/>
      <c r="H313" s="7"/>
      <c r="I313" s="8"/>
      <c r="J313" s="8"/>
      <c r="K313" s="8"/>
      <c r="L313" s="8"/>
      <c r="M313" s="8"/>
      <c r="N313" s="5"/>
      <c r="O313" s="5"/>
      <c r="P313" s="5"/>
      <c r="Q313" s="5"/>
      <c r="R313" s="5"/>
      <c r="S313" s="5"/>
      <c r="T313" s="5"/>
      <c r="U313" s="5"/>
    </row>
    <row r="314" spans="1:21" ht="19.5" customHeight="1" x14ac:dyDescent="0.3">
      <c r="A314" s="5"/>
      <c r="B314" s="5"/>
      <c r="C314" s="5"/>
      <c r="D314" s="5"/>
      <c r="E314" s="6"/>
      <c r="F314" s="6"/>
      <c r="G314" s="6"/>
      <c r="H314" s="7"/>
      <c r="I314" s="8"/>
      <c r="J314" s="8"/>
      <c r="K314" s="8"/>
      <c r="L314" s="8"/>
      <c r="M314" s="8"/>
      <c r="N314" s="5"/>
      <c r="O314" s="5"/>
      <c r="P314" s="5"/>
      <c r="Q314" s="5"/>
      <c r="R314" s="5"/>
      <c r="S314" s="5"/>
      <c r="T314" s="5"/>
      <c r="U314" s="5"/>
    </row>
    <row r="315" spans="1:21" ht="19.5" customHeight="1" x14ac:dyDescent="0.3">
      <c r="A315" s="5"/>
      <c r="B315" s="5"/>
      <c r="C315" s="5"/>
      <c r="D315" s="5"/>
      <c r="E315" s="6"/>
      <c r="F315" s="6"/>
      <c r="G315" s="6"/>
      <c r="H315" s="7"/>
      <c r="I315" s="8"/>
      <c r="J315" s="8"/>
      <c r="K315" s="8"/>
      <c r="L315" s="8"/>
      <c r="M315" s="8"/>
      <c r="N315" s="5"/>
      <c r="O315" s="5"/>
      <c r="P315" s="5"/>
      <c r="Q315" s="5"/>
      <c r="R315" s="5"/>
      <c r="S315" s="5"/>
      <c r="T315" s="5"/>
      <c r="U315" s="5"/>
    </row>
    <row r="316" spans="1:21" ht="19.5" customHeight="1" x14ac:dyDescent="0.3">
      <c r="A316" s="5"/>
      <c r="B316" s="5"/>
      <c r="C316" s="5"/>
      <c r="D316" s="5"/>
      <c r="E316" s="6"/>
      <c r="F316" s="6"/>
      <c r="G316" s="6"/>
      <c r="H316" s="7"/>
      <c r="I316" s="8"/>
      <c r="J316" s="8"/>
      <c r="K316" s="8"/>
      <c r="L316" s="8"/>
      <c r="M316" s="8"/>
      <c r="N316" s="5"/>
      <c r="O316" s="5"/>
      <c r="P316" s="5"/>
      <c r="Q316" s="5"/>
      <c r="R316" s="5"/>
      <c r="S316" s="5"/>
      <c r="T316" s="5"/>
      <c r="U316" s="5"/>
    </row>
    <row r="317" spans="1:21" ht="19.5" customHeight="1" x14ac:dyDescent="0.3">
      <c r="A317" s="5"/>
      <c r="B317" s="5"/>
      <c r="C317" s="5"/>
      <c r="D317" s="5"/>
      <c r="E317" s="6"/>
      <c r="F317" s="6"/>
      <c r="G317" s="6"/>
      <c r="H317" s="7"/>
      <c r="I317" s="8"/>
      <c r="J317" s="8"/>
      <c r="K317" s="8"/>
      <c r="L317" s="8"/>
      <c r="M317" s="8"/>
      <c r="N317" s="5"/>
      <c r="O317" s="5"/>
      <c r="P317" s="5"/>
      <c r="Q317" s="5"/>
      <c r="R317" s="5"/>
      <c r="S317" s="5"/>
      <c r="T317" s="5"/>
      <c r="U317" s="5"/>
    </row>
    <row r="318" spans="1:21" ht="19.5" customHeight="1" x14ac:dyDescent="0.3">
      <c r="A318" s="5"/>
      <c r="B318" s="5"/>
      <c r="C318" s="5"/>
      <c r="D318" s="5"/>
      <c r="E318" s="6"/>
      <c r="F318" s="6"/>
      <c r="G318" s="6"/>
      <c r="H318" s="7"/>
      <c r="I318" s="8"/>
      <c r="J318" s="8"/>
      <c r="K318" s="8"/>
      <c r="L318" s="8"/>
      <c r="M318" s="8"/>
      <c r="N318" s="5"/>
      <c r="O318" s="5"/>
      <c r="P318" s="5"/>
      <c r="Q318" s="5"/>
      <c r="R318" s="5"/>
      <c r="S318" s="5"/>
      <c r="T318" s="5"/>
      <c r="U318" s="5"/>
    </row>
    <row r="319" spans="1:21" ht="19.5" customHeight="1" x14ac:dyDescent="0.3">
      <c r="A319" s="5"/>
      <c r="B319" s="5"/>
      <c r="C319" s="5"/>
      <c r="D319" s="5"/>
      <c r="E319" s="6"/>
      <c r="F319" s="6"/>
      <c r="G319" s="6"/>
      <c r="H319" s="7"/>
      <c r="I319" s="8"/>
      <c r="J319" s="8"/>
      <c r="K319" s="8"/>
      <c r="L319" s="8"/>
      <c r="M319" s="8"/>
      <c r="N319" s="5"/>
      <c r="O319" s="5"/>
      <c r="P319" s="5"/>
      <c r="Q319" s="5"/>
      <c r="R319" s="5"/>
      <c r="S319" s="5"/>
      <c r="T319" s="5"/>
      <c r="U319" s="5"/>
    </row>
    <row r="320" spans="1:21" ht="19.5" customHeight="1" x14ac:dyDescent="0.3">
      <c r="A320" s="5"/>
      <c r="B320" s="5"/>
      <c r="C320" s="5"/>
      <c r="D320" s="5"/>
      <c r="E320" s="6"/>
      <c r="F320" s="6"/>
      <c r="G320" s="6"/>
      <c r="H320" s="7"/>
      <c r="I320" s="8"/>
      <c r="J320" s="8"/>
      <c r="K320" s="8"/>
      <c r="L320" s="8"/>
      <c r="M320" s="8"/>
      <c r="N320" s="5"/>
      <c r="O320" s="5"/>
      <c r="P320" s="5"/>
      <c r="Q320" s="5"/>
      <c r="R320" s="5"/>
      <c r="S320" s="5"/>
      <c r="T320" s="5"/>
      <c r="U320" s="5"/>
    </row>
    <row r="321" spans="1:21" ht="19.5" customHeight="1" x14ac:dyDescent="0.3">
      <c r="A321" s="5"/>
      <c r="B321" s="5"/>
      <c r="C321" s="5"/>
      <c r="D321" s="5"/>
      <c r="E321" s="6"/>
      <c r="F321" s="6"/>
      <c r="G321" s="6"/>
      <c r="H321" s="7"/>
      <c r="I321" s="8"/>
      <c r="J321" s="8"/>
      <c r="K321" s="8"/>
      <c r="L321" s="8"/>
      <c r="M321" s="8"/>
      <c r="N321" s="5"/>
      <c r="O321" s="5"/>
      <c r="P321" s="5"/>
      <c r="Q321" s="5"/>
      <c r="R321" s="5"/>
      <c r="S321" s="5"/>
      <c r="T321" s="5"/>
      <c r="U321" s="5"/>
    </row>
    <row r="322" spans="1:21" ht="19.5" customHeight="1" x14ac:dyDescent="0.3">
      <c r="A322" s="5"/>
      <c r="B322" s="5"/>
      <c r="C322" s="5"/>
      <c r="D322" s="5"/>
      <c r="E322" s="6"/>
      <c r="F322" s="6"/>
      <c r="G322" s="6"/>
      <c r="H322" s="7"/>
      <c r="I322" s="8"/>
      <c r="J322" s="8"/>
      <c r="K322" s="8"/>
      <c r="L322" s="8"/>
      <c r="M322" s="8"/>
      <c r="N322" s="5"/>
      <c r="O322" s="5"/>
      <c r="P322" s="5"/>
      <c r="Q322" s="5"/>
      <c r="R322" s="5"/>
      <c r="S322" s="5"/>
      <c r="T322" s="5"/>
      <c r="U322" s="5"/>
    </row>
    <row r="323" spans="1:21" ht="19.5" customHeight="1" x14ac:dyDescent="0.3">
      <c r="A323" s="5"/>
      <c r="B323" s="5"/>
      <c r="C323" s="5"/>
      <c r="D323" s="5"/>
      <c r="E323" s="6"/>
      <c r="F323" s="6"/>
      <c r="G323" s="6"/>
      <c r="H323" s="7"/>
      <c r="I323" s="8"/>
      <c r="J323" s="8"/>
      <c r="K323" s="8"/>
      <c r="L323" s="8"/>
      <c r="M323" s="8"/>
      <c r="N323" s="5"/>
      <c r="O323" s="5"/>
      <c r="P323" s="5"/>
      <c r="Q323" s="5"/>
      <c r="R323" s="5"/>
      <c r="S323" s="5"/>
      <c r="T323" s="5"/>
      <c r="U323" s="5"/>
    </row>
    <row r="324" spans="1:21" ht="19.5" customHeight="1" x14ac:dyDescent="0.3">
      <c r="A324" s="5"/>
      <c r="B324" s="5"/>
      <c r="C324" s="5"/>
      <c r="D324" s="5"/>
      <c r="E324" s="6"/>
      <c r="F324" s="6"/>
      <c r="G324" s="6"/>
      <c r="H324" s="7"/>
      <c r="I324" s="8"/>
      <c r="J324" s="8"/>
      <c r="K324" s="8"/>
      <c r="L324" s="8"/>
      <c r="M324" s="8"/>
      <c r="N324" s="5"/>
      <c r="O324" s="5"/>
      <c r="P324" s="5"/>
      <c r="Q324" s="5"/>
      <c r="R324" s="5"/>
      <c r="S324" s="5"/>
      <c r="T324" s="5"/>
      <c r="U324" s="5"/>
    </row>
    <row r="325" spans="1:21" ht="19.5" customHeight="1" x14ac:dyDescent="0.3">
      <c r="A325" s="5"/>
      <c r="B325" s="5"/>
      <c r="C325" s="5"/>
      <c r="D325" s="5"/>
      <c r="E325" s="6"/>
      <c r="F325" s="6"/>
      <c r="G325" s="6"/>
      <c r="H325" s="7"/>
      <c r="I325" s="8"/>
      <c r="J325" s="8"/>
      <c r="K325" s="8"/>
      <c r="L325" s="8"/>
      <c r="M325" s="8"/>
      <c r="N325" s="5"/>
      <c r="O325" s="5"/>
      <c r="P325" s="5"/>
      <c r="Q325" s="5"/>
      <c r="R325" s="5"/>
      <c r="S325" s="5"/>
      <c r="T325" s="5"/>
      <c r="U325" s="5"/>
    </row>
    <row r="326" spans="1:21" ht="19.5" customHeight="1" x14ac:dyDescent="0.3">
      <c r="A326" s="5"/>
      <c r="B326" s="5"/>
      <c r="C326" s="5"/>
      <c r="D326" s="5"/>
      <c r="E326" s="6"/>
      <c r="F326" s="6"/>
      <c r="G326" s="6"/>
      <c r="H326" s="7"/>
      <c r="I326" s="8"/>
      <c r="J326" s="8"/>
      <c r="K326" s="8"/>
      <c r="L326" s="8"/>
      <c r="M326" s="8"/>
      <c r="N326" s="5"/>
      <c r="O326" s="5"/>
      <c r="P326" s="5"/>
      <c r="Q326" s="5"/>
      <c r="R326" s="5"/>
      <c r="S326" s="5"/>
      <c r="T326" s="5"/>
      <c r="U326" s="5"/>
    </row>
    <row r="327" spans="1:21" ht="19.5" customHeight="1" x14ac:dyDescent="0.3">
      <c r="A327" s="5"/>
      <c r="B327" s="5"/>
      <c r="C327" s="5"/>
      <c r="D327" s="5"/>
      <c r="E327" s="6"/>
      <c r="F327" s="6"/>
      <c r="G327" s="6"/>
      <c r="H327" s="7"/>
      <c r="I327" s="8"/>
      <c r="J327" s="8"/>
      <c r="K327" s="8"/>
      <c r="L327" s="8"/>
      <c r="M327" s="8"/>
      <c r="N327" s="5"/>
      <c r="O327" s="5"/>
      <c r="P327" s="5"/>
      <c r="Q327" s="5"/>
      <c r="R327" s="5"/>
      <c r="S327" s="5"/>
      <c r="T327" s="5"/>
      <c r="U327" s="5"/>
    </row>
    <row r="328" spans="1:21" ht="19.5" customHeight="1" x14ac:dyDescent="0.3">
      <c r="A328" s="5"/>
      <c r="B328" s="5"/>
      <c r="C328" s="5"/>
      <c r="D328" s="5"/>
      <c r="E328" s="6"/>
      <c r="F328" s="6"/>
      <c r="G328" s="6"/>
      <c r="H328" s="7"/>
      <c r="I328" s="8"/>
      <c r="J328" s="8"/>
      <c r="K328" s="8"/>
      <c r="L328" s="8"/>
      <c r="M328" s="8"/>
      <c r="N328" s="5"/>
      <c r="O328" s="5"/>
      <c r="P328" s="5"/>
      <c r="Q328" s="5"/>
      <c r="R328" s="5"/>
      <c r="S328" s="5"/>
      <c r="T328" s="5"/>
      <c r="U328" s="5"/>
    </row>
    <row r="329" spans="1:21" ht="19.5" customHeight="1" x14ac:dyDescent="0.3">
      <c r="A329" s="5"/>
      <c r="B329" s="5"/>
      <c r="C329" s="5"/>
      <c r="D329" s="5"/>
      <c r="E329" s="6"/>
      <c r="F329" s="6"/>
      <c r="G329" s="6"/>
      <c r="H329" s="7"/>
      <c r="I329" s="8"/>
      <c r="J329" s="8"/>
      <c r="K329" s="8"/>
      <c r="L329" s="8"/>
      <c r="M329" s="8"/>
      <c r="N329" s="5"/>
      <c r="O329" s="5"/>
      <c r="P329" s="5"/>
      <c r="Q329" s="5"/>
      <c r="R329" s="5"/>
      <c r="S329" s="5"/>
      <c r="T329" s="5"/>
      <c r="U329" s="5"/>
    </row>
    <row r="330" spans="1:21" ht="19.5" customHeight="1" x14ac:dyDescent="0.3">
      <c r="A330" s="5"/>
      <c r="B330" s="5"/>
      <c r="C330" s="5"/>
      <c r="D330" s="5"/>
      <c r="E330" s="6"/>
      <c r="F330" s="6"/>
      <c r="G330" s="6"/>
      <c r="H330" s="7"/>
      <c r="I330" s="8"/>
      <c r="J330" s="8"/>
      <c r="K330" s="8"/>
      <c r="L330" s="8"/>
      <c r="M330" s="8"/>
      <c r="N330" s="5"/>
      <c r="O330" s="5"/>
      <c r="P330" s="5"/>
      <c r="Q330" s="5"/>
      <c r="R330" s="5"/>
      <c r="S330" s="5"/>
      <c r="T330" s="5"/>
      <c r="U330" s="5"/>
    </row>
    <row r="331" spans="1:21" ht="19.5" customHeight="1" x14ac:dyDescent="0.3">
      <c r="A331" s="5"/>
      <c r="B331" s="5"/>
      <c r="C331" s="5"/>
      <c r="D331" s="5"/>
      <c r="E331" s="6"/>
      <c r="F331" s="6"/>
      <c r="G331" s="6"/>
      <c r="H331" s="7"/>
      <c r="I331" s="8"/>
      <c r="J331" s="8"/>
      <c r="K331" s="8"/>
      <c r="L331" s="8"/>
      <c r="M331" s="8"/>
      <c r="N331" s="5"/>
      <c r="O331" s="5"/>
      <c r="P331" s="5"/>
      <c r="Q331" s="5"/>
      <c r="R331" s="5"/>
      <c r="S331" s="5"/>
      <c r="T331" s="5"/>
      <c r="U331" s="5"/>
    </row>
    <row r="332" spans="1:21" ht="19.5" customHeight="1" x14ac:dyDescent="0.3">
      <c r="A332" s="5"/>
      <c r="B332" s="5"/>
      <c r="C332" s="5"/>
      <c r="D332" s="5"/>
      <c r="E332" s="6"/>
      <c r="F332" s="6"/>
      <c r="G332" s="6"/>
      <c r="H332" s="7"/>
      <c r="I332" s="8"/>
      <c r="J332" s="8"/>
      <c r="K332" s="8"/>
      <c r="L332" s="8"/>
      <c r="M332" s="8"/>
      <c r="N332" s="5"/>
      <c r="O332" s="5"/>
      <c r="P332" s="5"/>
      <c r="Q332" s="5"/>
      <c r="R332" s="5"/>
      <c r="S332" s="5"/>
      <c r="T332" s="5"/>
      <c r="U332" s="5"/>
    </row>
    <row r="333" spans="1:21" ht="19.5" customHeight="1" x14ac:dyDescent="0.3">
      <c r="A333" s="5"/>
      <c r="B333" s="5"/>
      <c r="C333" s="5"/>
      <c r="D333" s="5"/>
      <c r="E333" s="6"/>
      <c r="F333" s="6"/>
      <c r="G333" s="6"/>
      <c r="H333" s="7"/>
      <c r="I333" s="8"/>
      <c r="J333" s="8"/>
      <c r="K333" s="8"/>
      <c r="L333" s="8"/>
      <c r="M333" s="8"/>
      <c r="N333" s="5"/>
      <c r="O333" s="5"/>
      <c r="P333" s="5"/>
      <c r="Q333" s="5"/>
      <c r="R333" s="5"/>
      <c r="S333" s="5"/>
      <c r="T333" s="5"/>
      <c r="U333" s="5"/>
    </row>
    <row r="334" spans="1:21" ht="19.5" customHeight="1" x14ac:dyDescent="0.3">
      <c r="A334" s="5"/>
      <c r="B334" s="5"/>
      <c r="C334" s="5"/>
      <c r="D334" s="5"/>
      <c r="E334" s="6"/>
      <c r="F334" s="6"/>
      <c r="G334" s="6"/>
      <c r="H334" s="7"/>
      <c r="I334" s="8"/>
      <c r="J334" s="8"/>
      <c r="K334" s="8"/>
      <c r="L334" s="8"/>
      <c r="M334" s="8"/>
      <c r="N334" s="5"/>
      <c r="O334" s="5"/>
      <c r="P334" s="5"/>
      <c r="Q334" s="5"/>
      <c r="R334" s="5"/>
      <c r="S334" s="5"/>
      <c r="T334" s="5"/>
      <c r="U334" s="5"/>
    </row>
    <row r="335" spans="1:21" ht="19.5" customHeight="1" x14ac:dyDescent="0.3">
      <c r="A335" s="5"/>
      <c r="B335" s="5"/>
      <c r="C335" s="5"/>
      <c r="D335" s="5"/>
      <c r="E335" s="6"/>
      <c r="F335" s="6"/>
      <c r="G335" s="6"/>
      <c r="H335" s="7"/>
      <c r="I335" s="8"/>
      <c r="J335" s="8"/>
      <c r="K335" s="8"/>
      <c r="L335" s="8"/>
      <c r="M335" s="8"/>
      <c r="N335" s="5"/>
      <c r="O335" s="5"/>
      <c r="P335" s="5"/>
      <c r="Q335" s="5"/>
      <c r="R335" s="5"/>
      <c r="S335" s="5"/>
      <c r="T335" s="5"/>
      <c r="U335" s="5"/>
    </row>
    <row r="336" spans="1:21" ht="19.5" customHeight="1" x14ac:dyDescent="0.3">
      <c r="A336" s="5"/>
      <c r="B336" s="5"/>
      <c r="C336" s="5"/>
      <c r="D336" s="5"/>
      <c r="E336" s="6"/>
      <c r="F336" s="6"/>
      <c r="G336" s="6"/>
      <c r="H336" s="7"/>
      <c r="I336" s="8"/>
      <c r="J336" s="8"/>
      <c r="K336" s="8"/>
      <c r="L336" s="8"/>
      <c r="M336" s="8"/>
      <c r="N336" s="5"/>
      <c r="O336" s="5"/>
      <c r="P336" s="5"/>
      <c r="Q336" s="5"/>
      <c r="R336" s="5"/>
      <c r="S336" s="5"/>
      <c r="T336" s="5"/>
      <c r="U336" s="5"/>
    </row>
    <row r="337" spans="1:21" ht="19.5" customHeight="1" x14ac:dyDescent="0.3">
      <c r="A337" s="5"/>
      <c r="B337" s="5"/>
      <c r="C337" s="5"/>
      <c r="D337" s="5"/>
      <c r="E337" s="6"/>
      <c r="F337" s="6"/>
      <c r="G337" s="6"/>
      <c r="H337" s="7"/>
      <c r="I337" s="8"/>
      <c r="J337" s="8"/>
      <c r="K337" s="8"/>
      <c r="L337" s="8"/>
      <c r="M337" s="8"/>
      <c r="N337" s="5"/>
      <c r="O337" s="5"/>
      <c r="P337" s="5"/>
      <c r="Q337" s="5"/>
      <c r="R337" s="5"/>
      <c r="S337" s="5"/>
      <c r="T337" s="5"/>
      <c r="U337" s="5"/>
    </row>
    <row r="338" spans="1:21" ht="19.5" customHeight="1" x14ac:dyDescent="0.3">
      <c r="A338" s="5"/>
      <c r="B338" s="5"/>
      <c r="C338" s="5"/>
      <c r="D338" s="5"/>
      <c r="E338" s="6"/>
      <c r="F338" s="6"/>
      <c r="G338" s="6"/>
      <c r="H338" s="7"/>
      <c r="I338" s="8"/>
      <c r="J338" s="8"/>
      <c r="K338" s="8"/>
      <c r="L338" s="8"/>
      <c r="M338" s="8"/>
      <c r="N338" s="5"/>
      <c r="O338" s="5"/>
      <c r="P338" s="5"/>
      <c r="Q338" s="5"/>
      <c r="R338" s="5"/>
      <c r="S338" s="5"/>
      <c r="T338" s="5"/>
      <c r="U338" s="5"/>
    </row>
    <row r="339" spans="1:21" ht="19.5" customHeight="1" x14ac:dyDescent="0.3">
      <c r="A339" s="5"/>
      <c r="B339" s="5"/>
      <c r="C339" s="5"/>
      <c r="D339" s="5"/>
      <c r="E339" s="6"/>
      <c r="F339" s="6"/>
      <c r="G339" s="6"/>
      <c r="H339" s="7"/>
      <c r="I339" s="8"/>
      <c r="J339" s="8"/>
      <c r="K339" s="8"/>
      <c r="L339" s="8"/>
      <c r="M339" s="8"/>
      <c r="N339" s="5"/>
      <c r="O339" s="5"/>
      <c r="P339" s="5"/>
      <c r="Q339" s="5"/>
      <c r="R339" s="5"/>
      <c r="S339" s="5"/>
      <c r="T339" s="5"/>
      <c r="U339" s="5"/>
    </row>
    <row r="340" spans="1:21" ht="19.5" customHeight="1" x14ac:dyDescent="0.3">
      <c r="A340" s="5"/>
      <c r="B340" s="5"/>
      <c r="C340" s="5"/>
      <c r="D340" s="5"/>
      <c r="E340" s="6"/>
      <c r="F340" s="6"/>
      <c r="G340" s="6"/>
      <c r="H340" s="7"/>
      <c r="I340" s="8"/>
      <c r="J340" s="8"/>
      <c r="K340" s="8"/>
      <c r="L340" s="8"/>
      <c r="M340" s="8"/>
      <c r="N340" s="5"/>
      <c r="O340" s="5"/>
      <c r="P340" s="5"/>
      <c r="Q340" s="5"/>
      <c r="R340" s="5"/>
      <c r="S340" s="5"/>
      <c r="T340" s="5"/>
      <c r="U340" s="5"/>
    </row>
    <row r="341" spans="1:21" ht="19.5" customHeight="1" x14ac:dyDescent="0.3">
      <c r="A341" s="5"/>
      <c r="B341" s="5"/>
      <c r="C341" s="5"/>
      <c r="D341" s="5"/>
      <c r="E341" s="6"/>
      <c r="F341" s="6"/>
      <c r="G341" s="6"/>
      <c r="H341" s="7"/>
      <c r="I341" s="8"/>
      <c r="J341" s="8"/>
      <c r="K341" s="8"/>
      <c r="L341" s="8"/>
      <c r="M341" s="8"/>
      <c r="N341" s="5"/>
      <c r="O341" s="5"/>
      <c r="P341" s="5"/>
      <c r="Q341" s="5"/>
      <c r="R341" s="5"/>
      <c r="S341" s="5"/>
      <c r="T341" s="5"/>
      <c r="U341" s="5"/>
    </row>
    <row r="342" spans="1:21" ht="19.5" customHeight="1" x14ac:dyDescent="0.3">
      <c r="A342" s="5"/>
      <c r="B342" s="5"/>
      <c r="C342" s="5"/>
      <c r="D342" s="5"/>
      <c r="E342" s="6"/>
      <c r="F342" s="6"/>
      <c r="G342" s="6"/>
      <c r="H342" s="7"/>
      <c r="I342" s="8"/>
      <c r="J342" s="8"/>
      <c r="K342" s="8"/>
      <c r="L342" s="8"/>
      <c r="M342" s="8"/>
      <c r="N342" s="5"/>
      <c r="O342" s="5"/>
      <c r="P342" s="5"/>
      <c r="Q342" s="5"/>
      <c r="R342" s="5"/>
      <c r="S342" s="5"/>
      <c r="T342" s="5"/>
      <c r="U342" s="5"/>
    </row>
    <row r="343" spans="1:21" ht="19.5" customHeight="1" x14ac:dyDescent="0.3">
      <c r="A343" s="5"/>
      <c r="B343" s="5"/>
      <c r="C343" s="5"/>
      <c r="D343" s="5"/>
      <c r="E343" s="6"/>
      <c r="F343" s="6"/>
      <c r="G343" s="6"/>
      <c r="H343" s="7"/>
      <c r="I343" s="8"/>
      <c r="J343" s="8"/>
      <c r="K343" s="8"/>
      <c r="L343" s="8"/>
      <c r="M343" s="8"/>
      <c r="N343" s="5"/>
      <c r="O343" s="5"/>
      <c r="P343" s="5"/>
      <c r="Q343" s="5"/>
      <c r="R343" s="5"/>
      <c r="S343" s="5"/>
      <c r="T343" s="5"/>
      <c r="U343" s="5"/>
    </row>
    <row r="344" spans="1:21" ht="19.5" customHeight="1" x14ac:dyDescent="0.3">
      <c r="A344" s="5"/>
      <c r="B344" s="5"/>
      <c r="C344" s="5"/>
      <c r="D344" s="5"/>
      <c r="E344" s="6"/>
      <c r="F344" s="6"/>
      <c r="G344" s="6"/>
      <c r="H344" s="7"/>
      <c r="I344" s="8"/>
      <c r="J344" s="8"/>
      <c r="K344" s="8"/>
      <c r="L344" s="8"/>
      <c r="M344" s="8"/>
      <c r="N344" s="5"/>
      <c r="O344" s="5"/>
      <c r="P344" s="5"/>
      <c r="Q344" s="5"/>
      <c r="R344" s="5"/>
      <c r="S344" s="5"/>
      <c r="T344" s="5"/>
      <c r="U344" s="5"/>
    </row>
    <row r="345" spans="1:21" ht="19.5" customHeight="1" x14ac:dyDescent="0.3">
      <c r="A345" s="5"/>
      <c r="B345" s="5"/>
      <c r="C345" s="5"/>
      <c r="D345" s="5"/>
      <c r="E345" s="6"/>
      <c r="F345" s="6"/>
      <c r="G345" s="6"/>
      <c r="H345" s="7"/>
      <c r="I345" s="8"/>
      <c r="J345" s="8"/>
      <c r="K345" s="8"/>
      <c r="L345" s="8"/>
      <c r="M345" s="8"/>
      <c r="N345" s="5"/>
      <c r="O345" s="5"/>
      <c r="P345" s="5"/>
      <c r="Q345" s="5"/>
      <c r="R345" s="5"/>
      <c r="S345" s="5"/>
      <c r="T345" s="5"/>
      <c r="U345" s="5"/>
    </row>
    <row r="346" spans="1:21" ht="19.5" customHeight="1" x14ac:dyDescent="0.3">
      <c r="A346" s="5"/>
      <c r="B346" s="5"/>
      <c r="C346" s="5"/>
      <c r="D346" s="5"/>
      <c r="E346" s="6"/>
      <c r="F346" s="6"/>
      <c r="G346" s="6"/>
      <c r="H346" s="7"/>
      <c r="I346" s="8"/>
      <c r="J346" s="8"/>
      <c r="K346" s="8"/>
      <c r="L346" s="8"/>
      <c r="M346" s="8"/>
      <c r="N346" s="5"/>
      <c r="O346" s="5"/>
      <c r="P346" s="5"/>
      <c r="Q346" s="5"/>
      <c r="R346" s="5"/>
      <c r="S346" s="5"/>
      <c r="T346" s="5"/>
      <c r="U346" s="5"/>
    </row>
    <row r="347" spans="1:21" ht="19.5" customHeight="1" x14ac:dyDescent="0.3">
      <c r="A347" s="5"/>
      <c r="B347" s="5"/>
      <c r="C347" s="5"/>
      <c r="D347" s="5"/>
      <c r="E347" s="6"/>
      <c r="F347" s="6"/>
      <c r="G347" s="6"/>
      <c r="H347" s="7"/>
      <c r="I347" s="8"/>
      <c r="J347" s="8"/>
      <c r="K347" s="8"/>
      <c r="L347" s="8"/>
      <c r="M347" s="8"/>
      <c r="N347" s="5"/>
      <c r="O347" s="5"/>
      <c r="P347" s="5"/>
      <c r="Q347" s="5"/>
      <c r="R347" s="5"/>
      <c r="S347" s="5"/>
      <c r="T347" s="5"/>
      <c r="U347" s="5"/>
    </row>
    <row r="348" spans="1:21" ht="19.5" customHeight="1" x14ac:dyDescent="0.3">
      <c r="A348" s="5"/>
      <c r="B348" s="5"/>
      <c r="C348" s="5"/>
      <c r="D348" s="5"/>
      <c r="E348" s="6"/>
      <c r="F348" s="6"/>
      <c r="G348" s="6"/>
      <c r="H348" s="7"/>
      <c r="I348" s="8"/>
      <c r="J348" s="8"/>
      <c r="K348" s="8"/>
      <c r="L348" s="8"/>
      <c r="M348" s="8"/>
      <c r="N348" s="5"/>
      <c r="O348" s="5"/>
      <c r="P348" s="5"/>
      <c r="Q348" s="5"/>
      <c r="R348" s="5"/>
      <c r="S348" s="5"/>
      <c r="T348" s="5"/>
      <c r="U348" s="5"/>
    </row>
    <row r="349" spans="1:21" ht="19.5" customHeight="1" x14ac:dyDescent="0.3">
      <c r="A349" s="5"/>
      <c r="B349" s="5"/>
      <c r="C349" s="5"/>
      <c r="D349" s="5"/>
      <c r="E349" s="6"/>
      <c r="F349" s="6"/>
      <c r="G349" s="6"/>
      <c r="H349" s="7"/>
      <c r="I349" s="8"/>
      <c r="J349" s="8"/>
      <c r="K349" s="8"/>
      <c r="L349" s="8"/>
      <c r="M349" s="8"/>
      <c r="N349" s="5"/>
      <c r="O349" s="5"/>
      <c r="P349" s="5"/>
      <c r="Q349" s="5"/>
      <c r="R349" s="5"/>
      <c r="S349" s="5"/>
      <c r="T349" s="5"/>
      <c r="U349" s="5"/>
    </row>
    <row r="350" spans="1:21" ht="19.5" customHeight="1" x14ac:dyDescent="0.3">
      <c r="A350" s="5"/>
      <c r="B350" s="5"/>
      <c r="C350" s="5"/>
      <c r="D350" s="5"/>
      <c r="E350" s="6"/>
      <c r="F350" s="6"/>
      <c r="G350" s="6"/>
      <c r="H350" s="7"/>
      <c r="I350" s="8"/>
      <c r="J350" s="8"/>
      <c r="K350" s="8"/>
      <c r="L350" s="8"/>
      <c r="M350" s="8"/>
      <c r="N350" s="5"/>
      <c r="O350" s="5"/>
      <c r="P350" s="5"/>
      <c r="Q350" s="5"/>
      <c r="R350" s="5"/>
      <c r="S350" s="5"/>
      <c r="T350" s="5"/>
      <c r="U350" s="5"/>
    </row>
    <row r="351" spans="1:21" ht="19.5" customHeight="1" x14ac:dyDescent="0.3">
      <c r="A351" s="5"/>
      <c r="B351" s="5"/>
      <c r="C351" s="5"/>
      <c r="D351" s="5"/>
      <c r="E351" s="6"/>
      <c r="F351" s="6"/>
      <c r="G351" s="6"/>
      <c r="H351" s="7"/>
      <c r="I351" s="8"/>
      <c r="J351" s="8"/>
      <c r="K351" s="8"/>
      <c r="L351" s="8"/>
      <c r="M351" s="8"/>
      <c r="N351" s="5"/>
      <c r="O351" s="5"/>
      <c r="P351" s="5"/>
      <c r="Q351" s="5"/>
      <c r="R351" s="5"/>
      <c r="S351" s="5"/>
      <c r="T351" s="5"/>
      <c r="U351" s="5"/>
    </row>
    <row r="352" spans="1:21" ht="19.5" customHeight="1" x14ac:dyDescent="0.3">
      <c r="A352" s="5"/>
      <c r="B352" s="5"/>
      <c r="C352" s="5"/>
      <c r="D352" s="5"/>
      <c r="E352" s="6"/>
      <c r="F352" s="6"/>
      <c r="G352" s="6"/>
      <c r="H352" s="7"/>
      <c r="I352" s="8"/>
      <c r="J352" s="8"/>
      <c r="K352" s="8"/>
      <c r="L352" s="8"/>
      <c r="M352" s="8"/>
      <c r="N352" s="5"/>
      <c r="O352" s="5"/>
      <c r="P352" s="5"/>
      <c r="Q352" s="5"/>
      <c r="R352" s="5"/>
      <c r="S352" s="5"/>
      <c r="T352" s="5"/>
      <c r="U352" s="5"/>
    </row>
    <row r="353" spans="1:21" ht="19.5" customHeight="1" x14ac:dyDescent="0.3">
      <c r="A353" s="5"/>
      <c r="B353" s="5"/>
      <c r="C353" s="5"/>
      <c r="D353" s="5"/>
      <c r="E353" s="6"/>
      <c r="F353" s="6"/>
      <c r="G353" s="6"/>
      <c r="H353" s="7"/>
      <c r="I353" s="8"/>
      <c r="J353" s="8"/>
      <c r="K353" s="8"/>
      <c r="L353" s="8"/>
      <c r="M353" s="8"/>
      <c r="N353" s="5"/>
      <c r="O353" s="5"/>
      <c r="P353" s="5"/>
      <c r="Q353" s="5"/>
      <c r="R353" s="5"/>
      <c r="S353" s="5"/>
      <c r="T353" s="5"/>
      <c r="U353" s="5"/>
    </row>
    <row r="354" spans="1:21" ht="19.5" customHeight="1" x14ac:dyDescent="0.3">
      <c r="A354" s="5"/>
      <c r="B354" s="5"/>
      <c r="C354" s="5"/>
      <c r="D354" s="5"/>
      <c r="E354" s="6"/>
      <c r="F354" s="6"/>
      <c r="G354" s="6"/>
      <c r="H354" s="7"/>
      <c r="I354" s="8"/>
      <c r="J354" s="8"/>
      <c r="K354" s="8"/>
      <c r="L354" s="8"/>
      <c r="M354" s="8"/>
      <c r="N354" s="5"/>
      <c r="O354" s="5"/>
      <c r="P354" s="5"/>
      <c r="Q354" s="5"/>
      <c r="R354" s="5"/>
      <c r="S354" s="5"/>
      <c r="T354" s="5"/>
      <c r="U354" s="5"/>
    </row>
    <row r="355" spans="1:21" ht="19.5" customHeight="1" x14ac:dyDescent="0.3">
      <c r="A355" s="5"/>
      <c r="B355" s="5"/>
      <c r="C355" s="5"/>
      <c r="D355" s="5"/>
      <c r="E355" s="6"/>
      <c r="F355" s="6"/>
      <c r="G355" s="6"/>
      <c r="H355" s="7"/>
      <c r="I355" s="8"/>
      <c r="J355" s="8"/>
      <c r="K355" s="8"/>
      <c r="L355" s="8"/>
      <c r="M355" s="8"/>
      <c r="N355" s="5"/>
      <c r="O355" s="5"/>
      <c r="P355" s="5"/>
      <c r="Q355" s="5"/>
      <c r="R355" s="5"/>
      <c r="S355" s="5"/>
      <c r="T355" s="5"/>
      <c r="U355" s="5"/>
    </row>
    <row r="356" spans="1:21" ht="19.5" customHeight="1" x14ac:dyDescent="0.3">
      <c r="A356" s="5"/>
      <c r="B356" s="5"/>
      <c r="C356" s="5"/>
      <c r="D356" s="5"/>
      <c r="E356" s="6"/>
      <c r="F356" s="6"/>
      <c r="G356" s="6"/>
      <c r="H356" s="7"/>
      <c r="I356" s="8"/>
      <c r="J356" s="8"/>
      <c r="K356" s="8"/>
      <c r="L356" s="8"/>
      <c r="M356" s="8"/>
      <c r="N356" s="5"/>
      <c r="O356" s="5"/>
      <c r="P356" s="5"/>
      <c r="Q356" s="5"/>
      <c r="R356" s="5"/>
      <c r="S356" s="5"/>
      <c r="T356" s="5"/>
      <c r="U356" s="5"/>
    </row>
    <row r="357" spans="1:21" ht="19.5" customHeight="1" x14ac:dyDescent="0.3">
      <c r="A357" s="5"/>
      <c r="B357" s="5"/>
      <c r="C357" s="5"/>
      <c r="D357" s="5"/>
      <c r="E357" s="6"/>
      <c r="F357" s="6"/>
      <c r="G357" s="6"/>
      <c r="H357" s="7"/>
      <c r="I357" s="8"/>
      <c r="J357" s="8"/>
      <c r="K357" s="8"/>
      <c r="L357" s="8"/>
      <c r="M357" s="8"/>
      <c r="N357" s="5"/>
      <c r="O357" s="5"/>
      <c r="P357" s="5"/>
      <c r="Q357" s="5"/>
      <c r="R357" s="5"/>
      <c r="S357" s="5"/>
      <c r="T357" s="5"/>
      <c r="U357" s="5"/>
    </row>
    <row r="358" spans="1:21" ht="19.5" customHeight="1" x14ac:dyDescent="0.3">
      <c r="A358" s="5"/>
      <c r="B358" s="5"/>
      <c r="C358" s="5"/>
      <c r="D358" s="5"/>
      <c r="E358" s="6"/>
      <c r="F358" s="6"/>
      <c r="G358" s="6"/>
      <c r="H358" s="7"/>
      <c r="I358" s="8"/>
      <c r="J358" s="8"/>
      <c r="K358" s="8"/>
      <c r="L358" s="8"/>
      <c r="M358" s="8"/>
      <c r="N358" s="5"/>
      <c r="O358" s="5"/>
      <c r="P358" s="5"/>
      <c r="Q358" s="5"/>
      <c r="R358" s="5"/>
      <c r="S358" s="5"/>
      <c r="T358" s="5"/>
      <c r="U358" s="5"/>
    </row>
    <row r="359" spans="1:21" ht="19.5" customHeight="1" x14ac:dyDescent="0.3">
      <c r="A359" s="5"/>
      <c r="B359" s="5"/>
      <c r="C359" s="5"/>
      <c r="D359" s="5"/>
      <c r="E359" s="6"/>
      <c r="F359" s="6"/>
      <c r="G359" s="6"/>
      <c r="H359" s="7"/>
      <c r="I359" s="8"/>
      <c r="J359" s="8"/>
      <c r="K359" s="8"/>
      <c r="L359" s="8"/>
      <c r="M359" s="8"/>
      <c r="N359" s="5"/>
      <c r="O359" s="5"/>
      <c r="P359" s="5"/>
      <c r="Q359" s="5"/>
      <c r="R359" s="5"/>
      <c r="S359" s="5"/>
      <c r="T359" s="5"/>
      <c r="U359" s="5"/>
    </row>
    <row r="360" spans="1:21" ht="19.5" customHeight="1" x14ac:dyDescent="0.3">
      <c r="A360" s="5"/>
      <c r="B360" s="5"/>
      <c r="C360" s="5"/>
      <c r="D360" s="5"/>
      <c r="E360" s="6"/>
      <c r="F360" s="6"/>
      <c r="G360" s="6"/>
      <c r="H360" s="7"/>
      <c r="I360" s="8"/>
      <c r="J360" s="8"/>
      <c r="K360" s="8"/>
      <c r="L360" s="8"/>
      <c r="M360" s="8"/>
      <c r="N360" s="5"/>
      <c r="O360" s="5"/>
      <c r="P360" s="5"/>
      <c r="Q360" s="5"/>
      <c r="R360" s="5"/>
      <c r="S360" s="5"/>
      <c r="T360" s="5"/>
      <c r="U360" s="5"/>
    </row>
    <row r="361" spans="1:21" ht="19.5" customHeight="1" x14ac:dyDescent="0.3">
      <c r="A361" s="5"/>
      <c r="B361" s="5"/>
      <c r="C361" s="5"/>
      <c r="D361" s="5"/>
      <c r="E361" s="6"/>
      <c r="F361" s="6"/>
      <c r="G361" s="6"/>
      <c r="H361" s="7"/>
      <c r="I361" s="8"/>
      <c r="J361" s="8"/>
      <c r="K361" s="8"/>
      <c r="L361" s="8"/>
      <c r="M361" s="8"/>
      <c r="N361" s="5"/>
      <c r="O361" s="5"/>
      <c r="P361" s="5"/>
      <c r="Q361" s="5"/>
      <c r="R361" s="5"/>
      <c r="S361" s="5"/>
      <c r="T361" s="5"/>
      <c r="U361" s="5"/>
    </row>
    <row r="362" spans="1:21" ht="19.5" customHeight="1" x14ac:dyDescent="0.3">
      <c r="A362" s="5"/>
      <c r="B362" s="5"/>
      <c r="C362" s="5"/>
      <c r="D362" s="5"/>
      <c r="E362" s="6"/>
      <c r="F362" s="6"/>
      <c r="G362" s="6"/>
      <c r="H362" s="7"/>
      <c r="I362" s="8"/>
      <c r="J362" s="8"/>
      <c r="K362" s="8"/>
      <c r="L362" s="8"/>
      <c r="M362" s="8"/>
      <c r="N362" s="5"/>
      <c r="O362" s="5"/>
      <c r="P362" s="5"/>
      <c r="Q362" s="5"/>
      <c r="R362" s="5"/>
      <c r="S362" s="5"/>
      <c r="T362" s="5"/>
      <c r="U362" s="5"/>
    </row>
    <row r="363" spans="1:21" ht="19.5" customHeight="1" x14ac:dyDescent="0.3">
      <c r="A363" s="5"/>
      <c r="B363" s="5"/>
      <c r="C363" s="5"/>
      <c r="D363" s="5"/>
      <c r="E363" s="6"/>
      <c r="F363" s="6"/>
      <c r="G363" s="6"/>
      <c r="H363" s="7"/>
      <c r="I363" s="8"/>
      <c r="J363" s="8"/>
      <c r="K363" s="8"/>
      <c r="L363" s="8"/>
      <c r="M363" s="8"/>
      <c r="N363" s="5"/>
      <c r="O363" s="5"/>
      <c r="P363" s="5"/>
      <c r="Q363" s="5"/>
      <c r="R363" s="5"/>
      <c r="S363" s="5"/>
      <c r="T363" s="5"/>
      <c r="U363" s="5"/>
    </row>
    <row r="364" spans="1:21" ht="19.5" customHeight="1" x14ac:dyDescent="0.3">
      <c r="A364" s="5"/>
      <c r="B364" s="5"/>
      <c r="C364" s="5"/>
      <c r="D364" s="5"/>
      <c r="E364" s="6"/>
      <c r="F364" s="6"/>
      <c r="G364" s="6"/>
      <c r="H364" s="7"/>
      <c r="I364" s="8"/>
      <c r="J364" s="8"/>
      <c r="K364" s="8"/>
      <c r="L364" s="8"/>
      <c r="M364" s="8"/>
      <c r="N364" s="5"/>
      <c r="O364" s="5"/>
      <c r="P364" s="5"/>
      <c r="Q364" s="5"/>
      <c r="R364" s="5"/>
      <c r="S364" s="5"/>
      <c r="T364" s="5"/>
      <c r="U364" s="5"/>
    </row>
    <row r="365" spans="1:21" ht="19.5" customHeight="1" x14ac:dyDescent="0.3">
      <c r="A365" s="5"/>
      <c r="B365" s="5"/>
      <c r="C365" s="5"/>
      <c r="D365" s="5"/>
      <c r="E365" s="6"/>
      <c r="F365" s="6"/>
      <c r="G365" s="6"/>
      <c r="H365" s="7"/>
      <c r="I365" s="8"/>
      <c r="J365" s="8"/>
      <c r="K365" s="8"/>
      <c r="L365" s="8"/>
      <c r="M365" s="8"/>
      <c r="N365" s="5"/>
      <c r="O365" s="5"/>
      <c r="P365" s="5"/>
      <c r="Q365" s="5"/>
      <c r="R365" s="5"/>
      <c r="S365" s="5"/>
      <c r="T365" s="5"/>
      <c r="U365" s="5"/>
    </row>
    <row r="366" spans="1:21" ht="19.5" customHeight="1" x14ac:dyDescent="0.3">
      <c r="A366" s="5"/>
      <c r="B366" s="5"/>
      <c r="C366" s="5"/>
      <c r="D366" s="5"/>
      <c r="E366" s="6"/>
      <c r="F366" s="6"/>
      <c r="G366" s="6"/>
      <c r="H366" s="7"/>
      <c r="I366" s="8"/>
      <c r="J366" s="8"/>
      <c r="K366" s="8"/>
      <c r="L366" s="8"/>
      <c r="M366" s="8"/>
      <c r="N366" s="5"/>
      <c r="O366" s="5"/>
      <c r="P366" s="5"/>
      <c r="Q366" s="5"/>
      <c r="R366" s="5"/>
      <c r="S366" s="5"/>
      <c r="T366" s="5"/>
      <c r="U366" s="5"/>
    </row>
    <row r="367" spans="1:21" ht="19.5" customHeight="1" x14ac:dyDescent="0.3">
      <c r="A367" s="5"/>
      <c r="B367" s="5"/>
      <c r="C367" s="5"/>
      <c r="D367" s="5"/>
      <c r="E367" s="6"/>
      <c r="F367" s="6"/>
      <c r="G367" s="6"/>
      <c r="H367" s="7"/>
      <c r="I367" s="8"/>
      <c r="J367" s="8"/>
      <c r="K367" s="8"/>
      <c r="L367" s="8"/>
      <c r="M367" s="8"/>
      <c r="N367" s="5"/>
      <c r="O367" s="5"/>
      <c r="P367" s="5"/>
      <c r="Q367" s="5"/>
      <c r="R367" s="5"/>
      <c r="S367" s="5"/>
      <c r="T367" s="5"/>
      <c r="U367" s="5"/>
    </row>
    <row r="368" spans="1:21" ht="19.5" customHeight="1" x14ac:dyDescent="0.3">
      <c r="A368" s="5"/>
      <c r="B368" s="5"/>
      <c r="C368" s="5"/>
      <c r="D368" s="5"/>
      <c r="E368" s="6"/>
      <c r="F368" s="6"/>
      <c r="G368" s="6"/>
      <c r="H368" s="7"/>
      <c r="I368" s="8"/>
      <c r="J368" s="8"/>
      <c r="K368" s="8"/>
      <c r="L368" s="8"/>
      <c r="M368" s="8"/>
      <c r="N368" s="5"/>
      <c r="O368" s="5"/>
      <c r="P368" s="5"/>
      <c r="Q368" s="5"/>
      <c r="R368" s="5"/>
      <c r="S368" s="5"/>
      <c r="T368" s="5"/>
      <c r="U368" s="5"/>
    </row>
    <row r="369" spans="1:21" ht="19.5" customHeight="1" x14ac:dyDescent="0.3">
      <c r="A369" s="5"/>
      <c r="B369" s="5"/>
      <c r="C369" s="5"/>
      <c r="D369" s="5"/>
      <c r="E369" s="6"/>
      <c r="F369" s="6"/>
      <c r="G369" s="6"/>
      <c r="H369" s="7"/>
      <c r="I369" s="8"/>
      <c r="J369" s="8"/>
      <c r="K369" s="8"/>
      <c r="L369" s="8"/>
      <c r="M369" s="8"/>
      <c r="N369" s="5"/>
      <c r="O369" s="5"/>
      <c r="P369" s="5"/>
      <c r="Q369" s="5"/>
      <c r="R369" s="5"/>
      <c r="S369" s="5"/>
      <c r="T369" s="5"/>
      <c r="U369" s="5"/>
    </row>
    <row r="370" spans="1:21" ht="19.5" customHeight="1" x14ac:dyDescent="0.3">
      <c r="A370" s="5"/>
      <c r="B370" s="5"/>
      <c r="C370" s="5"/>
      <c r="D370" s="5"/>
      <c r="E370" s="6"/>
      <c r="F370" s="6"/>
      <c r="G370" s="6"/>
      <c r="H370" s="7"/>
      <c r="I370" s="8"/>
      <c r="J370" s="8"/>
      <c r="K370" s="8"/>
      <c r="L370" s="8"/>
      <c r="M370" s="8"/>
      <c r="N370" s="5"/>
      <c r="O370" s="5"/>
      <c r="P370" s="5"/>
      <c r="Q370" s="5"/>
      <c r="R370" s="5"/>
      <c r="S370" s="5"/>
      <c r="T370" s="5"/>
      <c r="U370" s="5"/>
    </row>
    <row r="371" spans="1:21" ht="19.5" customHeight="1" x14ac:dyDescent="0.3">
      <c r="A371" s="5"/>
      <c r="B371" s="5"/>
      <c r="C371" s="5"/>
      <c r="D371" s="5"/>
      <c r="E371" s="6"/>
      <c r="F371" s="6"/>
      <c r="G371" s="6"/>
      <c r="H371" s="7"/>
      <c r="I371" s="8"/>
      <c r="J371" s="8"/>
      <c r="K371" s="8"/>
      <c r="L371" s="8"/>
      <c r="M371" s="8"/>
      <c r="N371" s="5"/>
      <c r="O371" s="5"/>
      <c r="P371" s="5"/>
      <c r="Q371" s="5"/>
      <c r="R371" s="5"/>
      <c r="S371" s="5"/>
      <c r="T371" s="5"/>
      <c r="U371" s="5"/>
    </row>
    <row r="372" spans="1:21" ht="19.5" customHeight="1" x14ac:dyDescent="0.3">
      <c r="A372" s="5"/>
      <c r="B372" s="5"/>
      <c r="C372" s="5"/>
      <c r="D372" s="5"/>
      <c r="E372" s="6"/>
      <c r="F372" s="6"/>
      <c r="G372" s="6"/>
      <c r="H372" s="7"/>
      <c r="I372" s="8"/>
      <c r="J372" s="8"/>
      <c r="K372" s="8"/>
      <c r="L372" s="8"/>
      <c r="M372" s="8"/>
      <c r="N372" s="5"/>
      <c r="O372" s="5"/>
      <c r="P372" s="5"/>
      <c r="Q372" s="5"/>
      <c r="R372" s="5"/>
      <c r="S372" s="5"/>
      <c r="T372" s="5"/>
      <c r="U372" s="5"/>
    </row>
    <row r="373" spans="1:21" ht="19.5" customHeight="1" x14ac:dyDescent="0.3">
      <c r="A373" s="5"/>
      <c r="B373" s="5"/>
      <c r="C373" s="5"/>
      <c r="D373" s="5"/>
      <c r="E373" s="6"/>
      <c r="F373" s="6"/>
      <c r="G373" s="6"/>
      <c r="H373" s="7"/>
      <c r="I373" s="8"/>
      <c r="J373" s="8"/>
      <c r="K373" s="8"/>
      <c r="L373" s="8"/>
      <c r="M373" s="8"/>
      <c r="N373" s="5"/>
      <c r="O373" s="5"/>
      <c r="P373" s="5"/>
      <c r="Q373" s="5"/>
      <c r="R373" s="5"/>
      <c r="S373" s="5"/>
      <c r="T373" s="5"/>
      <c r="U373" s="5"/>
    </row>
    <row r="374" spans="1:21" ht="19.5" customHeight="1" x14ac:dyDescent="0.3">
      <c r="A374" s="5"/>
      <c r="B374" s="5"/>
      <c r="C374" s="5"/>
      <c r="D374" s="5"/>
      <c r="E374" s="6"/>
      <c r="F374" s="6"/>
      <c r="G374" s="6"/>
      <c r="H374" s="7"/>
      <c r="I374" s="8"/>
      <c r="J374" s="8"/>
      <c r="K374" s="8"/>
      <c r="L374" s="8"/>
      <c r="M374" s="8"/>
      <c r="N374" s="5"/>
      <c r="O374" s="5"/>
      <c r="P374" s="5"/>
      <c r="Q374" s="5"/>
      <c r="R374" s="5"/>
      <c r="S374" s="5"/>
      <c r="T374" s="5"/>
      <c r="U374" s="5"/>
    </row>
    <row r="375" spans="1:21" ht="19.5" customHeight="1" x14ac:dyDescent="0.3">
      <c r="A375" s="5"/>
      <c r="B375" s="5"/>
      <c r="C375" s="5"/>
      <c r="D375" s="5"/>
      <c r="E375" s="6"/>
      <c r="F375" s="6"/>
      <c r="G375" s="6"/>
      <c r="H375" s="7"/>
      <c r="I375" s="8"/>
      <c r="J375" s="8"/>
      <c r="K375" s="8"/>
      <c r="L375" s="8"/>
      <c r="M375" s="8"/>
      <c r="N375" s="5"/>
      <c r="O375" s="5"/>
      <c r="P375" s="5"/>
      <c r="Q375" s="5"/>
      <c r="R375" s="5"/>
      <c r="S375" s="5"/>
      <c r="T375" s="5"/>
      <c r="U375" s="5"/>
    </row>
    <row r="376" spans="1:21" ht="19.5" customHeight="1" x14ac:dyDescent="0.3">
      <c r="A376" s="5"/>
      <c r="B376" s="5"/>
      <c r="C376" s="5"/>
      <c r="D376" s="5"/>
      <c r="E376" s="6"/>
      <c r="F376" s="6"/>
      <c r="G376" s="6"/>
      <c r="H376" s="7"/>
      <c r="I376" s="8"/>
      <c r="J376" s="8"/>
      <c r="K376" s="8"/>
      <c r="L376" s="8"/>
      <c r="M376" s="8"/>
      <c r="N376" s="5"/>
      <c r="O376" s="5"/>
      <c r="P376" s="5"/>
      <c r="Q376" s="5"/>
      <c r="R376" s="5"/>
      <c r="S376" s="5"/>
      <c r="T376" s="5"/>
      <c r="U376" s="5"/>
    </row>
    <row r="377" spans="1:21" ht="19.5" customHeight="1" x14ac:dyDescent="0.3">
      <c r="A377" s="5"/>
      <c r="B377" s="5"/>
      <c r="C377" s="5"/>
      <c r="D377" s="5"/>
      <c r="E377" s="6"/>
      <c r="F377" s="6"/>
      <c r="G377" s="6"/>
      <c r="H377" s="7"/>
      <c r="I377" s="8"/>
      <c r="J377" s="8"/>
      <c r="K377" s="8"/>
      <c r="L377" s="8"/>
      <c r="M377" s="8"/>
      <c r="N377" s="5"/>
      <c r="O377" s="5"/>
      <c r="P377" s="5"/>
      <c r="Q377" s="5"/>
      <c r="R377" s="5"/>
      <c r="S377" s="5"/>
      <c r="T377" s="5"/>
      <c r="U377" s="5"/>
    </row>
    <row r="378" spans="1:21" ht="19.5" customHeight="1" x14ac:dyDescent="0.3">
      <c r="A378" s="5"/>
      <c r="B378" s="5"/>
      <c r="C378" s="5"/>
      <c r="D378" s="5"/>
      <c r="E378" s="6"/>
      <c r="F378" s="6"/>
      <c r="G378" s="6"/>
      <c r="H378" s="7"/>
      <c r="I378" s="8"/>
      <c r="J378" s="8"/>
      <c r="K378" s="8"/>
      <c r="L378" s="8"/>
      <c r="M378" s="8"/>
      <c r="N378" s="5"/>
      <c r="O378" s="5"/>
      <c r="P378" s="5"/>
      <c r="Q378" s="5"/>
      <c r="R378" s="5"/>
      <c r="S378" s="5"/>
      <c r="T378" s="5"/>
      <c r="U378" s="5"/>
    </row>
    <row r="379" spans="1:21" ht="19.5" customHeight="1" x14ac:dyDescent="0.3">
      <c r="A379" s="5"/>
      <c r="B379" s="5"/>
      <c r="C379" s="5"/>
      <c r="D379" s="5"/>
      <c r="E379" s="6"/>
      <c r="F379" s="6"/>
      <c r="G379" s="6"/>
      <c r="H379" s="7"/>
      <c r="I379" s="8"/>
      <c r="J379" s="8"/>
      <c r="K379" s="8"/>
      <c r="L379" s="8"/>
      <c r="M379" s="8"/>
      <c r="N379" s="5"/>
      <c r="O379" s="5"/>
      <c r="P379" s="5"/>
      <c r="Q379" s="5"/>
      <c r="R379" s="5"/>
      <c r="S379" s="5"/>
      <c r="T379" s="5"/>
      <c r="U379" s="5"/>
    </row>
    <row r="380" spans="1:21" ht="19.5" customHeight="1" x14ac:dyDescent="0.3">
      <c r="A380" s="5"/>
      <c r="B380" s="5"/>
      <c r="C380" s="5"/>
      <c r="D380" s="5"/>
      <c r="E380" s="6"/>
      <c r="F380" s="6"/>
      <c r="G380" s="6"/>
      <c r="H380" s="7"/>
      <c r="I380" s="8"/>
      <c r="J380" s="8"/>
      <c r="K380" s="8"/>
      <c r="L380" s="8"/>
      <c r="M380" s="8"/>
      <c r="N380" s="5"/>
      <c r="O380" s="5"/>
      <c r="P380" s="5"/>
      <c r="Q380" s="5"/>
      <c r="R380" s="5"/>
      <c r="S380" s="5"/>
      <c r="T380" s="5"/>
      <c r="U380" s="5"/>
    </row>
    <row r="381" spans="1:21" ht="19.5" customHeight="1" x14ac:dyDescent="0.3">
      <c r="A381" s="5"/>
      <c r="B381" s="5"/>
      <c r="C381" s="5"/>
      <c r="D381" s="5"/>
      <c r="E381" s="6"/>
      <c r="F381" s="6"/>
      <c r="G381" s="6"/>
      <c r="H381" s="7"/>
      <c r="I381" s="8"/>
      <c r="J381" s="8"/>
      <c r="K381" s="8"/>
      <c r="L381" s="8"/>
      <c r="M381" s="8"/>
      <c r="N381" s="5"/>
      <c r="O381" s="5"/>
      <c r="P381" s="5"/>
      <c r="Q381" s="5"/>
      <c r="R381" s="5"/>
      <c r="S381" s="5"/>
      <c r="T381" s="5"/>
      <c r="U381" s="5"/>
    </row>
    <row r="382" spans="1:21" ht="19.5" customHeight="1" x14ac:dyDescent="0.3">
      <c r="A382" s="5"/>
      <c r="B382" s="5"/>
      <c r="C382" s="5"/>
      <c r="D382" s="5"/>
      <c r="E382" s="6"/>
      <c r="F382" s="6"/>
      <c r="G382" s="6"/>
      <c r="H382" s="7"/>
      <c r="I382" s="8"/>
      <c r="J382" s="8"/>
      <c r="K382" s="8"/>
      <c r="L382" s="8"/>
      <c r="M382" s="8"/>
      <c r="N382" s="5"/>
      <c r="O382" s="5"/>
      <c r="P382" s="5"/>
      <c r="Q382" s="5"/>
      <c r="R382" s="5"/>
      <c r="S382" s="5"/>
      <c r="T382" s="5"/>
      <c r="U382" s="5"/>
    </row>
    <row r="383" spans="1:21" ht="19.5" customHeight="1" x14ac:dyDescent="0.3">
      <c r="A383" s="5"/>
      <c r="B383" s="5"/>
      <c r="C383" s="5"/>
      <c r="D383" s="5"/>
      <c r="E383" s="6"/>
      <c r="F383" s="6"/>
      <c r="G383" s="6"/>
      <c r="H383" s="7"/>
      <c r="I383" s="8"/>
      <c r="J383" s="8"/>
      <c r="K383" s="8"/>
      <c r="L383" s="8"/>
      <c r="M383" s="8"/>
      <c r="N383" s="5"/>
      <c r="O383" s="5"/>
      <c r="P383" s="5"/>
      <c r="Q383" s="5"/>
      <c r="R383" s="5"/>
      <c r="S383" s="5"/>
      <c r="T383" s="5"/>
      <c r="U383" s="5"/>
    </row>
    <row r="384" spans="1:21" ht="19.5" customHeight="1" x14ac:dyDescent="0.3">
      <c r="A384" s="5"/>
      <c r="B384" s="5"/>
      <c r="C384" s="5"/>
      <c r="D384" s="5"/>
      <c r="E384" s="6"/>
      <c r="F384" s="6"/>
      <c r="G384" s="6"/>
      <c r="H384" s="7"/>
      <c r="I384" s="8"/>
      <c r="J384" s="8"/>
      <c r="K384" s="8"/>
      <c r="L384" s="8"/>
      <c r="M384" s="8"/>
      <c r="N384" s="5"/>
      <c r="O384" s="5"/>
      <c r="P384" s="5"/>
      <c r="Q384" s="5"/>
      <c r="R384" s="5"/>
      <c r="S384" s="5"/>
      <c r="T384" s="5"/>
      <c r="U384" s="5"/>
    </row>
    <row r="385" spans="1:21" ht="19.5" customHeight="1" x14ac:dyDescent="0.3">
      <c r="A385" s="5"/>
      <c r="B385" s="5"/>
      <c r="C385" s="5"/>
      <c r="D385" s="5"/>
      <c r="E385" s="6"/>
      <c r="F385" s="6"/>
      <c r="G385" s="6"/>
      <c r="H385" s="7"/>
      <c r="I385" s="8"/>
      <c r="J385" s="8"/>
      <c r="K385" s="8"/>
      <c r="L385" s="8"/>
      <c r="M385" s="8"/>
      <c r="N385" s="5"/>
      <c r="O385" s="5"/>
      <c r="P385" s="5"/>
      <c r="Q385" s="5"/>
      <c r="R385" s="5"/>
      <c r="S385" s="5"/>
      <c r="T385" s="5"/>
      <c r="U385" s="5"/>
    </row>
    <row r="386" spans="1:21" ht="19.5" customHeight="1" x14ac:dyDescent="0.3">
      <c r="A386" s="5"/>
      <c r="B386" s="5"/>
      <c r="C386" s="5"/>
      <c r="D386" s="5"/>
      <c r="E386" s="6"/>
      <c r="F386" s="6"/>
      <c r="G386" s="6"/>
      <c r="H386" s="7"/>
      <c r="I386" s="8"/>
      <c r="J386" s="8"/>
      <c r="K386" s="8"/>
      <c r="L386" s="8"/>
      <c r="M386" s="8"/>
      <c r="N386" s="5"/>
      <c r="O386" s="5"/>
      <c r="P386" s="5"/>
      <c r="Q386" s="5"/>
      <c r="R386" s="5"/>
      <c r="S386" s="5"/>
      <c r="T386" s="5"/>
      <c r="U386" s="5"/>
    </row>
    <row r="387" spans="1:21" ht="19.5" customHeight="1" x14ac:dyDescent="0.3">
      <c r="A387" s="5"/>
      <c r="B387" s="5"/>
      <c r="C387" s="5"/>
      <c r="D387" s="5"/>
      <c r="E387" s="6"/>
      <c r="F387" s="6"/>
      <c r="G387" s="6"/>
      <c r="H387" s="7"/>
      <c r="I387" s="8"/>
      <c r="J387" s="8"/>
      <c r="K387" s="8"/>
      <c r="L387" s="8"/>
      <c r="M387" s="8"/>
      <c r="N387" s="5"/>
      <c r="O387" s="5"/>
      <c r="P387" s="5"/>
      <c r="Q387" s="5"/>
      <c r="R387" s="5"/>
      <c r="S387" s="5"/>
      <c r="T387" s="5"/>
      <c r="U387" s="5"/>
    </row>
    <row r="388" spans="1:21" ht="19.5" customHeight="1" x14ac:dyDescent="0.3">
      <c r="A388" s="5"/>
      <c r="B388" s="5"/>
      <c r="C388" s="5"/>
      <c r="D388" s="5"/>
      <c r="E388" s="6"/>
      <c r="F388" s="6"/>
      <c r="G388" s="6"/>
      <c r="H388" s="7"/>
      <c r="I388" s="8"/>
      <c r="J388" s="8"/>
      <c r="K388" s="8"/>
      <c r="L388" s="8"/>
      <c r="M388" s="8"/>
      <c r="N388" s="5"/>
      <c r="O388" s="5"/>
      <c r="P388" s="5"/>
      <c r="Q388" s="5"/>
      <c r="R388" s="5"/>
      <c r="S388" s="5"/>
      <c r="T388" s="5"/>
      <c r="U388" s="5"/>
    </row>
    <row r="389" spans="1:21" ht="19.5" customHeight="1" x14ac:dyDescent="0.3">
      <c r="A389" s="5"/>
      <c r="B389" s="5"/>
      <c r="C389" s="5"/>
      <c r="D389" s="5"/>
      <c r="E389" s="6"/>
      <c r="F389" s="6"/>
      <c r="G389" s="6"/>
      <c r="H389" s="7"/>
      <c r="I389" s="8"/>
      <c r="J389" s="8"/>
      <c r="K389" s="8"/>
      <c r="L389" s="8"/>
      <c r="M389" s="8"/>
      <c r="N389" s="5"/>
      <c r="O389" s="5"/>
      <c r="P389" s="5"/>
      <c r="Q389" s="5"/>
      <c r="R389" s="5"/>
      <c r="S389" s="5"/>
      <c r="T389" s="5"/>
      <c r="U389" s="5"/>
    </row>
    <row r="390" spans="1:21" ht="19.5" customHeight="1" x14ac:dyDescent="0.3">
      <c r="A390" s="5"/>
      <c r="B390" s="5"/>
      <c r="C390" s="5"/>
      <c r="D390" s="5"/>
      <c r="E390" s="6"/>
      <c r="F390" s="6"/>
      <c r="G390" s="6"/>
      <c r="H390" s="7"/>
      <c r="I390" s="8"/>
      <c r="J390" s="8"/>
      <c r="K390" s="8"/>
      <c r="L390" s="8"/>
      <c r="M390" s="8"/>
      <c r="N390" s="5"/>
      <c r="O390" s="5"/>
      <c r="P390" s="5"/>
      <c r="Q390" s="5"/>
      <c r="R390" s="5"/>
      <c r="S390" s="5"/>
      <c r="T390" s="5"/>
      <c r="U390" s="5"/>
    </row>
    <row r="391" spans="1:21" ht="19.5" customHeight="1" x14ac:dyDescent="0.3">
      <c r="A391" s="5"/>
      <c r="B391" s="5"/>
      <c r="C391" s="5"/>
      <c r="D391" s="5"/>
      <c r="E391" s="6"/>
      <c r="F391" s="6"/>
      <c r="G391" s="6"/>
      <c r="H391" s="7"/>
      <c r="I391" s="8"/>
      <c r="J391" s="8"/>
      <c r="K391" s="8"/>
      <c r="L391" s="8"/>
      <c r="M391" s="8"/>
      <c r="N391" s="5"/>
      <c r="O391" s="5"/>
      <c r="P391" s="5"/>
      <c r="Q391" s="5"/>
      <c r="R391" s="5"/>
      <c r="S391" s="5"/>
      <c r="T391" s="5"/>
      <c r="U391" s="5"/>
    </row>
    <row r="392" spans="1:21" ht="19.5" customHeight="1" x14ac:dyDescent="0.3">
      <c r="A392" s="5"/>
      <c r="B392" s="5"/>
      <c r="C392" s="5"/>
      <c r="D392" s="5"/>
      <c r="E392" s="6"/>
      <c r="F392" s="6"/>
      <c r="G392" s="6"/>
      <c r="H392" s="7"/>
      <c r="I392" s="8"/>
      <c r="J392" s="8"/>
      <c r="K392" s="8"/>
      <c r="L392" s="8"/>
      <c r="M392" s="8"/>
      <c r="N392" s="5"/>
      <c r="O392" s="5"/>
      <c r="P392" s="5"/>
      <c r="Q392" s="5"/>
      <c r="R392" s="5"/>
      <c r="S392" s="5"/>
      <c r="T392" s="5"/>
      <c r="U392" s="5"/>
    </row>
    <row r="393" spans="1:21" ht="19.5" customHeight="1" x14ac:dyDescent="0.3">
      <c r="A393" s="5"/>
      <c r="B393" s="5"/>
      <c r="C393" s="5"/>
      <c r="D393" s="5"/>
      <c r="E393" s="6"/>
      <c r="F393" s="6"/>
      <c r="G393" s="6"/>
      <c r="H393" s="7"/>
      <c r="I393" s="8"/>
      <c r="J393" s="8"/>
      <c r="K393" s="8"/>
      <c r="L393" s="8"/>
      <c r="M393" s="8"/>
      <c r="N393" s="5"/>
      <c r="O393" s="5"/>
      <c r="P393" s="5"/>
      <c r="Q393" s="5"/>
      <c r="R393" s="5"/>
      <c r="S393" s="5"/>
      <c r="T393" s="5"/>
      <c r="U393" s="5"/>
    </row>
    <row r="394" spans="1:21" ht="19.5" customHeight="1" x14ac:dyDescent="0.3">
      <c r="A394" s="5"/>
      <c r="B394" s="5"/>
      <c r="C394" s="5"/>
      <c r="D394" s="5"/>
      <c r="E394" s="6"/>
      <c r="F394" s="6"/>
      <c r="G394" s="6"/>
      <c r="H394" s="7"/>
      <c r="I394" s="8"/>
      <c r="J394" s="8"/>
      <c r="K394" s="8"/>
      <c r="L394" s="8"/>
      <c r="M394" s="8"/>
      <c r="N394" s="5"/>
      <c r="O394" s="5"/>
      <c r="P394" s="5"/>
      <c r="Q394" s="5"/>
      <c r="R394" s="5"/>
      <c r="S394" s="5"/>
      <c r="T394" s="5"/>
      <c r="U394" s="5"/>
    </row>
    <row r="395" spans="1:21" ht="19.5" customHeight="1" x14ac:dyDescent="0.3">
      <c r="A395" s="5"/>
      <c r="B395" s="5"/>
      <c r="C395" s="5"/>
      <c r="D395" s="5"/>
      <c r="E395" s="6"/>
      <c r="F395" s="6"/>
      <c r="G395" s="6"/>
      <c r="H395" s="7"/>
      <c r="I395" s="8"/>
      <c r="J395" s="8"/>
      <c r="K395" s="8"/>
      <c r="L395" s="8"/>
      <c r="M395" s="8"/>
      <c r="N395" s="5"/>
      <c r="O395" s="5"/>
      <c r="P395" s="5"/>
      <c r="Q395" s="5"/>
      <c r="R395" s="5"/>
      <c r="S395" s="5"/>
      <c r="T395" s="5"/>
      <c r="U395" s="5"/>
    </row>
    <row r="396" spans="1:21" ht="19.5" customHeight="1" x14ac:dyDescent="0.3">
      <c r="A396" s="5"/>
      <c r="B396" s="5"/>
      <c r="C396" s="5"/>
      <c r="D396" s="5"/>
      <c r="E396" s="6"/>
      <c r="F396" s="6"/>
      <c r="G396" s="6"/>
      <c r="H396" s="7"/>
      <c r="I396" s="8"/>
      <c r="J396" s="8"/>
      <c r="K396" s="8"/>
      <c r="L396" s="8"/>
      <c r="M396" s="8"/>
      <c r="N396" s="5"/>
      <c r="O396" s="5"/>
      <c r="P396" s="5"/>
      <c r="Q396" s="5"/>
      <c r="R396" s="5"/>
      <c r="S396" s="5"/>
      <c r="T396" s="5"/>
      <c r="U396" s="5"/>
    </row>
    <row r="397" spans="1:21" ht="19.5" customHeight="1" x14ac:dyDescent="0.3">
      <c r="A397" s="5"/>
      <c r="B397" s="5"/>
      <c r="C397" s="5"/>
      <c r="D397" s="5"/>
      <c r="E397" s="6"/>
      <c r="F397" s="6"/>
      <c r="G397" s="6"/>
      <c r="H397" s="7"/>
      <c r="I397" s="8"/>
      <c r="J397" s="8"/>
      <c r="K397" s="8"/>
      <c r="L397" s="8"/>
      <c r="M397" s="8"/>
      <c r="N397" s="5"/>
      <c r="O397" s="5"/>
      <c r="P397" s="5"/>
      <c r="Q397" s="5"/>
      <c r="R397" s="5"/>
      <c r="S397" s="5"/>
      <c r="T397" s="5"/>
      <c r="U397" s="5"/>
    </row>
    <row r="398" spans="1:21" ht="19.5" customHeight="1" x14ac:dyDescent="0.3">
      <c r="A398" s="5"/>
      <c r="B398" s="5"/>
      <c r="C398" s="5"/>
      <c r="D398" s="5"/>
      <c r="E398" s="6"/>
      <c r="F398" s="6"/>
      <c r="G398" s="6"/>
      <c r="H398" s="7"/>
      <c r="I398" s="8"/>
      <c r="J398" s="8"/>
      <c r="K398" s="8"/>
      <c r="L398" s="8"/>
      <c r="M398" s="8"/>
      <c r="N398" s="5"/>
      <c r="O398" s="5"/>
      <c r="P398" s="5"/>
      <c r="Q398" s="5"/>
      <c r="R398" s="5"/>
      <c r="S398" s="5"/>
      <c r="T398" s="5"/>
      <c r="U398" s="5"/>
    </row>
    <row r="399" spans="1:21" ht="19.5" customHeight="1" x14ac:dyDescent="0.3">
      <c r="A399" s="5"/>
      <c r="B399" s="5"/>
      <c r="C399" s="5"/>
      <c r="D399" s="5"/>
      <c r="E399" s="6"/>
      <c r="F399" s="6"/>
      <c r="G399" s="6"/>
      <c r="H399" s="7"/>
      <c r="I399" s="8"/>
      <c r="J399" s="8"/>
      <c r="K399" s="8"/>
      <c r="L399" s="8"/>
      <c r="M399" s="8"/>
      <c r="N399" s="5"/>
      <c r="O399" s="5"/>
      <c r="P399" s="5"/>
      <c r="Q399" s="5"/>
      <c r="R399" s="5"/>
      <c r="S399" s="5"/>
      <c r="T399" s="5"/>
      <c r="U399" s="5"/>
    </row>
    <row r="400" spans="1:21" ht="19.5" customHeight="1" x14ac:dyDescent="0.3">
      <c r="A400" s="5"/>
      <c r="B400" s="5"/>
      <c r="C400" s="5"/>
      <c r="D400" s="5"/>
      <c r="E400" s="6"/>
      <c r="F400" s="6"/>
      <c r="G400" s="6"/>
      <c r="H400" s="7"/>
      <c r="I400" s="8"/>
      <c r="J400" s="8"/>
      <c r="K400" s="8"/>
      <c r="L400" s="8"/>
      <c r="M400" s="8"/>
      <c r="N400" s="5"/>
      <c r="O400" s="5"/>
      <c r="P400" s="5"/>
      <c r="Q400" s="5"/>
      <c r="R400" s="5"/>
      <c r="S400" s="5"/>
      <c r="T400" s="5"/>
      <c r="U400" s="5"/>
    </row>
    <row r="401" spans="1:21" ht="19.5" customHeight="1" x14ac:dyDescent="0.3">
      <c r="A401" s="5"/>
      <c r="B401" s="5"/>
      <c r="C401" s="5"/>
      <c r="D401" s="5"/>
      <c r="E401" s="6"/>
      <c r="F401" s="6"/>
      <c r="G401" s="6"/>
      <c r="H401" s="7"/>
      <c r="I401" s="8"/>
      <c r="J401" s="8"/>
      <c r="K401" s="8"/>
      <c r="L401" s="8"/>
      <c r="M401" s="8"/>
      <c r="N401" s="5"/>
      <c r="O401" s="5"/>
      <c r="P401" s="5"/>
      <c r="Q401" s="5"/>
      <c r="R401" s="5"/>
      <c r="S401" s="5"/>
      <c r="T401" s="5"/>
      <c r="U401" s="5"/>
    </row>
    <row r="402" spans="1:21" ht="19.5" customHeight="1" x14ac:dyDescent="0.3">
      <c r="A402" s="5"/>
      <c r="B402" s="5"/>
      <c r="C402" s="5"/>
      <c r="D402" s="5"/>
      <c r="E402" s="6"/>
      <c r="F402" s="6"/>
      <c r="G402" s="6"/>
      <c r="H402" s="7"/>
      <c r="I402" s="8"/>
      <c r="J402" s="8"/>
      <c r="K402" s="8"/>
      <c r="L402" s="8"/>
      <c r="M402" s="8"/>
      <c r="N402" s="5"/>
      <c r="O402" s="5"/>
      <c r="P402" s="5"/>
      <c r="Q402" s="5"/>
      <c r="R402" s="5"/>
      <c r="S402" s="5"/>
      <c r="T402" s="5"/>
      <c r="U402" s="5"/>
    </row>
    <row r="403" spans="1:21" ht="19.5" customHeight="1" x14ac:dyDescent="0.3">
      <c r="A403" s="5"/>
      <c r="B403" s="5"/>
      <c r="C403" s="5"/>
      <c r="D403" s="5"/>
      <c r="E403" s="6"/>
      <c r="F403" s="6"/>
      <c r="G403" s="6"/>
      <c r="H403" s="7"/>
      <c r="I403" s="8"/>
      <c r="J403" s="8"/>
      <c r="K403" s="8"/>
      <c r="L403" s="8"/>
      <c r="M403" s="8"/>
      <c r="N403" s="5"/>
      <c r="O403" s="5"/>
      <c r="P403" s="5"/>
      <c r="Q403" s="5"/>
      <c r="R403" s="5"/>
      <c r="S403" s="5"/>
      <c r="T403" s="5"/>
      <c r="U403" s="5"/>
    </row>
    <row r="404" spans="1:21" ht="19.5" customHeight="1" x14ac:dyDescent="0.3">
      <c r="A404" s="5"/>
      <c r="B404" s="5"/>
      <c r="C404" s="5"/>
      <c r="D404" s="5"/>
      <c r="E404" s="6"/>
      <c r="F404" s="6"/>
      <c r="G404" s="6"/>
      <c r="H404" s="7"/>
      <c r="I404" s="8"/>
      <c r="J404" s="8"/>
      <c r="K404" s="8"/>
      <c r="L404" s="8"/>
      <c r="M404" s="8"/>
      <c r="N404" s="5"/>
      <c r="O404" s="5"/>
      <c r="P404" s="5"/>
      <c r="Q404" s="5"/>
      <c r="R404" s="5"/>
      <c r="S404" s="5"/>
      <c r="T404" s="5"/>
      <c r="U404" s="5"/>
    </row>
    <row r="405" spans="1:21" ht="19.5" customHeight="1" x14ac:dyDescent="0.3">
      <c r="A405" s="5"/>
      <c r="B405" s="5"/>
      <c r="C405" s="5"/>
      <c r="D405" s="5"/>
      <c r="E405" s="6"/>
      <c r="F405" s="6"/>
      <c r="G405" s="6"/>
      <c r="H405" s="7"/>
      <c r="I405" s="8"/>
      <c r="J405" s="8"/>
      <c r="K405" s="8"/>
      <c r="L405" s="8"/>
      <c r="M405" s="8"/>
      <c r="N405" s="5"/>
      <c r="O405" s="5"/>
      <c r="P405" s="5"/>
      <c r="Q405" s="5"/>
      <c r="R405" s="5"/>
      <c r="S405" s="5"/>
      <c r="T405" s="5"/>
      <c r="U405" s="5"/>
    </row>
    <row r="406" spans="1:21" ht="19.5" customHeight="1" x14ac:dyDescent="0.3">
      <c r="A406" s="5"/>
      <c r="B406" s="5"/>
      <c r="C406" s="5"/>
      <c r="D406" s="5"/>
      <c r="E406" s="6"/>
      <c r="F406" s="6"/>
      <c r="G406" s="6"/>
      <c r="H406" s="7"/>
      <c r="I406" s="8"/>
      <c r="J406" s="8"/>
      <c r="K406" s="8"/>
      <c r="L406" s="8"/>
      <c r="M406" s="8"/>
      <c r="N406" s="5"/>
      <c r="O406" s="5"/>
      <c r="P406" s="5"/>
      <c r="Q406" s="5"/>
      <c r="R406" s="5"/>
      <c r="S406" s="5"/>
      <c r="T406" s="5"/>
      <c r="U406" s="5"/>
    </row>
    <row r="407" spans="1:21" ht="19.5" customHeight="1" x14ac:dyDescent="0.3">
      <c r="A407" s="5"/>
      <c r="B407" s="5"/>
      <c r="C407" s="5"/>
      <c r="D407" s="5"/>
      <c r="E407" s="6"/>
      <c r="F407" s="6"/>
      <c r="G407" s="6"/>
      <c r="H407" s="7"/>
      <c r="I407" s="8"/>
      <c r="J407" s="8"/>
      <c r="K407" s="8"/>
      <c r="L407" s="8"/>
      <c r="M407" s="8"/>
      <c r="N407" s="5"/>
      <c r="O407" s="5"/>
      <c r="P407" s="5"/>
      <c r="Q407" s="5"/>
      <c r="R407" s="5"/>
      <c r="S407" s="5"/>
      <c r="T407" s="5"/>
      <c r="U407" s="5"/>
    </row>
    <row r="408" spans="1:21" ht="19.5" customHeight="1" x14ac:dyDescent="0.3">
      <c r="A408" s="5"/>
      <c r="B408" s="5"/>
      <c r="C408" s="5"/>
      <c r="D408" s="5"/>
      <c r="E408" s="6"/>
      <c r="F408" s="6"/>
      <c r="G408" s="6"/>
      <c r="H408" s="7"/>
      <c r="I408" s="8"/>
      <c r="J408" s="8"/>
      <c r="K408" s="8"/>
      <c r="L408" s="8"/>
      <c r="M408" s="8"/>
      <c r="N408" s="5"/>
      <c r="O408" s="5"/>
      <c r="P408" s="5"/>
      <c r="Q408" s="5"/>
      <c r="R408" s="5"/>
      <c r="S408" s="5"/>
      <c r="T408" s="5"/>
      <c r="U408" s="5"/>
    </row>
    <row r="409" spans="1:21" ht="19.5" customHeight="1" x14ac:dyDescent="0.3">
      <c r="A409" s="5"/>
      <c r="B409" s="5"/>
      <c r="C409" s="5"/>
      <c r="D409" s="5"/>
      <c r="E409" s="6"/>
      <c r="F409" s="6"/>
      <c r="G409" s="6"/>
      <c r="H409" s="7"/>
      <c r="I409" s="8"/>
      <c r="J409" s="8"/>
      <c r="K409" s="8"/>
      <c r="L409" s="8"/>
      <c r="M409" s="8"/>
      <c r="N409" s="5"/>
      <c r="O409" s="5"/>
      <c r="P409" s="5"/>
      <c r="Q409" s="5"/>
      <c r="R409" s="5"/>
      <c r="S409" s="5"/>
      <c r="T409" s="5"/>
      <c r="U409" s="5"/>
    </row>
    <row r="410" spans="1:21" ht="19.5" customHeight="1" x14ac:dyDescent="0.3">
      <c r="A410" s="5"/>
      <c r="B410" s="5"/>
      <c r="C410" s="5"/>
      <c r="D410" s="5"/>
      <c r="E410" s="6"/>
      <c r="F410" s="6"/>
      <c r="G410" s="6"/>
      <c r="H410" s="7"/>
      <c r="I410" s="8"/>
      <c r="J410" s="8"/>
      <c r="K410" s="8"/>
      <c r="L410" s="8"/>
      <c r="M410" s="8"/>
      <c r="N410" s="5"/>
      <c r="O410" s="5"/>
      <c r="P410" s="5"/>
      <c r="Q410" s="5"/>
      <c r="R410" s="5"/>
      <c r="S410" s="5"/>
      <c r="T410" s="5"/>
      <c r="U410" s="5"/>
    </row>
    <row r="411" spans="1:21" ht="19.5" customHeight="1" x14ac:dyDescent="0.3">
      <c r="A411" s="5"/>
      <c r="B411" s="5"/>
      <c r="C411" s="5"/>
      <c r="D411" s="5"/>
      <c r="E411" s="6"/>
      <c r="F411" s="6"/>
      <c r="G411" s="6"/>
      <c r="H411" s="7"/>
      <c r="I411" s="8"/>
      <c r="J411" s="8"/>
      <c r="K411" s="8"/>
      <c r="L411" s="8"/>
      <c r="M411" s="8"/>
      <c r="N411" s="5"/>
      <c r="O411" s="5"/>
      <c r="P411" s="5"/>
      <c r="Q411" s="5"/>
      <c r="R411" s="5"/>
      <c r="S411" s="5"/>
      <c r="T411" s="5"/>
      <c r="U411" s="5"/>
    </row>
    <row r="412" spans="1:21" ht="19.5" customHeight="1" x14ac:dyDescent="0.3">
      <c r="A412" s="5"/>
      <c r="B412" s="5"/>
      <c r="C412" s="5"/>
      <c r="D412" s="5"/>
      <c r="E412" s="6"/>
      <c r="F412" s="6"/>
      <c r="G412" s="6"/>
      <c r="H412" s="7"/>
      <c r="I412" s="8"/>
      <c r="J412" s="8"/>
      <c r="K412" s="8"/>
      <c r="L412" s="8"/>
      <c r="M412" s="8"/>
      <c r="N412" s="5"/>
      <c r="O412" s="5"/>
      <c r="P412" s="5"/>
      <c r="Q412" s="5"/>
      <c r="R412" s="5"/>
      <c r="S412" s="5"/>
      <c r="T412" s="5"/>
      <c r="U412" s="5"/>
    </row>
    <row r="413" spans="1:21" ht="19.5" customHeight="1" x14ac:dyDescent="0.3">
      <c r="A413" s="5"/>
      <c r="B413" s="5"/>
      <c r="C413" s="5"/>
      <c r="D413" s="5"/>
      <c r="E413" s="6"/>
      <c r="F413" s="6"/>
      <c r="G413" s="6"/>
      <c r="H413" s="7"/>
      <c r="I413" s="8"/>
      <c r="J413" s="8"/>
      <c r="K413" s="8"/>
      <c r="L413" s="8"/>
      <c r="M413" s="8"/>
      <c r="N413" s="5"/>
      <c r="O413" s="5"/>
      <c r="P413" s="5"/>
      <c r="Q413" s="5"/>
      <c r="R413" s="5"/>
      <c r="S413" s="5"/>
      <c r="T413" s="5"/>
      <c r="U413" s="5"/>
    </row>
    <row r="414" spans="1:21" ht="19.5" customHeight="1" x14ac:dyDescent="0.3">
      <c r="A414" s="5"/>
      <c r="B414" s="5"/>
      <c r="C414" s="5"/>
      <c r="D414" s="5"/>
      <c r="E414" s="6"/>
      <c r="F414" s="6"/>
      <c r="G414" s="6"/>
      <c r="H414" s="7"/>
      <c r="I414" s="8"/>
      <c r="J414" s="8"/>
      <c r="K414" s="8"/>
      <c r="L414" s="8"/>
      <c r="M414" s="8"/>
      <c r="N414" s="5"/>
      <c r="O414" s="5"/>
      <c r="P414" s="5"/>
      <c r="Q414" s="5"/>
      <c r="R414" s="5"/>
      <c r="S414" s="5"/>
      <c r="T414" s="5"/>
      <c r="U414" s="5"/>
    </row>
    <row r="415" spans="1:21" ht="19.5" customHeight="1" x14ac:dyDescent="0.3">
      <c r="A415" s="5"/>
      <c r="B415" s="5"/>
      <c r="C415" s="5"/>
      <c r="D415" s="5"/>
      <c r="E415" s="6"/>
      <c r="F415" s="6"/>
      <c r="G415" s="6"/>
      <c r="H415" s="7"/>
      <c r="I415" s="8"/>
      <c r="J415" s="8"/>
      <c r="K415" s="8"/>
      <c r="L415" s="8"/>
      <c r="M415" s="8"/>
      <c r="N415" s="5"/>
      <c r="O415" s="5"/>
      <c r="P415" s="5"/>
      <c r="Q415" s="5"/>
      <c r="R415" s="5"/>
      <c r="S415" s="5"/>
      <c r="T415" s="5"/>
      <c r="U415" s="5"/>
    </row>
    <row r="416" spans="1:21" ht="19.5" customHeight="1" x14ac:dyDescent="0.3">
      <c r="A416" s="5"/>
      <c r="B416" s="5"/>
      <c r="C416" s="5"/>
      <c r="D416" s="5"/>
      <c r="E416" s="6"/>
      <c r="F416" s="6"/>
      <c r="G416" s="6"/>
      <c r="H416" s="7"/>
      <c r="I416" s="8"/>
      <c r="J416" s="8"/>
      <c r="K416" s="8"/>
      <c r="L416" s="8"/>
      <c r="M416" s="8"/>
      <c r="N416" s="5"/>
      <c r="O416" s="5"/>
      <c r="P416" s="5"/>
      <c r="Q416" s="5"/>
      <c r="R416" s="5"/>
      <c r="S416" s="5"/>
      <c r="T416" s="5"/>
      <c r="U416" s="5"/>
    </row>
    <row r="417" spans="1:21" ht="19.5" customHeight="1" x14ac:dyDescent="0.3">
      <c r="A417" s="5"/>
      <c r="B417" s="5"/>
      <c r="C417" s="5"/>
      <c r="D417" s="5"/>
      <c r="E417" s="6"/>
      <c r="F417" s="6"/>
      <c r="G417" s="6"/>
      <c r="H417" s="7"/>
      <c r="I417" s="8"/>
      <c r="J417" s="8"/>
      <c r="K417" s="8"/>
      <c r="L417" s="8"/>
      <c r="M417" s="8"/>
      <c r="N417" s="5"/>
      <c r="O417" s="5"/>
      <c r="P417" s="5"/>
      <c r="Q417" s="5"/>
      <c r="R417" s="5"/>
      <c r="S417" s="5"/>
      <c r="T417" s="5"/>
      <c r="U417" s="5"/>
    </row>
    <row r="418" spans="1:21" ht="19.5" customHeight="1" x14ac:dyDescent="0.3">
      <c r="A418" s="5"/>
      <c r="B418" s="5"/>
      <c r="C418" s="5"/>
      <c r="D418" s="5"/>
      <c r="E418" s="6"/>
      <c r="F418" s="6"/>
      <c r="G418" s="6"/>
      <c r="H418" s="7"/>
      <c r="I418" s="8"/>
      <c r="J418" s="8"/>
      <c r="K418" s="8"/>
      <c r="L418" s="8"/>
      <c r="M418" s="8"/>
      <c r="N418" s="5"/>
      <c r="O418" s="5"/>
      <c r="P418" s="5"/>
      <c r="Q418" s="5"/>
      <c r="R418" s="5"/>
      <c r="S418" s="5"/>
      <c r="T418" s="5"/>
      <c r="U418" s="5"/>
    </row>
    <row r="419" spans="1:21" ht="19.5" customHeight="1" x14ac:dyDescent="0.3">
      <c r="A419" s="5"/>
      <c r="B419" s="5"/>
      <c r="C419" s="5"/>
      <c r="D419" s="5"/>
      <c r="E419" s="6"/>
      <c r="F419" s="6"/>
      <c r="G419" s="6"/>
      <c r="H419" s="7"/>
      <c r="I419" s="8"/>
      <c r="J419" s="8"/>
      <c r="K419" s="8"/>
      <c r="L419" s="8"/>
      <c r="M419" s="8"/>
      <c r="N419" s="5"/>
      <c r="O419" s="5"/>
      <c r="P419" s="5"/>
      <c r="Q419" s="5"/>
      <c r="R419" s="5"/>
      <c r="S419" s="5"/>
      <c r="T419" s="5"/>
      <c r="U419" s="5"/>
    </row>
    <row r="420" spans="1:21" ht="19.5" customHeight="1" x14ac:dyDescent="0.3">
      <c r="A420" s="5"/>
      <c r="B420" s="5"/>
      <c r="C420" s="5"/>
      <c r="D420" s="5"/>
      <c r="E420" s="6"/>
      <c r="F420" s="6"/>
      <c r="G420" s="6"/>
      <c r="H420" s="7"/>
      <c r="I420" s="8"/>
      <c r="J420" s="8"/>
      <c r="K420" s="8"/>
      <c r="L420" s="8"/>
      <c r="M420" s="8"/>
      <c r="N420" s="5"/>
      <c r="O420" s="5"/>
      <c r="P420" s="5"/>
      <c r="Q420" s="5"/>
      <c r="R420" s="5"/>
      <c r="S420" s="5"/>
      <c r="T420" s="5"/>
      <c r="U420" s="5"/>
    </row>
    <row r="421" spans="1:21" ht="19.5" customHeight="1" x14ac:dyDescent="0.3">
      <c r="A421" s="5"/>
      <c r="B421" s="5"/>
      <c r="C421" s="5"/>
      <c r="D421" s="5"/>
      <c r="E421" s="6"/>
      <c r="F421" s="6"/>
      <c r="G421" s="6"/>
      <c r="H421" s="7"/>
      <c r="I421" s="8"/>
      <c r="J421" s="8"/>
      <c r="K421" s="8"/>
      <c r="L421" s="8"/>
      <c r="M421" s="8"/>
      <c r="N421" s="5"/>
      <c r="O421" s="5"/>
      <c r="P421" s="5"/>
      <c r="Q421" s="5"/>
      <c r="R421" s="5"/>
      <c r="S421" s="5"/>
      <c r="T421" s="5"/>
      <c r="U421" s="5"/>
    </row>
    <row r="422" spans="1:21" ht="19.5" customHeight="1" x14ac:dyDescent="0.3">
      <c r="A422" s="5"/>
      <c r="B422" s="5"/>
      <c r="C422" s="5"/>
      <c r="D422" s="5"/>
      <c r="E422" s="6"/>
      <c r="F422" s="6"/>
      <c r="G422" s="6"/>
      <c r="H422" s="7"/>
      <c r="I422" s="8"/>
      <c r="J422" s="8"/>
      <c r="K422" s="8"/>
      <c r="L422" s="8"/>
      <c r="M422" s="8"/>
      <c r="N422" s="5"/>
      <c r="O422" s="5"/>
      <c r="P422" s="5"/>
      <c r="Q422" s="5"/>
      <c r="R422" s="5"/>
      <c r="S422" s="5"/>
      <c r="T422" s="5"/>
      <c r="U422" s="5"/>
    </row>
    <row r="423" spans="1:21" ht="19.5" customHeight="1" x14ac:dyDescent="0.3">
      <c r="A423" s="5"/>
      <c r="B423" s="5"/>
      <c r="C423" s="5"/>
      <c r="D423" s="5"/>
      <c r="E423" s="6"/>
      <c r="F423" s="6"/>
      <c r="G423" s="6"/>
      <c r="H423" s="7"/>
      <c r="I423" s="8"/>
      <c r="J423" s="8"/>
      <c r="K423" s="8"/>
      <c r="L423" s="8"/>
      <c r="M423" s="8"/>
      <c r="N423" s="5"/>
      <c r="O423" s="5"/>
      <c r="P423" s="5"/>
      <c r="Q423" s="5"/>
      <c r="R423" s="5"/>
      <c r="S423" s="5"/>
      <c r="T423" s="5"/>
      <c r="U423" s="5"/>
    </row>
    <row r="424" spans="1:21" ht="19.5" customHeight="1" x14ac:dyDescent="0.3">
      <c r="A424" s="5"/>
      <c r="B424" s="5"/>
      <c r="C424" s="5"/>
      <c r="D424" s="5"/>
      <c r="E424" s="6"/>
      <c r="F424" s="6"/>
      <c r="G424" s="6"/>
      <c r="H424" s="7"/>
      <c r="I424" s="8"/>
      <c r="J424" s="8"/>
      <c r="K424" s="8"/>
      <c r="L424" s="8"/>
      <c r="M424" s="8"/>
      <c r="N424" s="5"/>
      <c r="O424" s="5"/>
      <c r="P424" s="5"/>
      <c r="Q424" s="5"/>
      <c r="R424" s="5"/>
      <c r="S424" s="5"/>
      <c r="T424" s="5"/>
      <c r="U424" s="5"/>
    </row>
    <row r="425" spans="1:21" ht="19.5" customHeight="1" x14ac:dyDescent="0.3">
      <c r="A425" s="5"/>
      <c r="B425" s="5"/>
      <c r="C425" s="5"/>
      <c r="D425" s="5"/>
      <c r="E425" s="6"/>
      <c r="F425" s="6"/>
      <c r="G425" s="6"/>
      <c r="H425" s="7"/>
      <c r="I425" s="8"/>
      <c r="J425" s="8"/>
      <c r="K425" s="8"/>
      <c r="L425" s="8"/>
      <c r="M425" s="8"/>
      <c r="N425" s="5"/>
      <c r="O425" s="5"/>
      <c r="P425" s="5"/>
      <c r="Q425" s="5"/>
      <c r="R425" s="5"/>
      <c r="S425" s="5"/>
      <c r="T425" s="5"/>
      <c r="U425" s="5"/>
    </row>
    <row r="426" spans="1:21" ht="19.5" customHeight="1" x14ac:dyDescent="0.3">
      <c r="A426" s="5"/>
      <c r="B426" s="5"/>
      <c r="C426" s="5"/>
      <c r="D426" s="5"/>
      <c r="E426" s="6"/>
      <c r="F426" s="6"/>
      <c r="G426" s="6"/>
      <c r="H426" s="7"/>
      <c r="I426" s="8"/>
      <c r="J426" s="8"/>
      <c r="K426" s="8"/>
      <c r="L426" s="8"/>
      <c r="M426" s="8"/>
      <c r="N426" s="5"/>
      <c r="O426" s="5"/>
      <c r="P426" s="5"/>
      <c r="Q426" s="5"/>
      <c r="R426" s="5"/>
      <c r="S426" s="5"/>
      <c r="T426" s="5"/>
      <c r="U426" s="5"/>
    </row>
    <row r="427" spans="1:21" ht="19.5" customHeight="1" x14ac:dyDescent="0.3">
      <c r="A427" s="5"/>
      <c r="B427" s="5"/>
      <c r="C427" s="5"/>
      <c r="D427" s="5"/>
      <c r="E427" s="6"/>
      <c r="F427" s="6"/>
      <c r="G427" s="6"/>
      <c r="H427" s="7"/>
      <c r="I427" s="8"/>
      <c r="J427" s="8"/>
      <c r="K427" s="8"/>
      <c r="L427" s="8"/>
      <c r="M427" s="8"/>
      <c r="N427" s="5"/>
      <c r="O427" s="5"/>
      <c r="P427" s="5"/>
      <c r="Q427" s="5"/>
      <c r="R427" s="5"/>
      <c r="S427" s="5"/>
      <c r="T427" s="5"/>
      <c r="U427" s="5"/>
    </row>
    <row r="428" spans="1:21" ht="19.5" customHeight="1" x14ac:dyDescent="0.3">
      <c r="A428" s="5"/>
      <c r="B428" s="5"/>
      <c r="C428" s="5"/>
      <c r="D428" s="5"/>
      <c r="E428" s="6"/>
      <c r="F428" s="6"/>
      <c r="G428" s="6"/>
      <c r="H428" s="7"/>
      <c r="I428" s="8"/>
      <c r="J428" s="8"/>
      <c r="K428" s="8"/>
      <c r="L428" s="8"/>
      <c r="M428" s="8"/>
      <c r="N428" s="5"/>
      <c r="O428" s="5"/>
      <c r="P428" s="5"/>
      <c r="Q428" s="5"/>
      <c r="R428" s="5"/>
      <c r="S428" s="5"/>
      <c r="T428" s="5"/>
      <c r="U428" s="5"/>
    </row>
    <row r="429" spans="1:21" ht="19.5" customHeight="1" x14ac:dyDescent="0.3">
      <c r="A429" s="5"/>
      <c r="B429" s="5"/>
      <c r="C429" s="5"/>
      <c r="D429" s="5"/>
      <c r="E429" s="6"/>
      <c r="F429" s="6"/>
      <c r="G429" s="6"/>
      <c r="H429" s="7"/>
      <c r="I429" s="8"/>
      <c r="J429" s="8"/>
      <c r="K429" s="8"/>
      <c r="L429" s="8"/>
      <c r="M429" s="8"/>
      <c r="N429" s="5"/>
      <c r="O429" s="5"/>
      <c r="P429" s="5"/>
      <c r="Q429" s="5"/>
      <c r="R429" s="5"/>
      <c r="S429" s="5"/>
      <c r="T429" s="5"/>
      <c r="U429" s="5"/>
    </row>
    <row r="430" spans="1:21" ht="19.5" customHeight="1" x14ac:dyDescent="0.3">
      <c r="A430" s="5"/>
      <c r="B430" s="5"/>
      <c r="C430" s="5"/>
      <c r="D430" s="5"/>
      <c r="E430" s="6"/>
      <c r="F430" s="6"/>
      <c r="G430" s="6"/>
      <c r="H430" s="7"/>
      <c r="I430" s="8"/>
      <c r="J430" s="8"/>
      <c r="K430" s="8"/>
      <c r="L430" s="8"/>
      <c r="M430" s="8"/>
      <c r="N430" s="5"/>
      <c r="O430" s="5"/>
      <c r="P430" s="5"/>
      <c r="Q430" s="5"/>
      <c r="R430" s="5"/>
      <c r="S430" s="5"/>
      <c r="T430" s="5"/>
      <c r="U430" s="5"/>
    </row>
    <row r="431" spans="1:21" ht="19.5" customHeight="1" x14ac:dyDescent="0.3">
      <c r="A431" s="5"/>
      <c r="B431" s="5"/>
      <c r="C431" s="5"/>
      <c r="D431" s="5"/>
      <c r="E431" s="6"/>
      <c r="F431" s="6"/>
      <c r="G431" s="6"/>
      <c r="H431" s="7"/>
      <c r="I431" s="8"/>
      <c r="J431" s="8"/>
      <c r="K431" s="8"/>
      <c r="L431" s="8"/>
      <c r="M431" s="8"/>
      <c r="N431" s="5"/>
      <c r="O431" s="5"/>
      <c r="P431" s="5"/>
      <c r="Q431" s="5"/>
      <c r="R431" s="5"/>
      <c r="S431" s="5"/>
      <c r="T431" s="5"/>
      <c r="U431" s="5"/>
    </row>
    <row r="432" spans="1:21" ht="19.5" customHeight="1" x14ac:dyDescent="0.3">
      <c r="A432" s="5"/>
      <c r="B432" s="5"/>
      <c r="C432" s="5"/>
      <c r="D432" s="5"/>
      <c r="E432" s="6"/>
      <c r="F432" s="6"/>
      <c r="G432" s="6"/>
      <c r="H432" s="7"/>
      <c r="I432" s="8"/>
      <c r="J432" s="8"/>
      <c r="K432" s="8"/>
      <c r="L432" s="8"/>
      <c r="M432" s="8"/>
      <c r="N432" s="5"/>
      <c r="O432" s="5"/>
      <c r="P432" s="5"/>
      <c r="Q432" s="5"/>
      <c r="R432" s="5"/>
      <c r="S432" s="5"/>
      <c r="T432" s="5"/>
      <c r="U432" s="5"/>
    </row>
    <row r="433" spans="1:21" ht="19.5" customHeight="1" x14ac:dyDescent="0.3">
      <c r="A433" s="5"/>
      <c r="B433" s="5"/>
      <c r="C433" s="5"/>
      <c r="D433" s="5"/>
      <c r="E433" s="6"/>
      <c r="F433" s="6"/>
      <c r="G433" s="6"/>
      <c r="H433" s="7"/>
      <c r="I433" s="8"/>
      <c r="J433" s="8"/>
      <c r="K433" s="8"/>
      <c r="L433" s="8"/>
      <c r="M433" s="8"/>
      <c r="N433" s="5"/>
      <c r="O433" s="5"/>
      <c r="P433" s="5"/>
      <c r="Q433" s="5"/>
      <c r="R433" s="5"/>
      <c r="S433" s="5"/>
      <c r="T433" s="5"/>
      <c r="U433" s="5"/>
    </row>
    <row r="434" spans="1:21" ht="19.5" customHeight="1" x14ac:dyDescent="0.3">
      <c r="A434" s="5"/>
      <c r="B434" s="5"/>
      <c r="C434" s="5"/>
      <c r="D434" s="5"/>
      <c r="E434" s="6"/>
      <c r="F434" s="6"/>
      <c r="G434" s="6"/>
      <c r="H434" s="7"/>
      <c r="I434" s="8"/>
      <c r="J434" s="8"/>
      <c r="K434" s="8"/>
      <c r="L434" s="8"/>
      <c r="M434" s="8"/>
      <c r="N434" s="5"/>
      <c r="O434" s="5"/>
      <c r="P434" s="5"/>
      <c r="Q434" s="5"/>
      <c r="R434" s="5"/>
      <c r="S434" s="5"/>
      <c r="T434" s="5"/>
      <c r="U434" s="5"/>
    </row>
    <row r="435" spans="1:21" ht="19.5" customHeight="1" x14ac:dyDescent="0.3">
      <c r="A435" s="5"/>
      <c r="B435" s="5"/>
      <c r="C435" s="5"/>
      <c r="D435" s="5"/>
      <c r="E435" s="6"/>
      <c r="F435" s="6"/>
      <c r="G435" s="6"/>
      <c r="H435" s="7"/>
      <c r="I435" s="8"/>
      <c r="J435" s="8"/>
      <c r="K435" s="8"/>
      <c r="L435" s="8"/>
      <c r="M435" s="8"/>
      <c r="N435" s="5"/>
      <c r="O435" s="5"/>
      <c r="P435" s="5"/>
      <c r="Q435" s="5"/>
      <c r="R435" s="5"/>
      <c r="S435" s="5"/>
      <c r="T435" s="5"/>
      <c r="U435" s="5"/>
    </row>
    <row r="436" spans="1:21" ht="19.5" customHeight="1" x14ac:dyDescent="0.3">
      <c r="A436" s="5"/>
      <c r="B436" s="5"/>
      <c r="C436" s="5"/>
      <c r="D436" s="5"/>
      <c r="E436" s="6"/>
      <c r="F436" s="6"/>
      <c r="G436" s="6"/>
      <c r="H436" s="7"/>
      <c r="I436" s="8"/>
      <c r="J436" s="8"/>
      <c r="K436" s="8"/>
      <c r="L436" s="8"/>
      <c r="M436" s="8"/>
      <c r="N436" s="5"/>
      <c r="O436" s="5"/>
      <c r="P436" s="5"/>
      <c r="Q436" s="5"/>
      <c r="R436" s="5"/>
      <c r="S436" s="5"/>
      <c r="T436" s="5"/>
      <c r="U436" s="5"/>
    </row>
    <row r="437" spans="1:21" ht="19.5" customHeight="1" x14ac:dyDescent="0.3">
      <c r="A437" s="5"/>
      <c r="B437" s="5"/>
      <c r="C437" s="5"/>
      <c r="D437" s="5"/>
      <c r="E437" s="6"/>
      <c r="F437" s="6"/>
      <c r="G437" s="6"/>
      <c r="H437" s="7"/>
      <c r="I437" s="8"/>
      <c r="J437" s="8"/>
      <c r="K437" s="8"/>
      <c r="L437" s="8"/>
      <c r="M437" s="8"/>
      <c r="N437" s="5"/>
      <c r="O437" s="5"/>
      <c r="P437" s="5"/>
      <c r="Q437" s="5"/>
      <c r="R437" s="5"/>
      <c r="S437" s="5"/>
      <c r="T437" s="5"/>
      <c r="U437" s="5"/>
    </row>
    <row r="438" spans="1:21" ht="19.5" customHeight="1" x14ac:dyDescent="0.3">
      <c r="A438" s="5"/>
      <c r="B438" s="5"/>
      <c r="C438" s="5"/>
      <c r="D438" s="5"/>
      <c r="E438" s="6"/>
      <c r="F438" s="6"/>
      <c r="G438" s="6"/>
      <c r="H438" s="7"/>
      <c r="I438" s="8"/>
      <c r="J438" s="8"/>
      <c r="K438" s="8"/>
      <c r="L438" s="8"/>
      <c r="M438" s="8"/>
      <c r="N438" s="5"/>
      <c r="O438" s="5"/>
      <c r="P438" s="5"/>
      <c r="Q438" s="5"/>
      <c r="R438" s="5"/>
      <c r="S438" s="5"/>
      <c r="T438" s="5"/>
      <c r="U438" s="5"/>
    </row>
    <row r="439" spans="1:21" ht="19.5" customHeight="1" x14ac:dyDescent="0.3">
      <c r="A439" s="5"/>
      <c r="B439" s="5"/>
      <c r="C439" s="5"/>
      <c r="D439" s="5"/>
      <c r="E439" s="6"/>
      <c r="F439" s="6"/>
      <c r="G439" s="6"/>
      <c r="H439" s="7"/>
      <c r="I439" s="8"/>
      <c r="J439" s="8"/>
      <c r="K439" s="8"/>
      <c r="L439" s="8"/>
      <c r="M439" s="8"/>
      <c r="N439" s="5"/>
      <c r="O439" s="5"/>
      <c r="P439" s="5"/>
      <c r="Q439" s="5"/>
      <c r="R439" s="5"/>
      <c r="S439" s="5"/>
      <c r="T439" s="5"/>
      <c r="U439" s="5"/>
    </row>
    <row r="440" spans="1:21" ht="19.5" customHeight="1" x14ac:dyDescent="0.3">
      <c r="A440" s="5"/>
      <c r="B440" s="5"/>
      <c r="C440" s="5"/>
      <c r="D440" s="5"/>
      <c r="E440" s="6"/>
      <c r="F440" s="6"/>
      <c r="G440" s="6"/>
      <c r="H440" s="7"/>
      <c r="I440" s="8"/>
      <c r="J440" s="8"/>
      <c r="K440" s="8"/>
      <c r="L440" s="8"/>
      <c r="M440" s="8"/>
      <c r="N440" s="5"/>
      <c r="O440" s="5"/>
      <c r="P440" s="5"/>
      <c r="Q440" s="5"/>
      <c r="R440" s="5"/>
      <c r="S440" s="5"/>
      <c r="T440" s="5"/>
      <c r="U440" s="5"/>
    </row>
    <row r="441" spans="1:21" ht="19.5" customHeight="1" x14ac:dyDescent="0.3">
      <c r="A441" s="5"/>
      <c r="B441" s="5"/>
      <c r="C441" s="5"/>
      <c r="D441" s="5"/>
      <c r="E441" s="6"/>
      <c r="F441" s="6"/>
      <c r="G441" s="6"/>
      <c r="H441" s="7"/>
      <c r="I441" s="8"/>
      <c r="J441" s="8"/>
      <c r="K441" s="8"/>
      <c r="L441" s="8"/>
      <c r="M441" s="8"/>
      <c r="N441" s="5"/>
      <c r="O441" s="5"/>
      <c r="P441" s="5"/>
      <c r="Q441" s="5"/>
      <c r="R441" s="5"/>
      <c r="S441" s="5"/>
      <c r="T441" s="5"/>
      <c r="U441" s="5"/>
    </row>
    <row r="442" spans="1:21" ht="19.5" customHeight="1" x14ac:dyDescent="0.3">
      <c r="A442" s="5"/>
      <c r="B442" s="5"/>
      <c r="C442" s="5"/>
      <c r="D442" s="5"/>
      <c r="E442" s="6"/>
      <c r="F442" s="6"/>
      <c r="G442" s="6"/>
      <c r="H442" s="7"/>
      <c r="I442" s="8"/>
      <c r="J442" s="8"/>
      <c r="K442" s="8"/>
      <c r="L442" s="8"/>
      <c r="M442" s="8"/>
      <c r="N442" s="5"/>
      <c r="O442" s="5"/>
      <c r="P442" s="5"/>
      <c r="Q442" s="5"/>
      <c r="R442" s="5"/>
      <c r="S442" s="5"/>
      <c r="T442" s="5"/>
      <c r="U442" s="5"/>
    </row>
    <row r="443" spans="1:21" ht="19.5" customHeight="1" x14ac:dyDescent="0.3">
      <c r="A443" s="5"/>
      <c r="B443" s="5"/>
      <c r="C443" s="5"/>
      <c r="D443" s="5"/>
      <c r="E443" s="6"/>
      <c r="F443" s="6"/>
      <c r="G443" s="6"/>
      <c r="H443" s="7"/>
      <c r="I443" s="8"/>
      <c r="J443" s="8"/>
      <c r="K443" s="8"/>
      <c r="L443" s="8"/>
      <c r="M443" s="8"/>
      <c r="N443" s="5"/>
      <c r="O443" s="5"/>
      <c r="P443" s="5"/>
      <c r="Q443" s="5"/>
      <c r="R443" s="5"/>
      <c r="S443" s="5"/>
      <c r="T443" s="5"/>
      <c r="U443" s="5"/>
    </row>
    <row r="444" spans="1:21" ht="19.5" customHeight="1" x14ac:dyDescent="0.3">
      <c r="A444" s="5"/>
      <c r="B444" s="5"/>
      <c r="C444" s="5"/>
      <c r="D444" s="5"/>
      <c r="E444" s="6"/>
      <c r="F444" s="6"/>
      <c r="G444" s="6"/>
      <c r="H444" s="7"/>
      <c r="I444" s="8"/>
      <c r="J444" s="8"/>
      <c r="K444" s="8"/>
      <c r="L444" s="8"/>
      <c r="M444" s="8"/>
      <c r="N444" s="5"/>
      <c r="O444" s="5"/>
      <c r="P444" s="5"/>
      <c r="Q444" s="5"/>
      <c r="R444" s="5"/>
      <c r="S444" s="5"/>
      <c r="T444" s="5"/>
      <c r="U444" s="5"/>
    </row>
    <row r="445" spans="1:21" ht="19.5" customHeight="1" x14ac:dyDescent="0.3">
      <c r="A445" s="5"/>
      <c r="B445" s="5"/>
      <c r="C445" s="5"/>
      <c r="D445" s="5"/>
      <c r="E445" s="6"/>
      <c r="F445" s="6"/>
      <c r="G445" s="6"/>
      <c r="H445" s="7"/>
      <c r="I445" s="8"/>
      <c r="J445" s="8"/>
      <c r="K445" s="8"/>
      <c r="L445" s="8"/>
      <c r="M445" s="8"/>
      <c r="N445" s="5"/>
      <c r="O445" s="5"/>
      <c r="P445" s="5"/>
      <c r="Q445" s="5"/>
      <c r="R445" s="5"/>
      <c r="S445" s="5"/>
      <c r="T445" s="5"/>
      <c r="U445" s="5"/>
    </row>
    <row r="446" spans="1:21" ht="19.5" customHeight="1" x14ac:dyDescent="0.3">
      <c r="A446" s="5"/>
      <c r="B446" s="5"/>
      <c r="C446" s="5"/>
      <c r="D446" s="5"/>
      <c r="E446" s="6"/>
      <c r="F446" s="6"/>
      <c r="G446" s="6"/>
      <c r="H446" s="7"/>
      <c r="I446" s="8"/>
      <c r="J446" s="8"/>
      <c r="K446" s="8"/>
      <c r="L446" s="8"/>
      <c r="M446" s="8"/>
      <c r="N446" s="5"/>
      <c r="O446" s="5"/>
      <c r="P446" s="5"/>
      <c r="Q446" s="5"/>
      <c r="R446" s="5"/>
      <c r="S446" s="5"/>
      <c r="T446" s="5"/>
      <c r="U446" s="5"/>
    </row>
    <row r="447" spans="1:21" ht="19.5" customHeight="1" x14ac:dyDescent="0.3">
      <c r="A447" s="5"/>
      <c r="B447" s="5"/>
      <c r="C447" s="5"/>
      <c r="D447" s="5"/>
      <c r="E447" s="6"/>
      <c r="F447" s="6"/>
      <c r="G447" s="6"/>
      <c r="H447" s="7"/>
      <c r="I447" s="8"/>
      <c r="J447" s="8"/>
      <c r="K447" s="8"/>
      <c r="L447" s="8"/>
      <c r="M447" s="8"/>
      <c r="N447" s="5"/>
      <c r="O447" s="5"/>
      <c r="P447" s="5"/>
      <c r="Q447" s="5"/>
      <c r="R447" s="5"/>
      <c r="S447" s="5"/>
      <c r="T447" s="5"/>
      <c r="U447" s="5"/>
    </row>
    <row r="448" spans="1:21" ht="19.5" customHeight="1" x14ac:dyDescent="0.3">
      <c r="A448" s="5"/>
      <c r="B448" s="5"/>
      <c r="C448" s="5"/>
      <c r="D448" s="5"/>
      <c r="E448" s="6"/>
      <c r="F448" s="6"/>
      <c r="G448" s="6"/>
      <c r="H448" s="7"/>
      <c r="I448" s="8"/>
      <c r="J448" s="8"/>
      <c r="K448" s="8"/>
      <c r="L448" s="8"/>
      <c r="M448" s="8"/>
      <c r="N448" s="5"/>
      <c r="O448" s="5"/>
      <c r="P448" s="5"/>
      <c r="Q448" s="5"/>
      <c r="R448" s="5"/>
      <c r="S448" s="5"/>
      <c r="T448" s="5"/>
      <c r="U448" s="5"/>
    </row>
    <row r="449" spans="1:21" ht="19.5" customHeight="1" x14ac:dyDescent="0.3">
      <c r="A449" s="5"/>
      <c r="B449" s="5"/>
      <c r="C449" s="5"/>
      <c r="D449" s="5"/>
      <c r="E449" s="6"/>
      <c r="F449" s="6"/>
      <c r="G449" s="6"/>
      <c r="H449" s="7"/>
      <c r="I449" s="8"/>
      <c r="J449" s="8"/>
      <c r="K449" s="8"/>
      <c r="L449" s="8"/>
      <c r="M449" s="8"/>
      <c r="N449" s="5"/>
      <c r="O449" s="5"/>
      <c r="P449" s="5"/>
      <c r="Q449" s="5"/>
      <c r="R449" s="5"/>
      <c r="S449" s="5"/>
      <c r="T449" s="5"/>
      <c r="U449" s="5"/>
    </row>
    <row r="450" spans="1:21" ht="19.5" customHeight="1" x14ac:dyDescent="0.3">
      <c r="A450" s="5"/>
      <c r="B450" s="5"/>
      <c r="C450" s="5"/>
      <c r="D450" s="5"/>
      <c r="E450" s="6"/>
      <c r="F450" s="6"/>
      <c r="G450" s="6"/>
      <c r="H450" s="7"/>
      <c r="I450" s="8"/>
      <c r="J450" s="8"/>
      <c r="K450" s="8"/>
      <c r="L450" s="8"/>
      <c r="M450" s="8"/>
      <c r="N450" s="5"/>
      <c r="O450" s="5"/>
      <c r="P450" s="5"/>
      <c r="Q450" s="5"/>
      <c r="R450" s="5"/>
      <c r="S450" s="5"/>
      <c r="T450" s="5"/>
      <c r="U450" s="5"/>
    </row>
    <row r="451" spans="1:21" ht="19.5" customHeight="1" x14ac:dyDescent="0.3">
      <c r="A451" s="5"/>
      <c r="B451" s="5"/>
      <c r="C451" s="5"/>
      <c r="D451" s="5"/>
      <c r="E451" s="6"/>
      <c r="F451" s="6"/>
      <c r="G451" s="6"/>
      <c r="H451" s="7"/>
      <c r="I451" s="8"/>
      <c r="J451" s="8"/>
      <c r="K451" s="8"/>
      <c r="L451" s="8"/>
      <c r="M451" s="8"/>
      <c r="N451" s="5"/>
      <c r="O451" s="5"/>
      <c r="P451" s="5"/>
      <c r="Q451" s="5"/>
      <c r="R451" s="5"/>
      <c r="S451" s="5"/>
      <c r="T451" s="5"/>
      <c r="U451" s="5"/>
    </row>
    <row r="452" spans="1:21" ht="19.5" customHeight="1" x14ac:dyDescent="0.3">
      <c r="A452" s="5"/>
      <c r="B452" s="5"/>
      <c r="C452" s="5"/>
      <c r="D452" s="5"/>
      <c r="E452" s="6"/>
      <c r="F452" s="6"/>
      <c r="G452" s="6"/>
      <c r="H452" s="7"/>
      <c r="I452" s="8"/>
      <c r="J452" s="8"/>
      <c r="K452" s="8"/>
      <c r="L452" s="8"/>
      <c r="M452" s="8"/>
      <c r="N452" s="5"/>
      <c r="O452" s="5"/>
      <c r="P452" s="5"/>
      <c r="Q452" s="5"/>
      <c r="R452" s="5"/>
      <c r="S452" s="5"/>
      <c r="T452" s="5"/>
      <c r="U452" s="5"/>
    </row>
    <row r="453" spans="1:21" ht="19.5" customHeight="1" x14ac:dyDescent="0.3">
      <c r="A453" s="5"/>
      <c r="B453" s="5"/>
      <c r="C453" s="5"/>
      <c r="D453" s="5"/>
      <c r="E453" s="6"/>
      <c r="F453" s="6"/>
      <c r="G453" s="6"/>
      <c r="H453" s="7"/>
      <c r="I453" s="8"/>
      <c r="J453" s="8"/>
      <c r="K453" s="8"/>
      <c r="L453" s="8"/>
      <c r="M453" s="8"/>
      <c r="N453" s="5"/>
      <c r="O453" s="5"/>
      <c r="P453" s="5"/>
      <c r="Q453" s="5"/>
      <c r="R453" s="5"/>
      <c r="S453" s="5"/>
      <c r="T453" s="5"/>
      <c r="U453" s="5"/>
    </row>
    <row r="454" spans="1:21" ht="19.5" customHeight="1" x14ac:dyDescent="0.3">
      <c r="A454" s="5"/>
      <c r="B454" s="5"/>
      <c r="C454" s="5"/>
      <c r="D454" s="5"/>
      <c r="E454" s="6"/>
      <c r="F454" s="6"/>
      <c r="G454" s="6"/>
      <c r="H454" s="7"/>
      <c r="I454" s="8"/>
      <c r="J454" s="8"/>
      <c r="K454" s="8"/>
      <c r="L454" s="8"/>
      <c r="M454" s="8"/>
      <c r="N454" s="5"/>
      <c r="O454" s="5"/>
      <c r="P454" s="5"/>
      <c r="Q454" s="5"/>
      <c r="R454" s="5"/>
      <c r="S454" s="5"/>
      <c r="T454" s="5"/>
      <c r="U454" s="5"/>
    </row>
    <row r="455" spans="1:21" ht="19.5" customHeight="1" x14ac:dyDescent="0.3">
      <c r="A455" s="5"/>
      <c r="B455" s="5"/>
      <c r="C455" s="5"/>
      <c r="D455" s="5"/>
      <c r="E455" s="6"/>
      <c r="F455" s="6"/>
      <c r="G455" s="6"/>
      <c r="H455" s="7"/>
      <c r="I455" s="8"/>
      <c r="J455" s="8"/>
      <c r="K455" s="8"/>
      <c r="L455" s="8"/>
      <c r="M455" s="8"/>
      <c r="N455" s="5"/>
      <c r="O455" s="5"/>
      <c r="P455" s="5"/>
      <c r="Q455" s="5"/>
      <c r="R455" s="5"/>
      <c r="S455" s="5"/>
      <c r="T455" s="5"/>
      <c r="U455" s="5"/>
    </row>
    <row r="456" spans="1:21" ht="19.5" customHeight="1" x14ac:dyDescent="0.3">
      <c r="A456" s="5"/>
      <c r="B456" s="5"/>
      <c r="C456" s="5"/>
      <c r="D456" s="5"/>
      <c r="E456" s="6"/>
      <c r="F456" s="6"/>
      <c r="G456" s="6"/>
      <c r="H456" s="7"/>
      <c r="I456" s="8"/>
      <c r="J456" s="8"/>
      <c r="K456" s="8"/>
      <c r="L456" s="8"/>
      <c r="M456" s="8"/>
      <c r="N456" s="5"/>
      <c r="O456" s="5"/>
      <c r="P456" s="5"/>
      <c r="Q456" s="5"/>
      <c r="R456" s="5"/>
      <c r="S456" s="5"/>
      <c r="T456" s="5"/>
      <c r="U456" s="5"/>
    </row>
    <row r="457" spans="1:21" ht="19.5" customHeight="1" x14ac:dyDescent="0.3">
      <c r="A457" s="5"/>
      <c r="B457" s="5"/>
      <c r="C457" s="5"/>
      <c r="D457" s="5"/>
      <c r="E457" s="6"/>
      <c r="F457" s="6"/>
      <c r="G457" s="6"/>
      <c r="H457" s="7"/>
      <c r="I457" s="8"/>
      <c r="J457" s="8"/>
      <c r="K457" s="8"/>
      <c r="L457" s="8"/>
      <c r="M457" s="8"/>
      <c r="N457" s="5"/>
      <c r="O457" s="5"/>
      <c r="P457" s="5"/>
      <c r="Q457" s="5"/>
      <c r="R457" s="5"/>
      <c r="S457" s="5"/>
      <c r="T457" s="5"/>
      <c r="U457" s="5"/>
    </row>
    <row r="458" spans="1:21" ht="19.5" customHeight="1" x14ac:dyDescent="0.3">
      <c r="A458" s="5"/>
      <c r="B458" s="5"/>
      <c r="C458" s="5"/>
      <c r="D458" s="5"/>
      <c r="E458" s="6"/>
      <c r="F458" s="6"/>
      <c r="G458" s="6"/>
      <c r="H458" s="7"/>
      <c r="I458" s="8"/>
      <c r="J458" s="8"/>
      <c r="K458" s="8"/>
      <c r="L458" s="8"/>
      <c r="M458" s="8"/>
      <c r="N458" s="5"/>
      <c r="O458" s="5"/>
      <c r="P458" s="5"/>
      <c r="Q458" s="5"/>
      <c r="R458" s="5"/>
      <c r="S458" s="5"/>
      <c r="T458" s="5"/>
      <c r="U458" s="5"/>
    </row>
    <row r="459" spans="1:21" ht="19.5" customHeight="1" x14ac:dyDescent="0.3">
      <c r="A459" s="5"/>
      <c r="B459" s="5"/>
      <c r="C459" s="5"/>
      <c r="D459" s="5"/>
      <c r="E459" s="6"/>
      <c r="F459" s="6"/>
      <c r="G459" s="6"/>
      <c r="H459" s="7"/>
      <c r="I459" s="8"/>
      <c r="J459" s="8"/>
      <c r="K459" s="8"/>
      <c r="L459" s="8"/>
      <c r="M459" s="8"/>
      <c r="N459" s="5"/>
      <c r="O459" s="5"/>
      <c r="P459" s="5"/>
      <c r="Q459" s="5"/>
      <c r="R459" s="5"/>
      <c r="S459" s="5"/>
      <c r="T459" s="5"/>
      <c r="U459" s="5"/>
    </row>
    <row r="460" spans="1:21" ht="19.5" customHeight="1" x14ac:dyDescent="0.3">
      <c r="A460" s="5"/>
      <c r="B460" s="5"/>
      <c r="C460" s="5"/>
      <c r="D460" s="5"/>
      <c r="E460" s="6"/>
      <c r="F460" s="6"/>
      <c r="G460" s="6"/>
      <c r="H460" s="7"/>
      <c r="I460" s="8"/>
      <c r="J460" s="8"/>
      <c r="K460" s="8"/>
      <c r="L460" s="8"/>
      <c r="M460" s="8"/>
      <c r="N460" s="5"/>
      <c r="O460" s="5"/>
      <c r="P460" s="5"/>
      <c r="Q460" s="5"/>
      <c r="R460" s="5"/>
      <c r="S460" s="5"/>
      <c r="T460" s="5"/>
      <c r="U460" s="5"/>
    </row>
    <row r="461" spans="1:21" ht="19.5" customHeight="1" x14ac:dyDescent="0.3">
      <c r="A461" s="5"/>
      <c r="B461" s="5"/>
      <c r="C461" s="5"/>
      <c r="D461" s="5"/>
      <c r="E461" s="6"/>
      <c r="F461" s="6"/>
      <c r="G461" s="6"/>
      <c r="H461" s="7"/>
      <c r="I461" s="8"/>
      <c r="J461" s="8"/>
      <c r="K461" s="8"/>
      <c r="L461" s="8"/>
      <c r="M461" s="8"/>
      <c r="N461" s="5"/>
      <c r="O461" s="5"/>
      <c r="P461" s="5"/>
      <c r="Q461" s="5"/>
      <c r="R461" s="5"/>
      <c r="S461" s="5"/>
      <c r="T461" s="5"/>
      <c r="U461" s="5"/>
    </row>
    <row r="462" spans="1:21" ht="19.5" customHeight="1" x14ac:dyDescent="0.3">
      <c r="A462" s="5"/>
      <c r="B462" s="5"/>
      <c r="C462" s="5"/>
      <c r="D462" s="5"/>
      <c r="E462" s="6"/>
      <c r="F462" s="6"/>
      <c r="G462" s="6"/>
      <c r="H462" s="7"/>
      <c r="I462" s="8"/>
      <c r="J462" s="8"/>
      <c r="K462" s="8"/>
      <c r="L462" s="8"/>
      <c r="M462" s="8"/>
      <c r="N462" s="5"/>
      <c r="O462" s="5"/>
      <c r="P462" s="5"/>
      <c r="Q462" s="5"/>
      <c r="R462" s="5"/>
      <c r="S462" s="5"/>
      <c r="T462" s="5"/>
      <c r="U462" s="5"/>
    </row>
    <row r="463" spans="1:21" ht="19.5" customHeight="1" x14ac:dyDescent="0.3">
      <c r="A463" s="5"/>
      <c r="B463" s="5"/>
      <c r="C463" s="5"/>
      <c r="D463" s="5"/>
      <c r="E463" s="6"/>
      <c r="F463" s="6"/>
      <c r="G463" s="6"/>
      <c r="H463" s="7"/>
      <c r="I463" s="8"/>
      <c r="J463" s="8"/>
      <c r="K463" s="8"/>
      <c r="L463" s="8"/>
      <c r="M463" s="8"/>
      <c r="N463" s="5"/>
      <c r="O463" s="5"/>
      <c r="P463" s="5"/>
      <c r="Q463" s="5"/>
      <c r="R463" s="5"/>
      <c r="S463" s="5"/>
      <c r="T463" s="5"/>
      <c r="U463" s="5"/>
    </row>
    <row r="464" spans="1:21" ht="19.5" customHeight="1" x14ac:dyDescent="0.3">
      <c r="A464" s="5"/>
      <c r="B464" s="5"/>
      <c r="C464" s="5"/>
      <c r="D464" s="5"/>
      <c r="E464" s="6"/>
      <c r="F464" s="6"/>
      <c r="G464" s="6"/>
      <c r="H464" s="7"/>
      <c r="I464" s="8"/>
      <c r="J464" s="8"/>
      <c r="K464" s="8"/>
      <c r="L464" s="8"/>
      <c r="M464" s="8"/>
      <c r="N464" s="5"/>
      <c r="O464" s="5"/>
      <c r="P464" s="5"/>
      <c r="Q464" s="5"/>
      <c r="R464" s="5"/>
      <c r="S464" s="5"/>
      <c r="T464" s="5"/>
      <c r="U464" s="5"/>
    </row>
    <row r="465" spans="1:21" ht="19.5" customHeight="1" x14ac:dyDescent="0.3">
      <c r="A465" s="5"/>
      <c r="B465" s="5"/>
      <c r="C465" s="5"/>
      <c r="D465" s="5"/>
      <c r="E465" s="6"/>
      <c r="F465" s="6"/>
      <c r="G465" s="6"/>
      <c r="H465" s="7"/>
      <c r="I465" s="8"/>
      <c r="J465" s="8"/>
      <c r="K465" s="8"/>
      <c r="L465" s="8"/>
      <c r="M465" s="8"/>
      <c r="N465" s="5"/>
      <c r="O465" s="5"/>
      <c r="P465" s="5"/>
      <c r="Q465" s="5"/>
      <c r="R465" s="5"/>
      <c r="S465" s="5"/>
      <c r="T465" s="5"/>
      <c r="U465" s="5"/>
    </row>
    <row r="466" spans="1:21" ht="19.5" customHeight="1" x14ac:dyDescent="0.3">
      <c r="A466" s="5"/>
      <c r="B466" s="5"/>
      <c r="C466" s="5"/>
      <c r="D466" s="5"/>
      <c r="E466" s="6"/>
      <c r="F466" s="6"/>
      <c r="G466" s="6"/>
      <c r="H466" s="7"/>
      <c r="I466" s="8"/>
      <c r="J466" s="8"/>
      <c r="K466" s="8"/>
      <c r="L466" s="8"/>
      <c r="M466" s="8"/>
      <c r="N466" s="5"/>
      <c r="O466" s="5"/>
      <c r="P466" s="5"/>
      <c r="Q466" s="5"/>
      <c r="R466" s="5"/>
      <c r="S466" s="5"/>
      <c r="T466" s="5"/>
      <c r="U466" s="5"/>
    </row>
    <row r="467" spans="1:21" ht="19.5" customHeight="1" x14ac:dyDescent="0.3">
      <c r="A467" s="5"/>
      <c r="B467" s="5"/>
      <c r="C467" s="5"/>
      <c r="D467" s="5"/>
      <c r="E467" s="6"/>
      <c r="F467" s="6"/>
      <c r="G467" s="6"/>
      <c r="H467" s="7"/>
      <c r="I467" s="8"/>
      <c r="J467" s="8"/>
      <c r="K467" s="8"/>
      <c r="L467" s="8"/>
      <c r="M467" s="8"/>
      <c r="N467" s="5"/>
      <c r="O467" s="5"/>
      <c r="P467" s="5"/>
      <c r="Q467" s="5"/>
      <c r="R467" s="5"/>
      <c r="S467" s="5"/>
      <c r="T467" s="5"/>
      <c r="U467" s="5"/>
    </row>
    <row r="468" spans="1:21" ht="19.5" customHeight="1" x14ac:dyDescent="0.3">
      <c r="A468" s="5"/>
      <c r="B468" s="5"/>
      <c r="C468" s="5"/>
      <c r="D468" s="5"/>
      <c r="E468" s="6"/>
      <c r="F468" s="6"/>
      <c r="G468" s="6"/>
      <c r="H468" s="7"/>
      <c r="I468" s="8"/>
      <c r="J468" s="8"/>
      <c r="K468" s="8"/>
      <c r="L468" s="8"/>
      <c r="M468" s="8"/>
      <c r="N468" s="5"/>
      <c r="O468" s="5"/>
      <c r="P468" s="5"/>
      <c r="Q468" s="5"/>
      <c r="R468" s="5"/>
      <c r="S468" s="5"/>
      <c r="T468" s="5"/>
      <c r="U468" s="5"/>
    </row>
    <row r="469" spans="1:21" ht="19.5" customHeight="1" x14ac:dyDescent="0.3">
      <c r="A469" s="5"/>
      <c r="B469" s="5"/>
      <c r="C469" s="5"/>
      <c r="D469" s="5"/>
      <c r="E469" s="6"/>
      <c r="F469" s="6"/>
      <c r="G469" s="6"/>
      <c r="H469" s="7"/>
      <c r="I469" s="8"/>
      <c r="J469" s="8"/>
      <c r="K469" s="8"/>
      <c r="L469" s="8"/>
      <c r="M469" s="8"/>
      <c r="N469" s="5"/>
      <c r="O469" s="5"/>
      <c r="P469" s="5"/>
      <c r="Q469" s="5"/>
      <c r="R469" s="5"/>
      <c r="S469" s="5"/>
      <c r="T469" s="5"/>
      <c r="U469" s="5"/>
    </row>
    <row r="470" spans="1:21" ht="19.5" customHeight="1" x14ac:dyDescent="0.3">
      <c r="A470" s="5"/>
      <c r="B470" s="5"/>
      <c r="C470" s="5"/>
      <c r="D470" s="5"/>
      <c r="E470" s="6"/>
      <c r="F470" s="6"/>
      <c r="G470" s="6"/>
      <c r="H470" s="7"/>
      <c r="I470" s="8"/>
      <c r="J470" s="8"/>
      <c r="K470" s="8"/>
      <c r="L470" s="8"/>
      <c r="M470" s="8"/>
      <c r="N470" s="5"/>
      <c r="O470" s="5"/>
      <c r="P470" s="5"/>
      <c r="Q470" s="5"/>
      <c r="R470" s="5"/>
      <c r="S470" s="5"/>
      <c r="T470" s="5"/>
      <c r="U470" s="5"/>
    </row>
    <row r="471" spans="1:21" ht="19.5" customHeight="1" x14ac:dyDescent="0.3">
      <c r="A471" s="5"/>
      <c r="B471" s="5"/>
      <c r="C471" s="5"/>
      <c r="D471" s="5"/>
      <c r="E471" s="6"/>
      <c r="F471" s="6"/>
      <c r="G471" s="6"/>
      <c r="H471" s="7"/>
      <c r="I471" s="8"/>
      <c r="J471" s="8"/>
      <c r="K471" s="8"/>
      <c r="L471" s="8"/>
      <c r="M471" s="8"/>
      <c r="N471" s="5"/>
      <c r="O471" s="5"/>
      <c r="P471" s="5"/>
      <c r="Q471" s="5"/>
      <c r="R471" s="5"/>
      <c r="S471" s="5"/>
      <c r="T471" s="5"/>
      <c r="U471" s="5"/>
    </row>
    <row r="472" spans="1:21" ht="19.5" customHeight="1" x14ac:dyDescent="0.3">
      <c r="A472" s="5"/>
      <c r="B472" s="5"/>
      <c r="C472" s="5"/>
      <c r="D472" s="5"/>
      <c r="E472" s="6"/>
      <c r="F472" s="6"/>
      <c r="G472" s="6"/>
      <c r="H472" s="7"/>
      <c r="I472" s="8"/>
      <c r="J472" s="8"/>
      <c r="K472" s="8"/>
      <c r="L472" s="8"/>
      <c r="M472" s="8"/>
      <c r="N472" s="5"/>
      <c r="O472" s="5"/>
      <c r="P472" s="5"/>
      <c r="Q472" s="5"/>
      <c r="R472" s="5"/>
      <c r="S472" s="5"/>
      <c r="T472" s="5"/>
      <c r="U472" s="5"/>
    </row>
    <row r="473" spans="1:21" ht="19.5" customHeight="1" x14ac:dyDescent="0.3">
      <c r="A473" s="5"/>
      <c r="B473" s="5"/>
      <c r="C473" s="5"/>
      <c r="D473" s="5"/>
      <c r="E473" s="6"/>
      <c r="F473" s="6"/>
      <c r="G473" s="6"/>
      <c r="H473" s="7"/>
      <c r="I473" s="8"/>
      <c r="J473" s="8"/>
      <c r="K473" s="8"/>
      <c r="L473" s="8"/>
      <c r="M473" s="8"/>
      <c r="N473" s="5"/>
      <c r="O473" s="5"/>
      <c r="P473" s="5"/>
      <c r="Q473" s="5"/>
      <c r="R473" s="5"/>
      <c r="S473" s="5"/>
      <c r="T473" s="5"/>
      <c r="U473" s="5"/>
    </row>
    <row r="474" spans="1:21" ht="19.5" customHeight="1" x14ac:dyDescent="0.3">
      <c r="A474" s="5"/>
      <c r="B474" s="5"/>
      <c r="C474" s="5"/>
      <c r="D474" s="5"/>
      <c r="E474" s="6"/>
      <c r="F474" s="6"/>
      <c r="G474" s="6"/>
      <c r="H474" s="7"/>
      <c r="I474" s="8"/>
      <c r="J474" s="8"/>
      <c r="K474" s="8"/>
      <c r="L474" s="8"/>
      <c r="M474" s="8"/>
      <c r="N474" s="5"/>
      <c r="O474" s="5"/>
      <c r="P474" s="5"/>
      <c r="Q474" s="5"/>
      <c r="R474" s="5"/>
      <c r="S474" s="5"/>
      <c r="T474" s="5"/>
      <c r="U474" s="5"/>
    </row>
    <row r="475" spans="1:21" ht="19.5" customHeight="1" x14ac:dyDescent="0.3">
      <c r="A475" s="5"/>
      <c r="B475" s="5"/>
      <c r="C475" s="5"/>
      <c r="D475" s="5"/>
      <c r="E475" s="6"/>
      <c r="F475" s="6"/>
      <c r="G475" s="6"/>
      <c r="H475" s="7"/>
      <c r="I475" s="8"/>
      <c r="J475" s="8"/>
      <c r="K475" s="8"/>
      <c r="L475" s="8"/>
      <c r="M475" s="8"/>
      <c r="N475" s="5"/>
      <c r="O475" s="5"/>
      <c r="P475" s="5"/>
      <c r="Q475" s="5"/>
      <c r="R475" s="5"/>
      <c r="S475" s="5"/>
      <c r="T475" s="5"/>
      <c r="U475" s="5"/>
    </row>
    <row r="476" spans="1:21" ht="19.5" customHeight="1" x14ac:dyDescent="0.3">
      <c r="A476" s="5"/>
      <c r="B476" s="5"/>
      <c r="C476" s="5"/>
      <c r="D476" s="5"/>
      <c r="E476" s="6"/>
      <c r="F476" s="6"/>
      <c r="G476" s="6"/>
      <c r="H476" s="7"/>
      <c r="I476" s="8"/>
      <c r="J476" s="8"/>
      <c r="K476" s="8"/>
      <c r="L476" s="8"/>
      <c r="M476" s="8"/>
      <c r="N476" s="5"/>
      <c r="O476" s="5"/>
      <c r="P476" s="5"/>
      <c r="Q476" s="5"/>
      <c r="R476" s="5"/>
      <c r="S476" s="5"/>
      <c r="T476" s="5"/>
      <c r="U476" s="5"/>
    </row>
    <row r="477" spans="1:21" ht="19.5" customHeight="1" x14ac:dyDescent="0.3">
      <c r="A477" s="5"/>
      <c r="B477" s="5"/>
      <c r="C477" s="5"/>
      <c r="D477" s="5"/>
      <c r="E477" s="6"/>
      <c r="F477" s="6"/>
      <c r="G477" s="6"/>
      <c r="H477" s="7"/>
      <c r="I477" s="8"/>
      <c r="J477" s="8"/>
      <c r="K477" s="8"/>
      <c r="L477" s="8"/>
      <c r="M477" s="8"/>
      <c r="N477" s="5"/>
      <c r="O477" s="5"/>
      <c r="P477" s="5"/>
      <c r="Q477" s="5"/>
      <c r="R477" s="5"/>
      <c r="S477" s="5"/>
      <c r="T477" s="5"/>
      <c r="U477" s="5"/>
    </row>
    <row r="478" spans="1:21" ht="19.5" customHeight="1" x14ac:dyDescent="0.3">
      <c r="A478" s="5"/>
      <c r="B478" s="5"/>
      <c r="C478" s="5"/>
      <c r="D478" s="5"/>
      <c r="E478" s="6"/>
      <c r="F478" s="6"/>
      <c r="G478" s="6"/>
      <c r="H478" s="7"/>
      <c r="I478" s="8"/>
      <c r="J478" s="8"/>
      <c r="K478" s="8"/>
      <c r="L478" s="8"/>
      <c r="M478" s="8"/>
      <c r="N478" s="5"/>
      <c r="O478" s="5"/>
      <c r="P478" s="5"/>
      <c r="Q478" s="5"/>
      <c r="R478" s="5"/>
      <c r="S478" s="5"/>
      <c r="T478" s="5"/>
      <c r="U478" s="5"/>
    </row>
    <row r="479" spans="1:21" ht="19.5" customHeight="1" x14ac:dyDescent="0.3">
      <c r="A479" s="5"/>
      <c r="B479" s="5"/>
      <c r="C479" s="5"/>
      <c r="D479" s="5"/>
      <c r="E479" s="6"/>
      <c r="F479" s="6"/>
      <c r="G479" s="6"/>
      <c r="H479" s="7"/>
      <c r="I479" s="8"/>
      <c r="J479" s="8"/>
      <c r="K479" s="8"/>
      <c r="L479" s="8"/>
      <c r="M479" s="8"/>
      <c r="N479" s="5"/>
      <c r="O479" s="5"/>
      <c r="P479" s="5"/>
      <c r="Q479" s="5"/>
      <c r="R479" s="5"/>
      <c r="S479" s="5"/>
      <c r="T479" s="5"/>
      <c r="U479" s="5"/>
    </row>
    <row r="480" spans="1:21" ht="19.5" customHeight="1" x14ac:dyDescent="0.3">
      <c r="A480" s="5"/>
      <c r="B480" s="5"/>
      <c r="C480" s="5"/>
      <c r="D480" s="5"/>
      <c r="E480" s="6"/>
      <c r="F480" s="6"/>
      <c r="G480" s="6"/>
      <c r="H480" s="7"/>
      <c r="I480" s="8"/>
      <c r="J480" s="8"/>
      <c r="K480" s="8"/>
      <c r="L480" s="8"/>
      <c r="M480" s="8"/>
      <c r="N480" s="5"/>
      <c r="O480" s="5"/>
      <c r="P480" s="5"/>
      <c r="Q480" s="5"/>
      <c r="R480" s="5"/>
      <c r="S480" s="5"/>
      <c r="T480" s="5"/>
      <c r="U480" s="5"/>
    </row>
    <row r="481" spans="1:21" ht="19.5" customHeight="1" x14ac:dyDescent="0.3">
      <c r="A481" s="5"/>
      <c r="B481" s="5"/>
      <c r="C481" s="5"/>
      <c r="D481" s="5"/>
      <c r="E481" s="6"/>
      <c r="F481" s="6"/>
      <c r="G481" s="6"/>
      <c r="H481" s="7"/>
      <c r="I481" s="8"/>
      <c r="J481" s="8"/>
      <c r="K481" s="8"/>
      <c r="L481" s="8"/>
      <c r="M481" s="8"/>
      <c r="N481" s="5"/>
      <c r="O481" s="5"/>
      <c r="P481" s="5"/>
      <c r="Q481" s="5"/>
      <c r="R481" s="5"/>
      <c r="S481" s="5"/>
      <c r="T481" s="5"/>
      <c r="U481" s="5"/>
    </row>
    <row r="482" spans="1:21" ht="19.5" customHeight="1" x14ac:dyDescent="0.3">
      <c r="A482" s="5"/>
      <c r="B482" s="5"/>
      <c r="C482" s="5"/>
      <c r="D482" s="5"/>
      <c r="E482" s="6"/>
      <c r="F482" s="6"/>
      <c r="G482" s="6"/>
      <c r="H482" s="7"/>
      <c r="I482" s="8"/>
      <c r="J482" s="8"/>
      <c r="K482" s="8"/>
      <c r="L482" s="8"/>
      <c r="M482" s="8"/>
      <c r="N482" s="5"/>
      <c r="O482" s="5"/>
      <c r="P482" s="5"/>
      <c r="Q482" s="5"/>
      <c r="R482" s="5"/>
      <c r="S482" s="5"/>
      <c r="T482" s="5"/>
      <c r="U482" s="5"/>
    </row>
    <row r="483" spans="1:21" ht="19.5" customHeight="1" x14ac:dyDescent="0.3">
      <c r="A483" s="5"/>
      <c r="B483" s="5"/>
      <c r="C483" s="5"/>
      <c r="D483" s="5"/>
      <c r="E483" s="6"/>
      <c r="F483" s="6"/>
      <c r="G483" s="6"/>
      <c r="H483" s="7"/>
      <c r="I483" s="8"/>
      <c r="J483" s="8"/>
      <c r="K483" s="8"/>
      <c r="L483" s="8"/>
      <c r="M483" s="8"/>
      <c r="N483" s="5"/>
      <c r="O483" s="5"/>
      <c r="P483" s="5"/>
      <c r="Q483" s="5"/>
      <c r="R483" s="5"/>
      <c r="S483" s="5"/>
      <c r="T483" s="5"/>
      <c r="U483" s="5"/>
    </row>
    <row r="484" spans="1:21" ht="19.5" customHeight="1" x14ac:dyDescent="0.3">
      <c r="A484" s="5"/>
      <c r="B484" s="5"/>
      <c r="C484" s="5"/>
      <c r="D484" s="5"/>
      <c r="E484" s="6"/>
      <c r="F484" s="6"/>
      <c r="G484" s="6"/>
      <c r="H484" s="7"/>
      <c r="I484" s="8"/>
      <c r="J484" s="8"/>
      <c r="K484" s="8"/>
      <c r="L484" s="8"/>
      <c r="M484" s="8"/>
      <c r="N484" s="5"/>
      <c r="O484" s="5"/>
      <c r="P484" s="5"/>
      <c r="Q484" s="5"/>
      <c r="R484" s="5"/>
      <c r="S484" s="5"/>
      <c r="T484" s="5"/>
      <c r="U484" s="5"/>
    </row>
    <row r="485" spans="1:21" ht="19.5" customHeight="1" x14ac:dyDescent="0.3">
      <c r="A485" s="5"/>
      <c r="B485" s="5"/>
      <c r="C485" s="5"/>
      <c r="D485" s="5"/>
      <c r="E485" s="6"/>
      <c r="F485" s="6"/>
      <c r="G485" s="6"/>
      <c r="H485" s="7"/>
      <c r="I485" s="8"/>
      <c r="J485" s="8"/>
      <c r="K485" s="8"/>
      <c r="L485" s="8"/>
      <c r="M485" s="8"/>
      <c r="N485" s="5"/>
      <c r="O485" s="5"/>
      <c r="P485" s="5"/>
      <c r="Q485" s="5"/>
      <c r="R485" s="5"/>
      <c r="S485" s="5"/>
      <c r="T485" s="5"/>
      <c r="U485" s="5"/>
    </row>
    <row r="486" spans="1:21" ht="19.5" customHeight="1" x14ac:dyDescent="0.3">
      <c r="A486" s="5"/>
      <c r="B486" s="5"/>
      <c r="C486" s="5"/>
      <c r="D486" s="5"/>
      <c r="E486" s="6"/>
      <c r="F486" s="6"/>
      <c r="G486" s="6"/>
      <c r="H486" s="7"/>
      <c r="I486" s="8"/>
      <c r="J486" s="8"/>
      <c r="K486" s="8"/>
      <c r="L486" s="8"/>
      <c r="M486" s="8"/>
      <c r="N486" s="5"/>
      <c r="O486" s="5"/>
      <c r="P486" s="5"/>
      <c r="Q486" s="5"/>
      <c r="R486" s="5"/>
      <c r="S486" s="5"/>
      <c r="T486" s="5"/>
      <c r="U486" s="5"/>
    </row>
    <row r="487" spans="1:21" ht="19.5" customHeight="1" x14ac:dyDescent="0.3">
      <c r="A487" s="5"/>
      <c r="B487" s="5"/>
      <c r="C487" s="5"/>
      <c r="D487" s="5"/>
      <c r="E487" s="6"/>
      <c r="F487" s="6"/>
      <c r="G487" s="6"/>
      <c r="H487" s="7"/>
      <c r="I487" s="8"/>
      <c r="J487" s="8"/>
      <c r="K487" s="8"/>
      <c r="L487" s="8"/>
      <c r="M487" s="8"/>
      <c r="N487" s="5"/>
      <c r="O487" s="5"/>
      <c r="P487" s="5"/>
      <c r="Q487" s="5"/>
      <c r="R487" s="5"/>
      <c r="S487" s="5"/>
      <c r="T487" s="5"/>
      <c r="U487" s="5"/>
    </row>
    <row r="488" spans="1:21" ht="19.5" customHeight="1" x14ac:dyDescent="0.3">
      <c r="A488" s="5"/>
      <c r="B488" s="5"/>
      <c r="C488" s="5"/>
      <c r="D488" s="5"/>
      <c r="E488" s="6"/>
      <c r="F488" s="6"/>
      <c r="G488" s="6"/>
      <c r="H488" s="7"/>
      <c r="I488" s="8"/>
      <c r="J488" s="8"/>
      <c r="K488" s="8"/>
      <c r="L488" s="8"/>
      <c r="M488" s="8"/>
      <c r="N488" s="5"/>
      <c r="O488" s="5"/>
      <c r="P488" s="5"/>
      <c r="Q488" s="5"/>
      <c r="R488" s="5"/>
      <c r="S488" s="5"/>
      <c r="T488" s="5"/>
      <c r="U488" s="5"/>
    </row>
    <row r="489" spans="1:21" ht="19.5" customHeight="1" x14ac:dyDescent="0.3">
      <c r="A489" s="5"/>
      <c r="B489" s="5"/>
      <c r="C489" s="5"/>
      <c r="D489" s="5"/>
      <c r="E489" s="6"/>
      <c r="F489" s="6"/>
      <c r="G489" s="6"/>
      <c r="H489" s="7"/>
      <c r="I489" s="8"/>
      <c r="J489" s="8"/>
      <c r="K489" s="8"/>
      <c r="L489" s="8"/>
      <c r="M489" s="8"/>
      <c r="N489" s="5"/>
      <c r="O489" s="5"/>
      <c r="P489" s="5"/>
      <c r="Q489" s="5"/>
      <c r="R489" s="5"/>
      <c r="S489" s="5"/>
      <c r="T489" s="5"/>
      <c r="U489" s="5"/>
    </row>
    <row r="490" spans="1:21" ht="19.5" customHeight="1" x14ac:dyDescent="0.3">
      <c r="A490" s="5"/>
      <c r="B490" s="5"/>
      <c r="C490" s="5"/>
      <c r="D490" s="5"/>
      <c r="E490" s="6"/>
      <c r="F490" s="6"/>
      <c r="G490" s="6"/>
      <c r="H490" s="7"/>
      <c r="I490" s="8"/>
      <c r="J490" s="8"/>
      <c r="K490" s="8"/>
      <c r="L490" s="8"/>
      <c r="M490" s="8"/>
      <c r="N490" s="5"/>
      <c r="O490" s="5"/>
      <c r="P490" s="5"/>
      <c r="Q490" s="5"/>
      <c r="R490" s="5"/>
      <c r="S490" s="5"/>
      <c r="T490" s="5"/>
      <c r="U490" s="5"/>
    </row>
    <row r="491" spans="1:21" ht="19.5" customHeight="1" x14ac:dyDescent="0.3">
      <c r="A491" s="5"/>
      <c r="B491" s="5"/>
      <c r="C491" s="5"/>
      <c r="D491" s="5"/>
      <c r="E491" s="6"/>
      <c r="F491" s="6"/>
      <c r="G491" s="6"/>
      <c r="H491" s="7"/>
      <c r="I491" s="8"/>
      <c r="J491" s="8"/>
      <c r="K491" s="8"/>
      <c r="L491" s="8"/>
      <c r="M491" s="8"/>
      <c r="N491" s="5"/>
      <c r="O491" s="5"/>
      <c r="P491" s="5"/>
      <c r="Q491" s="5"/>
      <c r="R491" s="5"/>
      <c r="S491" s="5"/>
      <c r="T491" s="5"/>
      <c r="U491" s="5"/>
    </row>
    <row r="492" spans="1:21" ht="19.5" customHeight="1" x14ac:dyDescent="0.3">
      <c r="A492" s="5"/>
      <c r="B492" s="5"/>
      <c r="C492" s="5"/>
      <c r="D492" s="5"/>
      <c r="E492" s="6"/>
      <c r="F492" s="6"/>
      <c r="G492" s="6"/>
      <c r="H492" s="7"/>
      <c r="I492" s="8"/>
      <c r="J492" s="8"/>
      <c r="K492" s="8"/>
      <c r="L492" s="8"/>
      <c r="M492" s="8"/>
      <c r="N492" s="5"/>
      <c r="O492" s="5"/>
      <c r="P492" s="5"/>
      <c r="Q492" s="5"/>
      <c r="R492" s="5"/>
      <c r="S492" s="5"/>
      <c r="T492" s="5"/>
      <c r="U492" s="5"/>
    </row>
    <row r="493" spans="1:21" ht="19.5" customHeight="1" x14ac:dyDescent="0.3">
      <c r="A493" s="5"/>
      <c r="B493" s="5"/>
      <c r="C493" s="5"/>
      <c r="D493" s="5"/>
      <c r="E493" s="6"/>
      <c r="F493" s="6"/>
      <c r="G493" s="6"/>
      <c r="H493" s="7"/>
      <c r="I493" s="8"/>
      <c r="J493" s="8"/>
      <c r="K493" s="8"/>
      <c r="L493" s="8"/>
      <c r="M493" s="8"/>
      <c r="N493" s="5"/>
      <c r="O493" s="5"/>
      <c r="P493" s="5"/>
      <c r="Q493" s="5"/>
      <c r="R493" s="5"/>
      <c r="S493" s="5"/>
      <c r="T493" s="5"/>
      <c r="U493" s="5"/>
    </row>
    <row r="494" spans="1:21" ht="19.5" customHeight="1" x14ac:dyDescent="0.3">
      <c r="A494" s="5"/>
      <c r="B494" s="5"/>
      <c r="C494" s="5"/>
      <c r="D494" s="5"/>
      <c r="E494" s="6"/>
      <c r="F494" s="6"/>
      <c r="G494" s="6"/>
      <c r="H494" s="7"/>
      <c r="I494" s="8"/>
      <c r="J494" s="8"/>
      <c r="K494" s="8"/>
      <c r="L494" s="8"/>
      <c r="M494" s="8"/>
      <c r="N494" s="5"/>
      <c r="O494" s="5"/>
      <c r="P494" s="5"/>
      <c r="Q494" s="5"/>
      <c r="R494" s="5"/>
      <c r="S494" s="5"/>
      <c r="T494" s="5"/>
      <c r="U494" s="5"/>
    </row>
    <row r="495" spans="1:21" ht="19.5" customHeight="1" x14ac:dyDescent="0.3">
      <c r="A495" s="5"/>
      <c r="B495" s="5"/>
      <c r="C495" s="5"/>
      <c r="D495" s="5"/>
      <c r="E495" s="6"/>
      <c r="F495" s="6"/>
      <c r="G495" s="6"/>
      <c r="H495" s="7"/>
      <c r="I495" s="8"/>
      <c r="J495" s="8"/>
      <c r="K495" s="8"/>
      <c r="L495" s="8"/>
      <c r="M495" s="8"/>
      <c r="N495" s="5"/>
      <c r="O495" s="5"/>
      <c r="P495" s="5"/>
      <c r="Q495" s="5"/>
      <c r="R495" s="5"/>
      <c r="S495" s="5"/>
      <c r="T495" s="5"/>
      <c r="U495" s="5"/>
    </row>
    <row r="496" spans="1:21" ht="19.5" customHeight="1" x14ac:dyDescent="0.3">
      <c r="A496" s="5"/>
      <c r="B496" s="5"/>
      <c r="C496" s="5"/>
      <c r="D496" s="5"/>
      <c r="E496" s="6"/>
      <c r="F496" s="6"/>
      <c r="G496" s="6"/>
      <c r="H496" s="7"/>
      <c r="I496" s="8"/>
      <c r="J496" s="8"/>
      <c r="K496" s="8"/>
      <c r="L496" s="8"/>
      <c r="M496" s="8"/>
      <c r="N496" s="5"/>
      <c r="O496" s="5"/>
      <c r="P496" s="5"/>
      <c r="Q496" s="5"/>
      <c r="R496" s="5"/>
      <c r="S496" s="5"/>
      <c r="T496" s="5"/>
      <c r="U496" s="5"/>
    </row>
    <row r="497" spans="1:21" ht="19.5" customHeight="1" x14ac:dyDescent="0.3">
      <c r="A497" s="5"/>
      <c r="B497" s="5"/>
      <c r="C497" s="5"/>
      <c r="D497" s="5"/>
      <c r="E497" s="6"/>
      <c r="F497" s="6"/>
      <c r="G497" s="6"/>
      <c r="H497" s="7"/>
      <c r="I497" s="8"/>
      <c r="J497" s="8"/>
      <c r="K497" s="8"/>
      <c r="L497" s="8"/>
      <c r="M497" s="8"/>
      <c r="N497" s="5"/>
      <c r="O497" s="5"/>
      <c r="P497" s="5"/>
      <c r="Q497" s="5"/>
      <c r="R497" s="5"/>
      <c r="S497" s="5"/>
      <c r="T497" s="5"/>
      <c r="U497" s="5"/>
    </row>
    <row r="498" spans="1:21" ht="19.5" customHeight="1" x14ac:dyDescent="0.3">
      <c r="A498" s="5"/>
      <c r="B498" s="5"/>
      <c r="C498" s="5"/>
      <c r="D498" s="5"/>
      <c r="E498" s="6"/>
      <c r="F498" s="6"/>
      <c r="G498" s="6"/>
      <c r="H498" s="7"/>
      <c r="I498" s="8"/>
      <c r="J498" s="8"/>
      <c r="K498" s="8"/>
      <c r="L498" s="8"/>
      <c r="M498" s="8"/>
      <c r="N498" s="5"/>
      <c r="O498" s="5"/>
      <c r="P498" s="5"/>
      <c r="Q498" s="5"/>
      <c r="R498" s="5"/>
      <c r="S498" s="5"/>
      <c r="T498" s="5"/>
      <c r="U498" s="5"/>
    </row>
    <row r="499" spans="1:21" ht="19.5" customHeight="1" x14ac:dyDescent="0.3">
      <c r="A499" s="5"/>
      <c r="B499" s="5"/>
      <c r="C499" s="5"/>
      <c r="D499" s="5"/>
      <c r="E499" s="6"/>
      <c r="F499" s="6"/>
      <c r="G499" s="6"/>
      <c r="H499" s="7"/>
      <c r="I499" s="8"/>
      <c r="J499" s="8"/>
      <c r="K499" s="8"/>
      <c r="L499" s="8"/>
      <c r="M499" s="8"/>
      <c r="N499" s="5"/>
      <c r="O499" s="5"/>
      <c r="P499" s="5"/>
      <c r="Q499" s="5"/>
      <c r="R499" s="5"/>
      <c r="S499" s="5"/>
      <c r="T499" s="5"/>
      <c r="U499" s="5"/>
    </row>
    <row r="500" spans="1:21" ht="19.5" customHeight="1" x14ac:dyDescent="0.3">
      <c r="A500" s="5"/>
      <c r="B500" s="5"/>
      <c r="C500" s="5"/>
      <c r="D500" s="5"/>
      <c r="E500" s="6"/>
      <c r="F500" s="6"/>
      <c r="G500" s="6"/>
      <c r="H500" s="7"/>
      <c r="I500" s="8"/>
      <c r="J500" s="8"/>
      <c r="K500" s="8"/>
      <c r="L500" s="8"/>
      <c r="M500" s="8"/>
      <c r="N500" s="5"/>
      <c r="O500" s="5"/>
      <c r="P500" s="5"/>
      <c r="Q500" s="5"/>
      <c r="R500" s="5"/>
      <c r="S500" s="5"/>
      <c r="T500" s="5"/>
      <c r="U500" s="5"/>
    </row>
    <row r="501" spans="1:21" ht="19.5" customHeight="1" x14ac:dyDescent="0.3">
      <c r="A501" s="5"/>
      <c r="B501" s="5"/>
      <c r="C501" s="5"/>
      <c r="D501" s="5"/>
      <c r="E501" s="6"/>
      <c r="F501" s="6"/>
      <c r="G501" s="6"/>
      <c r="H501" s="7"/>
      <c r="I501" s="8"/>
      <c r="J501" s="8"/>
      <c r="K501" s="8"/>
      <c r="L501" s="8"/>
      <c r="M501" s="8"/>
      <c r="N501" s="5"/>
      <c r="O501" s="5"/>
      <c r="P501" s="5"/>
      <c r="Q501" s="5"/>
      <c r="R501" s="5"/>
      <c r="S501" s="5"/>
      <c r="T501" s="5"/>
      <c r="U501" s="5"/>
    </row>
    <row r="502" spans="1:21" ht="19.5" customHeight="1" x14ac:dyDescent="0.3">
      <c r="A502" s="5"/>
      <c r="B502" s="5"/>
      <c r="C502" s="5"/>
      <c r="D502" s="5"/>
      <c r="E502" s="6"/>
      <c r="F502" s="6"/>
      <c r="G502" s="6"/>
      <c r="H502" s="7"/>
      <c r="I502" s="8"/>
      <c r="J502" s="8"/>
      <c r="K502" s="8"/>
      <c r="L502" s="8"/>
      <c r="M502" s="8"/>
      <c r="N502" s="5"/>
      <c r="O502" s="5"/>
      <c r="P502" s="5"/>
      <c r="Q502" s="5"/>
      <c r="R502" s="5"/>
      <c r="S502" s="5"/>
      <c r="T502" s="5"/>
      <c r="U502" s="5"/>
    </row>
    <row r="503" spans="1:21" ht="19.5" customHeight="1" x14ac:dyDescent="0.3">
      <c r="A503" s="5"/>
      <c r="B503" s="5"/>
      <c r="C503" s="5"/>
      <c r="D503" s="5"/>
      <c r="E503" s="6"/>
      <c r="F503" s="6"/>
      <c r="G503" s="6"/>
      <c r="H503" s="7"/>
      <c r="I503" s="8"/>
      <c r="J503" s="8"/>
      <c r="K503" s="8"/>
      <c r="L503" s="8"/>
      <c r="M503" s="8"/>
      <c r="N503" s="5"/>
      <c r="O503" s="5"/>
      <c r="P503" s="5"/>
      <c r="Q503" s="5"/>
      <c r="R503" s="5"/>
      <c r="S503" s="5"/>
      <c r="T503" s="5"/>
      <c r="U503" s="5"/>
    </row>
    <row r="504" spans="1:21" ht="19.5" customHeight="1" x14ac:dyDescent="0.3">
      <c r="A504" s="5"/>
      <c r="B504" s="5"/>
      <c r="C504" s="5"/>
      <c r="D504" s="5"/>
      <c r="E504" s="6"/>
      <c r="F504" s="6"/>
      <c r="G504" s="6"/>
      <c r="H504" s="7"/>
      <c r="I504" s="8"/>
      <c r="J504" s="8"/>
      <c r="K504" s="8"/>
      <c r="L504" s="8"/>
      <c r="M504" s="8"/>
      <c r="N504" s="5"/>
      <c r="O504" s="5"/>
      <c r="P504" s="5"/>
      <c r="Q504" s="5"/>
      <c r="R504" s="5"/>
      <c r="S504" s="5"/>
      <c r="T504" s="5"/>
      <c r="U504" s="5"/>
    </row>
    <row r="505" spans="1:21" ht="19.5" customHeight="1" x14ac:dyDescent="0.3">
      <c r="A505" s="5"/>
      <c r="B505" s="5"/>
      <c r="C505" s="5"/>
      <c r="D505" s="5"/>
      <c r="E505" s="6"/>
      <c r="F505" s="6"/>
      <c r="G505" s="6"/>
      <c r="H505" s="7"/>
      <c r="I505" s="8"/>
      <c r="J505" s="8"/>
      <c r="K505" s="8"/>
      <c r="L505" s="8"/>
      <c r="M505" s="8"/>
      <c r="N505" s="5"/>
      <c r="O505" s="5"/>
      <c r="P505" s="5"/>
      <c r="Q505" s="5"/>
      <c r="R505" s="5"/>
      <c r="S505" s="5"/>
      <c r="T505" s="5"/>
      <c r="U505" s="5"/>
    </row>
    <row r="506" spans="1:21" ht="19.5" customHeight="1" x14ac:dyDescent="0.3">
      <c r="A506" s="5"/>
      <c r="B506" s="5"/>
      <c r="C506" s="5"/>
      <c r="D506" s="5"/>
      <c r="E506" s="6"/>
      <c r="F506" s="6"/>
      <c r="G506" s="6"/>
      <c r="H506" s="7"/>
      <c r="I506" s="8"/>
      <c r="J506" s="8"/>
      <c r="K506" s="8"/>
      <c r="L506" s="8"/>
      <c r="M506" s="8"/>
      <c r="N506" s="5"/>
      <c r="O506" s="5"/>
      <c r="P506" s="5"/>
      <c r="Q506" s="5"/>
      <c r="R506" s="5"/>
      <c r="S506" s="5"/>
      <c r="T506" s="5"/>
      <c r="U506" s="5"/>
    </row>
    <row r="507" spans="1:21" ht="19.5" customHeight="1" x14ac:dyDescent="0.3">
      <c r="A507" s="5"/>
      <c r="B507" s="5"/>
      <c r="C507" s="5"/>
      <c r="D507" s="5"/>
      <c r="E507" s="6"/>
      <c r="F507" s="6"/>
      <c r="G507" s="6"/>
      <c r="H507" s="7"/>
      <c r="I507" s="8"/>
      <c r="J507" s="8"/>
      <c r="K507" s="8"/>
      <c r="L507" s="8"/>
      <c r="M507" s="8"/>
      <c r="N507" s="5"/>
      <c r="O507" s="5"/>
      <c r="P507" s="5"/>
      <c r="Q507" s="5"/>
      <c r="R507" s="5"/>
      <c r="S507" s="5"/>
      <c r="T507" s="5"/>
      <c r="U507" s="5"/>
    </row>
    <row r="508" spans="1:21" ht="19.5" customHeight="1" x14ac:dyDescent="0.3">
      <c r="A508" s="5"/>
      <c r="B508" s="5"/>
      <c r="C508" s="5"/>
      <c r="D508" s="5"/>
      <c r="E508" s="6"/>
      <c r="F508" s="6"/>
      <c r="G508" s="6"/>
      <c r="H508" s="7"/>
      <c r="I508" s="8"/>
      <c r="J508" s="8"/>
      <c r="K508" s="8"/>
      <c r="L508" s="8"/>
      <c r="M508" s="8"/>
      <c r="N508" s="5"/>
      <c r="O508" s="5"/>
      <c r="P508" s="5"/>
      <c r="Q508" s="5"/>
      <c r="R508" s="5"/>
      <c r="S508" s="5"/>
      <c r="T508" s="5"/>
      <c r="U508" s="5"/>
    </row>
    <row r="509" spans="1:21" ht="19.5" customHeight="1" x14ac:dyDescent="0.3">
      <c r="A509" s="5"/>
      <c r="B509" s="5"/>
      <c r="C509" s="5"/>
      <c r="D509" s="5"/>
      <c r="E509" s="6"/>
      <c r="F509" s="6"/>
      <c r="G509" s="6"/>
      <c r="H509" s="7"/>
      <c r="I509" s="8"/>
      <c r="J509" s="8"/>
      <c r="K509" s="8"/>
      <c r="L509" s="8"/>
      <c r="M509" s="8"/>
      <c r="N509" s="5"/>
      <c r="O509" s="5"/>
      <c r="P509" s="5"/>
      <c r="Q509" s="5"/>
      <c r="R509" s="5"/>
      <c r="S509" s="5"/>
      <c r="T509" s="5"/>
      <c r="U509" s="5"/>
    </row>
    <row r="510" spans="1:21" ht="19.5" customHeight="1" x14ac:dyDescent="0.3">
      <c r="A510" s="5"/>
      <c r="B510" s="5"/>
      <c r="C510" s="5"/>
      <c r="D510" s="5"/>
      <c r="E510" s="6"/>
      <c r="F510" s="6"/>
      <c r="G510" s="6"/>
      <c r="H510" s="7"/>
      <c r="I510" s="8"/>
      <c r="J510" s="8"/>
      <c r="K510" s="8"/>
      <c r="L510" s="8"/>
      <c r="M510" s="8"/>
      <c r="N510" s="5"/>
      <c r="O510" s="5"/>
      <c r="P510" s="5"/>
      <c r="Q510" s="5"/>
      <c r="R510" s="5"/>
      <c r="S510" s="5"/>
      <c r="T510" s="5"/>
      <c r="U510" s="5"/>
    </row>
    <row r="511" spans="1:21" ht="19.5" customHeight="1" x14ac:dyDescent="0.3">
      <c r="A511" s="5"/>
      <c r="B511" s="5"/>
      <c r="C511" s="5"/>
      <c r="D511" s="5"/>
      <c r="E511" s="6"/>
      <c r="F511" s="6"/>
      <c r="G511" s="6"/>
      <c r="H511" s="7"/>
      <c r="I511" s="8"/>
      <c r="J511" s="8"/>
      <c r="K511" s="8"/>
      <c r="L511" s="8"/>
      <c r="M511" s="8"/>
      <c r="N511" s="5"/>
      <c r="O511" s="5"/>
      <c r="P511" s="5"/>
      <c r="Q511" s="5"/>
      <c r="R511" s="5"/>
      <c r="S511" s="5"/>
      <c r="T511" s="5"/>
      <c r="U511" s="5"/>
    </row>
    <row r="512" spans="1:21" ht="19.5" customHeight="1" x14ac:dyDescent="0.3">
      <c r="A512" s="5"/>
      <c r="B512" s="5"/>
      <c r="C512" s="5"/>
      <c r="D512" s="5"/>
      <c r="E512" s="6"/>
      <c r="F512" s="6"/>
      <c r="G512" s="6"/>
      <c r="H512" s="7"/>
      <c r="I512" s="8"/>
      <c r="J512" s="8"/>
      <c r="K512" s="8"/>
      <c r="L512" s="8"/>
      <c r="M512" s="8"/>
      <c r="N512" s="5"/>
      <c r="O512" s="5"/>
      <c r="P512" s="5"/>
      <c r="Q512" s="5"/>
      <c r="R512" s="5"/>
      <c r="S512" s="5"/>
      <c r="T512" s="5"/>
      <c r="U512" s="5"/>
    </row>
    <row r="513" spans="1:21" ht="19.5" customHeight="1" x14ac:dyDescent="0.3">
      <c r="A513" s="5"/>
      <c r="B513" s="5"/>
      <c r="C513" s="5"/>
      <c r="D513" s="5"/>
      <c r="E513" s="6"/>
      <c r="F513" s="6"/>
      <c r="G513" s="6"/>
      <c r="H513" s="7"/>
      <c r="I513" s="8"/>
      <c r="J513" s="8"/>
      <c r="K513" s="8"/>
      <c r="L513" s="8"/>
      <c r="M513" s="8"/>
      <c r="N513" s="5"/>
      <c r="O513" s="5"/>
      <c r="P513" s="5"/>
      <c r="Q513" s="5"/>
      <c r="R513" s="5"/>
      <c r="S513" s="5"/>
      <c r="T513" s="5"/>
      <c r="U513" s="5"/>
    </row>
    <row r="514" spans="1:21" ht="19.5" customHeight="1" x14ac:dyDescent="0.3">
      <c r="A514" s="5"/>
      <c r="B514" s="5"/>
      <c r="C514" s="5"/>
      <c r="D514" s="5"/>
      <c r="E514" s="6"/>
      <c r="F514" s="6"/>
      <c r="G514" s="6"/>
      <c r="H514" s="7"/>
      <c r="I514" s="8"/>
      <c r="J514" s="8"/>
      <c r="K514" s="8"/>
      <c r="L514" s="8"/>
      <c r="M514" s="8"/>
      <c r="N514" s="5"/>
      <c r="O514" s="5"/>
      <c r="P514" s="5"/>
      <c r="Q514" s="5"/>
      <c r="R514" s="5"/>
      <c r="S514" s="5"/>
      <c r="T514" s="5"/>
      <c r="U514" s="5"/>
    </row>
    <row r="515" spans="1:21" ht="19.5" customHeight="1" x14ac:dyDescent="0.3">
      <c r="A515" s="5"/>
      <c r="B515" s="5"/>
      <c r="C515" s="5"/>
      <c r="D515" s="5"/>
      <c r="E515" s="6"/>
      <c r="F515" s="6"/>
      <c r="G515" s="6"/>
      <c r="H515" s="7"/>
      <c r="I515" s="8"/>
      <c r="J515" s="8"/>
      <c r="K515" s="8"/>
      <c r="L515" s="8"/>
      <c r="M515" s="8"/>
      <c r="N515" s="5"/>
      <c r="O515" s="5"/>
      <c r="P515" s="5"/>
      <c r="Q515" s="5"/>
      <c r="R515" s="5"/>
      <c r="S515" s="5"/>
      <c r="T515" s="5"/>
      <c r="U515" s="5"/>
    </row>
    <row r="516" spans="1:21" ht="19.5" customHeight="1" x14ac:dyDescent="0.3">
      <c r="A516" s="5"/>
      <c r="B516" s="5"/>
      <c r="C516" s="5"/>
      <c r="D516" s="5"/>
      <c r="E516" s="6"/>
      <c r="F516" s="6"/>
      <c r="G516" s="6"/>
      <c r="H516" s="7"/>
      <c r="I516" s="8"/>
      <c r="J516" s="8"/>
      <c r="K516" s="8"/>
      <c r="L516" s="8"/>
      <c r="M516" s="8"/>
      <c r="N516" s="5"/>
      <c r="O516" s="5"/>
      <c r="P516" s="5"/>
      <c r="Q516" s="5"/>
      <c r="R516" s="5"/>
      <c r="S516" s="5"/>
      <c r="T516" s="5"/>
      <c r="U516" s="5"/>
    </row>
    <row r="517" spans="1:21" ht="19.5" customHeight="1" x14ac:dyDescent="0.3">
      <c r="A517" s="5"/>
      <c r="B517" s="5"/>
      <c r="C517" s="5"/>
      <c r="D517" s="5"/>
      <c r="E517" s="6"/>
      <c r="F517" s="6"/>
      <c r="G517" s="6"/>
      <c r="H517" s="7"/>
      <c r="I517" s="8"/>
      <c r="J517" s="8"/>
      <c r="K517" s="8"/>
      <c r="L517" s="8"/>
      <c r="M517" s="8"/>
      <c r="N517" s="5"/>
      <c r="O517" s="5"/>
      <c r="P517" s="5"/>
      <c r="Q517" s="5"/>
      <c r="R517" s="5"/>
      <c r="S517" s="5"/>
      <c r="T517" s="5"/>
      <c r="U517" s="5"/>
    </row>
    <row r="518" spans="1:21" ht="19.5" customHeight="1" x14ac:dyDescent="0.3">
      <c r="A518" s="5"/>
      <c r="B518" s="5"/>
      <c r="C518" s="5"/>
      <c r="D518" s="5"/>
      <c r="E518" s="6"/>
      <c r="F518" s="6"/>
      <c r="G518" s="6"/>
      <c r="H518" s="7"/>
      <c r="I518" s="8"/>
      <c r="J518" s="8"/>
      <c r="K518" s="8"/>
      <c r="L518" s="8"/>
      <c r="M518" s="8"/>
      <c r="N518" s="5"/>
      <c r="O518" s="5"/>
      <c r="P518" s="5"/>
      <c r="Q518" s="5"/>
      <c r="R518" s="5"/>
      <c r="S518" s="5"/>
      <c r="T518" s="5"/>
      <c r="U518" s="5"/>
    </row>
    <row r="519" spans="1:21" ht="19.5" customHeight="1" x14ac:dyDescent="0.3">
      <c r="A519" s="5"/>
      <c r="B519" s="5"/>
      <c r="C519" s="5"/>
      <c r="D519" s="5"/>
      <c r="E519" s="6"/>
      <c r="F519" s="6"/>
      <c r="G519" s="6"/>
      <c r="H519" s="7"/>
      <c r="I519" s="8"/>
      <c r="J519" s="8"/>
      <c r="K519" s="8"/>
      <c r="L519" s="8"/>
      <c r="M519" s="8"/>
      <c r="N519" s="5"/>
      <c r="O519" s="5"/>
      <c r="P519" s="5"/>
      <c r="Q519" s="5"/>
      <c r="R519" s="5"/>
      <c r="S519" s="5"/>
      <c r="T519" s="5"/>
      <c r="U519" s="5"/>
    </row>
    <row r="520" spans="1:21" ht="19.5" customHeight="1" x14ac:dyDescent="0.3">
      <c r="A520" s="5"/>
      <c r="B520" s="5"/>
      <c r="C520" s="5"/>
      <c r="D520" s="5"/>
      <c r="E520" s="6"/>
      <c r="F520" s="6"/>
      <c r="G520" s="6"/>
      <c r="H520" s="7"/>
      <c r="I520" s="8"/>
      <c r="J520" s="8"/>
      <c r="K520" s="8"/>
      <c r="L520" s="8"/>
      <c r="M520" s="8"/>
      <c r="N520" s="5"/>
      <c r="O520" s="5"/>
      <c r="P520" s="5"/>
      <c r="Q520" s="5"/>
      <c r="R520" s="5"/>
      <c r="S520" s="5"/>
      <c r="T520" s="5"/>
      <c r="U520" s="5"/>
    </row>
    <row r="521" spans="1:21" ht="19.5" customHeight="1" x14ac:dyDescent="0.3">
      <c r="A521" s="5"/>
      <c r="B521" s="5"/>
      <c r="C521" s="5"/>
      <c r="D521" s="5"/>
      <c r="E521" s="6"/>
      <c r="F521" s="6"/>
      <c r="G521" s="6"/>
      <c r="H521" s="7"/>
      <c r="I521" s="8"/>
      <c r="J521" s="8"/>
      <c r="K521" s="8"/>
      <c r="L521" s="8"/>
      <c r="M521" s="8"/>
      <c r="N521" s="5"/>
      <c r="O521" s="5"/>
      <c r="P521" s="5"/>
      <c r="Q521" s="5"/>
      <c r="R521" s="5"/>
      <c r="S521" s="5"/>
      <c r="T521" s="5"/>
      <c r="U521" s="5"/>
    </row>
    <row r="522" spans="1:21" ht="19.5" customHeight="1" x14ac:dyDescent="0.3">
      <c r="A522" s="5"/>
      <c r="B522" s="5"/>
      <c r="C522" s="5"/>
      <c r="D522" s="5"/>
      <c r="E522" s="6"/>
      <c r="F522" s="6"/>
      <c r="G522" s="6"/>
      <c r="H522" s="7"/>
      <c r="I522" s="8"/>
      <c r="J522" s="8"/>
      <c r="K522" s="8"/>
      <c r="L522" s="8"/>
      <c r="M522" s="8"/>
      <c r="N522" s="5"/>
      <c r="O522" s="5"/>
      <c r="P522" s="5"/>
      <c r="Q522" s="5"/>
      <c r="R522" s="5"/>
      <c r="S522" s="5"/>
      <c r="T522" s="5"/>
      <c r="U522" s="5"/>
    </row>
    <row r="523" spans="1:21" ht="19.5" customHeight="1" x14ac:dyDescent="0.3">
      <c r="A523" s="5"/>
      <c r="B523" s="5"/>
      <c r="C523" s="5"/>
      <c r="D523" s="5"/>
      <c r="E523" s="6"/>
      <c r="F523" s="6"/>
      <c r="G523" s="6"/>
      <c r="H523" s="7"/>
      <c r="I523" s="8"/>
      <c r="J523" s="8"/>
      <c r="K523" s="8"/>
      <c r="L523" s="8"/>
      <c r="M523" s="8"/>
      <c r="N523" s="5"/>
      <c r="O523" s="5"/>
      <c r="P523" s="5"/>
      <c r="Q523" s="5"/>
      <c r="R523" s="5"/>
      <c r="S523" s="5"/>
      <c r="T523" s="5"/>
      <c r="U523" s="5"/>
    </row>
    <row r="524" spans="1:21" ht="19.5" customHeight="1" x14ac:dyDescent="0.3">
      <c r="A524" s="5"/>
      <c r="B524" s="5"/>
      <c r="C524" s="5"/>
      <c r="D524" s="5"/>
      <c r="E524" s="6"/>
      <c r="F524" s="6"/>
      <c r="G524" s="6"/>
      <c r="H524" s="7"/>
      <c r="I524" s="8"/>
      <c r="J524" s="8"/>
      <c r="K524" s="8"/>
      <c r="L524" s="8"/>
      <c r="M524" s="8"/>
      <c r="N524" s="5"/>
      <c r="O524" s="5"/>
      <c r="P524" s="5"/>
      <c r="Q524" s="5"/>
      <c r="R524" s="5"/>
      <c r="S524" s="5"/>
      <c r="T524" s="5"/>
      <c r="U524" s="5"/>
    </row>
    <row r="525" spans="1:21" ht="19.5" customHeight="1" x14ac:dyDescent="0.3">
      <c r="A525" s="5"/>
      <c r="B525" s="5"/>
      <c r="C525" s="5"/>
      <c r="D525" s="5"/>
      <c r="E525" s="6"/>
      <c r="F525" s="6"/>
      <c r="G525" s="6"/>
      <c r="H525" s="7"/>
      <c r="I525" s="8"/>
      <c r="J525" s="8"/>
      <c r="K525" s="8"/>
      <c r="L525" s="8"/>
      <c r="M525" s="8"/>
      <c r="N525" s="5"/>
      <c r="O525" s="5"/>
      <c r="P525" s="5"/>
      <c r="Q525" s="5"/>
      <c r="R525" s="5"/>
      <c r="S525" s="5"/>
      <c r="T525" s="5"/>
      <c r="U525" s="5"/>
    </row>
    <row r="526" spans="1:21" ht="19.5" customHeight="1" x14ac:dyDescent="0.3">
      <c r="A526" s="5"/>
      <c r="B526" s="5"/>
      <c r="C526" s="5"/>
      <c r="D526" s="5"/>
      <c r="E526" s="6"/>
      <c r="F526" s="6"/>
      <c r="G526" s="6"/>
      <c r="H526" s="7"/>
      <c r="I526" s="8"/>
      <c r="J526" s="8"/>
      <c r="K526" s="8"/>
      <c r="L526" s="8"/>
      <c r="M526" s="8"/>
      <c r="N526" s="5"/>
      <c r="O526" s="5"/>
      <c r="P526" s="5"/>
      <c r="Q526" s="5"/>
      <c r="R526" s="5"/>
      <c r="S526" s="5"/>
      <c r="T526" s="5"/>
      <c r="U526" s="5"/>
    </row>
    <row r="527" spans="1:21" ht="19.5" customHeight="1" x14ac:dyDescent="0.3">
      <c r="A527" s="5"/>
      <c r="B527" s="5"/>
      <c r="C527" s="5"/>
      <c r="D527" s="5"/>
      <c r="E527" s="6"/>
      <c r="F527" s="6"/>
      <c r="G527" s="6"/>
      <c r="H527" s="7"/>
      <c r="I527" s="8"/>
      <c r="J527" s="8"/>
      <c r="K527" s="8"/>
      <c r="L527" s="8"/>
      <c r="M527" s="8"/>
      <c r="N527" s="5"/>
      <c r="O527" s="5"/>
      <c r="P527" s="5"/>
      <c r="Q527" s="5"/>
      <c r="R527" s="5"/>
      <c r="S527" s="5"/>
      <c r="T527" s="5"/>
      <c r="U527" s="5"/>
    </row>
    <row r="528" spans="1:21" ht="19.5" customHeight="1" x14ac:dyDescent="0.3">
      <c r="A528" s="5"/>
      <c r="B528" s="5"/>
      <c r="C528" s="5"/>
      <c r="D528" s="5"/>
      <c r="E528" s="6"/>
      <c r="F528" s="6"/>
      <c r="G528" s="6"/>
      <c r="H528" s="7"/>
      <c r="I528" s="8"/>
      <c r="J528" s="8"/>
      <c r="K528" s="8"/>
      <c r="L528" s="8"/>
      <c r="M528" s="8"/>
      <c r="N528" s="5"/>
      <c r="O528" s="5"/>
      <c r="P528" s="5"/>
      <c r="Q528" s="5"/>
      <c r="R528" s="5"/>
      <c r="S528" s="5"/>
      <c r="T528" s="5"/>
      <c r="U528" s="5"/>
    </row>
    <row r="529" spans="1:21" ht="19.5" customHeight="1" x14ac:dyDescent="0.3">
      <c r="A529" s="5"/>
      <c r="B529" s="5"/>
      <c r="C529" s="5"/>
      <c r="D529" s="5"/>
      <c r="E529" s="6"/>
      <c r="F529" s="6"/>
      <c r="G529" s="6"/>
      <c r="H529" s="7"/>
      <c r="I529" s="8"/>
      <c r="J529" s="8"/>
      <c r="K529" s="8"/>
      <c r="L529" s="8"/>
      <c r="M529" s="8"/>
      <c r="N529" s="5"/>
      <c r="O529" s="5"/>
      <c r="P529" s="5"/>
      <c r="Q529" s="5"/>
      <c r="R529" s="5"/>
      <c r="S529" s="5"/>
      <c r="T529" s="5"/>
      <c r="U529" s="5"/>
    </row>
    <row r="530" spans="1:21" ht="19.5" customHeight="1" x14ac:dyDescent="0.3">
      <c r="A530" s="5"/>
      <c r="B530" s="5"/>
      <c r="C530" s="5"/>
      <c r="D530" s="5"/>
      <c r="E530" s="6"/>
      <c r="F530" s="6"/>
      <c r="G530" s="6"/>
      <c r="H530" s="7"/>
      <c r="I530" s="8"/>
      <c r="J530" s="8"/>
      <c r="K530" s="8"/>
      <c r="L530" s="8"/>
      <c r="M530" s="8"/>
      <c r="N530" s="5"/>
      <c r="O530" s="5"/>
      <c r="P530" s="5"/>
      <c r="Q530" s="5"/>
      <c r="R530" s="5"/>
      <c r="S530" s="5"/>
      <c r="T530" s="5"/>
      <c r="U530" s="5"/>
    </row>
    <row r="531" spans="1:21" ht="19.5" customHeight="1" x14ac:dyDescent="0.3">
      <c r="A531" s="5"/>
      <c r="B531" s="5"/>
      <c r="C531" s="5"/>
      <c r="D531" s="5"/>
      <c r="E531" s="6"/>
      <c r="F531" s="6"/>
      <c r="G531" s="6"/>
      <c r="H531" s="7"/>
      <c r="I531" s="8"/>
      <c r="J531" s="8"/>
      <c r="K531" s="8"/>
      <c r="L531" s="8"/>
      <c r="M531" s="8"/>
      <c r="N531" s="5"/>
      <c r="O531" s="5"/>
      <c r="P531" s="5"/>
      <c r="Q531" s="5"/>
      <c r="R531" s="5"/>
      <c r="S531" s="5"/>
      <c r="T531" s="5"/>
      <c r="U531" s="5"/>
    </row>
    <row r="532" spans="1:21" ht="19.5" customHeight="1" x14ac:dyDescent="0.3">
      <c r="A532" s="5"/>
      <c r="B532" s="5"/>
      <c r="C532" s="5"/>
      <c r="D532" s="5"/>
      <c r="E532" s="6"/>
      <c r="F532" s="6"/>
      <c r="G532" s="6"/>
      <c r="H532" s="7"/>
      <c r="I532" s="8"/>
      <c r="J532" s="8"/>
      <c r="K532" s="8"/>
      <c r="L532" s="8"/>
      <c r="M532" s="8"/>
      <c r="N532" s="5"/>
      <c r="O532" s="5"/>
      <c r="P532" s="5"/>
      <c r="Q532" s="5"/>
      <c r="R532" s="5"/>
      <c r="S532" s="5"/>
      <c r="T532" s="5"/>
      <c r="U532" s="5"/>
    </row>
    <row r="533" spans="1:21" ht="19.5" customHeight="1" x14ac:dyDescent="0.3">
      <c r="A533" s="5"/>
      <c r="B533" s="5"/>
      <c r="C533" s="5"/>
      <c r="D533" s="5"/>
      <c r="E533" s="6"/>
      <c r="F533" s="6"/>
      <c r="G533" s="6"/>
      <c r="H533" s="7"/>
      <c r="I533" s="8"/>
      <c r="J533" s="8"/>
      <c r="K533" s="8"/>
      <c r="L533" s="8"/>
      <c r="M533" s="8"/>
      <c r="N533" s="5"/>
      <c r="O533" s="5"/>
      <c r="P533" s="5"/>
      <c r="Q533" s="5"/>
      <c r="R533" s="5"/>
      <c r="S533" s="5"/>
      <c r="T533" s="5"/>
      <c r="U533" s="5"/>
    </row>
    <row r="534" spans="1:21" ht="19.5" customHeight="1" x14ac:dyDescent="0.3">
      <c r="A534" s="5"/>
      <c r="B534" s="5"/>
      <c r="C534" s="5"/>
      <c r="D534" s="5"/>
      <c r="E534" s="6"/>
      <c r="F534" s="6"/>
      <c r="G534" s="6"/>
      <c r="H534" s="7"/>
      <c r="I534" s="8"/>
      <c r="J534" s="8"/>
      <c r="K534" s="8"/>
      <c r="L534" s="8"/>
      <c r="M534" s="8"/>
      <c r="N534" s="5"/>
      <c r="O534" s="5"/>
      <c r="P534" s="5"/>
      <c r="Q534" s="5"/>
      <c r="R534" s="5"/>
      <c r="S534" s="5"/>
      <c r="T534" s="5"/>
      <c r="U534" s="5"/>
    </row>
    <row r="535" spans="1:21" ht="19.5" customHeight="1" x14ac:dyDescent="0.3">
      <c r="A535" s="5"/>
      <c r="B535" s="5"/>
      <c r="C535" s="5"/>
      <c r="D535" s="5"/>
      <c r="E535" s="6"/>
      <c r="F535" s="6"/>
      <c r="G535" s="6"/>
      <c r="H535" s="7"/>
      <c r="I535" s="8"/>
      <c r="J535" s="8"/>
      <c r="K535" s="8"/>
      <c r="L535" s="8"/>
      <c r="M535" s="8"/>
      <c r="N535" s="5"/>
      <c r="O535" s="5"/>
      <c r="P535" s="5"/>
      <c r="Q535" s="5"/>
      <c r="R535" s="5"/>
      <c r="S535" s="5"/>
      <c r="T535" s="5"/>
      <c r="U535" s="5"/>
    </row>
    <row r="536" spans="1:21" ht="19.5" customHeight="1" x14ac:dyDescent="0.3">
      <c r="A536" s="5"/>
      <c r="B536" s="5"/>
      <c r="C536" s="5"/>
      <c r="D536" s="5"/>
      <c r="E536" s="6"/>
      <c r="F536" s="6"/>
      <c r="G536" s="6"/>
      <c r="H536" s="7"/>
      <c r="I536" s="8"/>
      <c r="J536" s="8"/>
      <c r="K536" s="8"/>
      <c r="L536" s="8"/>
      <c r="M536" s="8"/>
      <c r="N536" s="5"/>
      <c r="O536" s="5"/>
      <c r="P536" s="5"/>
      <c r="Q536" s="5"/>
      <c r="R536" s="5"/>
      <c r="S536" s="5"/>
      <c r="T536" s="5"/>
      <c r="U536" s="5"/>
    </row>
    <row r="537" spans="1:21" ht="19.5" customHeight="1" x14ac:dyDescent="0.3">
      <c r="A537" s="5"/>
      <c r="B537" s="5"/>
      <c r="C537" s="5"/>
      <c r="D537" s="5"/>
      <c r="E537" s="6"/>
      <c r="F537" s="6"/>
      <c r="G537" s="6"/>
      <c r="H537" s="7"/>
      <c r="I537" s="8"/>
      <c r="J537" s="8"/>
      <c r="K537" s="8"/>
      <c r="L537" s="8"/>
      <c r="M537" s="8"/>
      <c r="N537" s="5"/>
      <c r="O537" s="5"/>
      <c r="P537" s="5"/>
      <c r="Q537" s="5"/>
      <c r="R537" s="5"/>
      <c r="S537" s="5"/>
      <c r="T537" s="5"/>
      <c r="U537" s="5"/>
    </row>
    <row r="538" spans="1:21" ht="19.5" customHeight="1" x14ac:dyDescent="0.3">
      <c r="A538" s="5"/>
      <c r="B538" s="5"/>
      <c r="C538" s="5"/>
      <c r="D538" s="5"/>
      <c r="E538" s="6"/>
      <c r="F538" s="6"/>
      <c r="G538" s="6"/>
      <c r="H538" s="7"/>
      <c r="I538" s="8"/>
      <c r="J538" s="8"/>
      <c r="K538" s="8"/>
      <c r="L538" s="8"/>
      <c r="M538" s="8"/>
      <c r="N538" s="5"/>
      <c r="O538" s="5"/>
      <c r="P538" s="5"/>
      <c r="Q538" s="5"/>
      <c r="R538" s="5"/>
      <c r="S538" s="5"/>
      <c r="T538" s="5"/>
      <c r="U538" s="5"/>
    </row>
    <row r="539" spans="1:21" ht="19.5" customHeight="1" x14ac:dyDescent="0.3">
      <c r="A539" s="5"/>
      <c r="B539" s="5"/>
      <c r="C539" s="5"/>
      <c r="D539" s="5"/>
      <c r="E539" s="6"/>
      <c r="F539" s="6"/>
      <c r="G539" s="6"/>
      <c r="H539" s="7"/>
      <c r="I539" s="8"/>
      <c r="J539" s="8"/>
      <c r="K539" s="8"/>
      <c r="L539" s="8"/>
      <c r="M539" s="8"/>
      <c r="N539" s="5"/>
      <c r="O539" s="5"/>
      <c r="P539" s="5"/>
      <c r="Q539" s="5"/>
      <c r="R539" s="5"/>
      <c r="S539" s="5"/>
      <c r="T539" s="5"/>
      <c r="U539" s="5"/>
    </row>
    <row r="540" spans="1:21" ht="19.5" customHeight="1" x14ac:dyDescent="0.3">
      <c r="A540" s="5"/>
      <c r="B540" s="5"/>
      <c r="C540" s="5"/>
      <c r="D540" s="5"/>
      <c r="E540" s="6"/>
      <c r="F540" s="6"/>
      <c r="G540" s="6"/>
      <c r="H540" s="7"/>
      <c r="I540" s="8"/>
      <c r="J540" s="8"/>
      <c r="K540" s="8"/>
      <c r="L540" s="8"/>
      <c r="M540" s="8"/>
      <c r="N540" s="5"/>
      <c r="O540" s="5"/>
      <c r="P540" s="5"/>
      <c r="Q540" s="5"/>
      <c r="R540" s="5"/>
      <c r="S540" s="5"/>
      <c r="T540" s="5"/>
      <c r="U540" s="5"/>
    </row>
    <row r="541" spans="1:21" ht="19.5" customHeight="1" x14ac:dyDescent="0.3">
      <c r="A541" s="5"/>
      <c r="B541" s="5"/>
      <c r="C541" s="5"/>
      <c r="D541" s="5"/>
      <c r="E541" s="6"/>
      <c r="F541" s="6"/>
      <c r="G541" s="6"/>
      <c r="H541" s="7"/>
      <c r="I541" s="8"/>
      <c r="J541" s="8"/>
      <c r="K541" s="8"/>
      <c r="L541" s="8"/>
      <c r="M541" s="8"/>
      <c r="N541" s="5"/>
      <c r="O541" s="5"/>
      <c r="P541" s="5"/>
      <c r="Q541" s="5"/>
      <c r="R541" s="5"/>
      <c r="S541" s="5"/>
      <c r="T541" s="5"/>
      <c r="U541" s="5"/>
    </row>
    <row r="542" spans="1:21" ht="19.5" customHeight="1" x14ac:dyDescent="0.3">
      <c r="A542" s="5"/>
      <c r="B542" s="5"/>
      <c r="C542" s="5"/>
      <c r="D542" s="5"/>
      <c r="E542" s="6"/>
      <c r="F542" s="6"/>
      <c r="G542" s="6"/>
      <c r="H542" s="7"/>
      <c r="I542" s="8"/>
      <c r="J542" s="8"/>
      <c r="K542" s="8"/>
      <c r="L542" s="8"/>
      <c r="M542" s="8"/>
      <c r="N542" s="5"/>
      <c r="O542" s="5"/>
      <c r="P542" s="5"/>
      <c r="Q542" s="5"/>
      <c r="R542" s="5"/>
      <c r="S542" s="5"/>
      <c r="T542" s="5"/>
      <c r="U542" s="5"/>
    </row>
    <row r="543" spans="1:21" ht="19.5" customHeight="1" x14ac:dyDescent="0.3">
      <c r="A543" s="5"/>
      <c r="B543" s="5"/>
      <c r="C543" s="5"/>
      <c r="D543" s="5"/>
      <c r="E543" s="6"/>
      <c r="F543" s="6"/>
      <c r="G543" s="6"/>
      <c r="H543" s="7"/>
      <c r="I543" s="8"/>
      <c r="J543" s="8"/>
      <c r="K543" s="8"/>
      <c r="L543" s="8"/>
      <c r="M543" s="8"/>
      <c r="N543" s="5"/>
      <c r="O543" s="5"/>
      <c r="P543" s="5"/>
      <c r="Q543" s="5"/>
      <c r="R543" s="5"/>
      <c r="S543" s="5"/>
      <c r="T543" s="5"/>
      <c r="U543" s="5"/>
    </row>
    <row r="544" spans="1:21" ht="19.5" customHeight="1" x14ac:dyDescent="0.3">
      <c r="A544" s="5"/>
      <c r="B544" s="5"/>
      <c r="C544" s="5"/>
      <c r="D544" s="5"/>
      <c r="E544" s="6"/>
      <c r="F544" s="6"/>
      <c r="G544" s="6"/>
      <c r="H544" s="7"/>
      <c r="I544" s="8"/>
      <c r="J544" s="8"/>
      <c r="K544" s="8"/>
      <c r="L544" s="8"/>
      <c r="M544" s="8"/>
      <c r="N544" s="5"/>
      <c r="O544" s="5"/>
      <c r="P544" s="5"/>
      <c r="Q544" s="5"/>
      <c r="R544" s="5"/>
      <c r="S544" s="5"/>
      <c r="T544" s="5"/>
      <c r="U544" s="5"/>
    </row>
    <row r="545" spans="1:21" ht="19.5" customHeight="1" x14ac:dyDescent="0.3">
      <c r="A545" s="5"/>
      <c r="B545" s="5"/>
      <c r="C545" s="5"/>
      <c r="D545" s="5"/>
      <c r="E545" s="6"/>
      <c r="F545" s="6"/>
      <c r="G545" s="6"/>
      <c r="H545" s="7"/>
      <c r="I545" s="8"/>
      <c r="J545" s="8"/>
      <c r="K545" s="8"/>
      <c r="L545" s="8"/>
      <c r="M545" s="8"/>
      <c r="N545" s="5"/>
      <c r="O545" s="5"/>
      <c r="P545" s="5"/>
      <c r="Q545" s="5"/>
      <c r="R545" s="5"/>
      <c r="S545" s="5"/>
      <c r="T545" s="5"/>
      <c r="U545" s="5"/>
    </row>
    <row r="546" spans="1:21" ht="19.5" customHeight="1" x14ac:dyDescent="0.3">
      <c r="A546" s="5"/>
      <c r="B546" s="5"/>
      <c r="C546" s="5"/>
      <c r="D546" s="5"/>
      <c r="E546" s="6"/>
      <c r="F546" s="6"/>
      <c r="G546" s="6"/>
      <c r="H546" s="7"/>
      <c r="I546" s="8"/>
      <c r="J546" s="8"/>
      <c r="K546" s="8"/>
      <c r="L546" s="8"/>
      <c r="M546" s="8"/>
      <c r="N546" s="5"/>
      <c r="O546" s="5"/>
      <c r="P546" s="5"/>
      <c r="Q546" s="5"/>
      <c r="R546" s="5"/>
      <c r="S546" s="5"/>
      <c r="T546" s="5"/>
      <c r="U546" s="5"/>
    </row>
    <row r="547" spans="1:21" ht="19.5" customHeight="1" x14ac:dyDescent="0.3">
      <c r="A547" s="5"/>
      <c r="B547" s="5"/>
      <c r="C547" s="5"/>
      <c r="D547" s="5"/>
      <c r="E547" s="6"/>
      <c r="F547" s="6"/>
      <c r="G547" s="6"/>
      <c r="H547" s="7"/>
      <c r="I547" s="8"/>
      <c r="J547" s="8"/>
      <c r="K547" s="8"/>
      <c r="L547" s="8"/>
      <c r="M547" s="8"/>
      <c r="N547" s="5"/>
      <c r="O547" s="5"/>
      <c r="P547" s="5"/>
      <c r="Q547" s="5"/>
      <c r="R547" s="5"/>
      <c r="S547" s="5"/>
      <c r="T547" s="5"/>
      <c r="U547" s="5"/>
    </row>
    <row r="548" spans="1:21" ht="19.5" customHeight="1" x14ac:dyDescent="0.3">
      <c r="A548" s="5"/>
      <c r="B548" s="5"/>
      <c r="C548" s="5"/>
      <c r="D548" s="5"/>
      <c r="E548" s="6"/>
      <c r="F548" s="6"/>
      <c r="G548" s="6"/>
      <c r="H548" s="7"/>
      <c r="I548" s="8"/>
      <c r="J548" s="8"/>
      <c r="K548" s="8"/>
      <c r="L548" s="8"/>
      <c r="M548" s="8"/>
      <c r="N548" s="5"/>
      <c r="O548" s="5"/>
      <c r="P548" s="5"/>
      <c r="Q548" s="5"/>
      <c r="R548" s="5"/>
      <c r="S548" s="5"/>
      <c r="T548" s="5"/>
      <c r="U548" s="5"/>
    </row>
    <row r="549" spans="1:21" ht="19.5" customHeight="1" x14ac:dyDescent="0.3">
      <c r="A549" s="5"/>
      <c r="B549" s="5"/>
      <c r="C549" s="5"/>
      <c r="D549" s="5"/>
      <c r="E549" s="6"/>
      <c r="F549" s="6"/>
      <c r="G549" s="6"/>
      <c r="H549" s="7"/>
      <c r="I549" s="8"/>
      <c r="J549" s="8"/>
      <c r="K549" s="8"/>
      <c r="L549" s="8"/>
      <c r="M549" s="8"/>
      <c r="N549" s="5"/>
      <c r="O549" s="5"/>
      <c r="P549" s="5"/>
      <c r="Q549" s="5"/>
      <c r="R549" s="5"/>
      <c r="S549" s="5"/>
      <c r="T549" s="5"/>
      <c r="U549" s="5"/>
    </row>
    <row r="550" spans="1:21" ht="19.5" customHeight="1" x14ac:dyDescent="0.3">
      <c r="A550" s="5"/>
      <c r="B550" s="5"/>
      <c r="C550" s="5"/>
      <c r="D550" s="5"/>
      <c r="E550" s="6"/>
      <c r="F550" s="6"/>
      <c r="G550" s="6"/>
      <c r="H550" s="7"/>
      <c r="I550" s="8"/>
      <c r="J550" s="8"/>
      <c r="K550" s="8"/>
      <c r="L550" s="8"/>
      <c r="M550" s="8"/>
      <c r="N550" s="5"/>
      <c r="O550" s="5"/>
      <c r="P550" s="5"/>
      <c r="Q550" s="5"/>
      <c r="R550" s="5"/>
      <c r="S550" s="5"/>
      <c r="T550" s="5"/>
      <c r="U550" s="5"/>
    </row>
    <row r="551" spans="1:21" ht="19.5" customHeight="1" x14ac:dyDescent="0.3">
      <c r="A551" s="5"/>
      <c r="B551" s="5"/>
      <c r="C551" s="5"/>
      <c r="D551" s="5"/>
      <c r="E551" s="6"/>
      <c r="F551" s="6"/>
      <c r="G551" s="6"/>
      <c r="H551" s="7"/>
      <c r="I551" s="8"/>
      <c r="J551" s="8"/>
      <c r="K551" s="8"/>
      <c r="L551" s="8"/>
      <c r="M551" s="8"/>
      <c r="N551" s="5"/>
      <c r="O551" s="5"/>
      <c r="P551" s="5"/>
      <c r="Q551" s="5"/>
      <c r="R551" s="5"/>
      <c r="S551" s="5"/>
      <c r="T551" s="5"/>
      <c r="U551" s="5"/>
    </row>
    <row r="552" spans="1:21" ht="19.5" customHeight="1" x14ac:dyDescent="0.3">
      <c r="A552" s="5"/>
      <c r="B552" s="5"/>
      <c r="C552" s="5"/>
      <c r="D552" s="5"/>
      <c r="E552" s="6"/>
      <c r="F552" s="6"/>
      <c r="G552" s="6"/>
      <c r="H552" s="7"/>
      <c r="I552" s="8"/>
      <c r="J552" s="8"/>
      <c r="K552" s="8"/>
      <c r="L552" s="8"/>
      <c r="M552" s="8"/>
      <c r="N552" s="5"/>
      <c r="O552" s="5"/>
      <c r="P552" s="5"/>
      <c r="Q552" s="5"/>
      <c r="R552" s="5"/>
      <c r="S552" s="5"/>
      <c r="T552" s="5"/>
      <c r="U552" s="5"/>
    </row>
    <row r="553" spans="1:21" ht="19.5" customHeight="1" x14ac:dyDescent="0.3">
      <c r="A553" s="5"/>
      <c r="B553" s="5"/>
      <c r="C553" s="5"/>
      <c r="D553" s="5"/>
      <c r="E553" s="6"/>
      <c r="F553" s="6"/>
      <c r="G553" s="6"/>
      <c r="H553" s="7"/>
      <c r="I553" s="8"/>
      <c r="J553" s="8"/>
      <c r="K553" s="8"/>
      <c r="L553" s="8"/>
      <c r="M553" s="8"/>
      <c r="N553" s="5"/>
      <c r="O553" s="5"/>
      <c r="P553" s="5"/>
      <c r="Q553" s="5"/>
      <c r="R553" s="5"/>
      <c r="S553" s="5"/>
      <c r="T553" s="5"/>
      <c r="U553" s="5"/>
    </row>
    <row r="554" spans="1:21" ht="19.5" customHeight="1" x14ac:dyDescent="0.3">
      <c r="A554" s="5"/>
      <c r="B554" s="5"/>
      <c r="C554" s="5"/>
      <c r="D554" s="5"/>
      <c r="E554" s="6"/>
      <c r="F554" s="6"/>
      <c r="G554" s="6"/>
      <c r="H554" s="7"/>
      <c r="I554" s="8"/>
      <c r="J554" s="8"/>
      <c r="K554" s="8"/>
      <c r="L554" s="8"/>
      <c r="M554" s="8"/>
      <c r="N554" s="5"/>
      <c r="O554" s="5"/>
      <c r="P554" s="5"/>
      <c r="Q554" s="5"/>
      <c r="R554" s="5"/>
      <c r="S554" s="5"/>
      <c r="T554" s="5"/>
      <c r="U554" s="5"/>
    </row>
    <row r="555" spans="1:21" ht="19.5" customHeight="1" x14ac:dyDescent="0.3">
      <c r="A555" s="5"/>
      <c r="B555" s="5"/>
      <c r="C555" s="5"/>
      <c r="D555" s="5"/>
      <c r="E555" s="6"/>
      <c r="F555" s="6"/>
      <c r="G555" s="6"/>
      <c r="H555" s="7"/>
      <c r="I555" s="8"/>
      <c r="J555" s="8"/>
      <c r="K555" s="8"/>
      <c r="L555" s="8"/>
      <c r="M555" s="8"/>
      <c r="N555" s="5"/>
      <c r="O555" s="5"/>
      <c r="P555" s="5"/>
      <c r="Q555" s="5"/>
      <c r="R555" s="5"/>
      <c r="S555" s="5"/>
      <c r="T555" s="5"/>
      <c r="U555" s="5"/>
    </row>
    <row r="556" spans="1:21" ht="19.5" customHeight="1" x14ac:dyDescent="0.3">
      <c r="A556" s="5"/>
      <c r="B556" s="5"/>
      <c r="C556" s="5"/>
      <c r="D556" s="5"/>
      <c r="E556" s="6"/>
      <c r="F556" s="6"/>
      <c r="G556" s="6"/>
      <c r="H556" s="7"/>
      <c r="I556" s="8"/>
      <c r="J556" s="8"/>
      <c r="K556" s="8"/>
      <c r="L556" s="8"/>
      <c r="M556" s="8"/>
      <c r="N556" s="5"/>
      <c r="O556" s="5"/>
      <c r="P556" s="5"/>
      <c r="Q556" s="5"/>
      <c r="R556" s="5"/>
      <c r="S556" s="5"/>
      <c r="T556" s="5"/>
      <c r="U556" s="5"/>
    </row>
    <row r="557" spans="1:21" ht="19.5" customHeight="1" x14ac:dyDescent="0.3">
      <c r="A557" s="5"/>
      <c r="B557" s="5"/>
      <c r="C557" s="5"/>
      <c r="D557" s="5"/>
      <c r="E557" s="6"/>
      <c r="F557" s="6"/>
      <c r="G557" s="6"/>
      <c r="H557" s="7"/>
      <c r="I557" s="8"/>
      <c r="J557" s="8"/>
      <c r="K557" s="8"/>
      <c r="L557" s="8"/>
      <c r="M557" s="8"/>
      <c r="N557" s="5"/>
      <c r="O557" s="5"/>
      <c r="P557" s="5"/>
      <c r="Q557" s="5"/>
      <c r="R557" s="5"/>
      <c r="S557" s="5"/>
      <c r="T557" s="5"/>
      <c r="U557" s="5"/>
    </row>
    <row r="558" spans="1:21" ht="19.5" customHeight="1" x14ac:dyDescent="0.3">
      <c r="A558" s="5"/>
      <c r="B558" s="5"/>
      <c r="C558" s="5"/>
      <c r="D558" s="5"/>
      <c r="E558" s="6"/>
      <c r="F558" s="6"/>
      <c r="G558" s="6"/>
      <c r="H558" s="7"/>
      <c r="I558" s="8"/>
      <c r="J558" s="8"/>
      <c r="K558" s="8"/>
      <c r="L558" s="8"/>
      <c r="M558" s="8"/>
      <c r="N558" s="5"/>
      <c r="O558" s="5"/>
      <c r="P558" s="5"/>
      <c r="Q558" s="5"/>
      <c r="R558" s="5"/>
      <c r="S558" s="5"/>
      <c r="T558" s="5"/>
      <c r="U558" s="5"/>
    </row>
    <row r="559" spans="1:21" ht="19.5" customHeight="1" x14ac:dyDescent="0.3">
      <c r="A559" s="5"/>
      <c r="B559" s="5"/>
      <c r="C559" s="5"/>
      <c r="D559" s="5"/>
      <c r="E559" s="6"/>
      <c r="F559" s="6"/>
      <c r="G559" s="6"/>
      <c r="H559" s="7"/>
      <c r="I559" s="8"/>
      <c r="J559" s="8"/>
      <c r="K559" s="8"/>
      <c r="L559" s="8"/>
      <c r="M559" s="8"/>
      <c r="N559" s="5"/>
      <c r="O559" s="5"/>
      <c r="P559" s="5"/>
      <c r="Q559" s="5"/>
      <c r="R559" s="5"/>
      <c r="S559" s="5"/>
      <c r="T559" s="5"/>
      <c r="U559" s="5"/>
    </row>
    <row r="560" spans="1:21" ht="19.5" customHeight="1" x14ac:dyDescent="0.3">
      <c r="A560" s="5"/>
      <c r="B560" s="5"/>
      <c r="C560" s="5"/>
      <c r="D560" s="5"/>
      <c r="E560" s="6"/>
      <c r="F560" s="6"/>
      <c r="G560" s="6"/>
      <c r="H560" s="7"/>
      <c r="I560" s="8"/>
      <c r="J560" s="8"/>
      <c r="K560" s="8"/>
      <c r="L560" s="8"/>
      <c r="M560" s="8"/>
      <c r="N560" s="5"/>
      <c r="O560" s="5"/>
      <c r="P560" s="5"/>
      <c r="Q560" s="5"/>
      <c r="R560" s="5"/>
      <c r="S560" s="5"/>
      <c r="T560" s="5"/>
      <c r="U560" s="5"/>
    </row>
    <row r="561" spans="1:21" ht="19.5" customHeight="1" x14ac:dyDescent="0.3">
      <c r="A561" s="5"/>
      <c r="B561" s="5"/>
      <c r="C561" s="5"/>
      <c r="D561" s="5"/>
      <c r="E561" s="6"/>
      <c r="F561" s="6"/>
      <c r="G561" s="6"/>
      <c r="H561" s="7"/>
      <c r="I561" s="8"/>
      <c r="J561" s="8"/>
      <c r="K561" s="8"/>
      <c r="L561" s="8"/>
      <c r="M561" s="8"/>
      <c r="N561" s="5"/>
      <c r="O561" s="5"/>
      <c r="P561" s="5"/>
      <c r="Q561" s="5"/>
      <c r="R561" s="5"/>
      <c r="S561" s="5"/>
      <c r="T561" s="5"/>
      <c r="U561" s="5"/>
    </row>
    <row r="562" spans="1:21" ht="19.5" customHeight="1" x14ac:dyDescent="0.3">
      <c r="A562" s="5"/>
      <c r="B562" s="5"/>
      <c r="C562" s="5"/>
      <c r="D562" s="5"/>
      <c r="E562" s="6"/>
      <c r="F562" s="6"/>
      <c r="G562" s="6"/>
      <c r="H562" s="7"/>
      <c r="I562" s="8"/>
      <c r="J562" s="8"/>
      <c r="K562" s="8"/>
      <c r="L562" s="8"/>
      <c r="M562" s="8"/>
      <c r="N562" s="5"/>
      <c r="O562" s="5"/>
      <c r="P562" s="5"/>
      <c r="Q562" s="5"/>
      <c r="R562" s="5"/>
      <c r="S562" s="5"/>
      <c r="T562" s="5"/>
      <c r="U562" s="5"/>
    </row>
    <row r="563" spans="1:21" ht="19.5" customHeight="1" x14ac:dyDescent="0.3">
      <c r="A563" s="5"/>
      <c r="B563" s="5"/>
      <c r="C563" s="5"/>
      <c r="D563" s="5"/>
      <c r="E563" s="6"/>
      <c r="F563" s="6"/>
      <c r="G563" s="6"/>
      <c r="H563" s="7"/>
      <c r="I563" s="8"/>
      <c r="J563" s="8"/>
      <c r="K563" s="8"/>
      <c r="L563" s="8"/>
      <c r="M563" s="8"/>
      <c r="N563" s="5"/>
      <c r="O563" s="5"/>
      <c r="P563" s="5"/>
      <c r="Q563" s="5"/>
      <c r="R563" s="5"/>
      <c r="S563" s="5"/>
      <c r="T563" s="5"/>
      <c r="U563" s="5"/>
    </row>
    <row r="564" spans="1:21" ht="19.5" customHeight="1" x14ac:dyDescent="0.3">
      <c r="A564" s="5"/>
      <c r="B564" s="5"/>
      <c r="C564" s="5"/>
      <c r="D564" s="5"/>
      <c r="E564" s="6"/>
      <c r="F564" s="6"/>
      <c r="G564" s="6"/>
      <c r="H564" s="7"/>
      <c r="I564" s="8"/>
      <c r="J564" s="8"/>
      <c r="K564" s="8"/>
      <c r="L564" s="8"/>
      <c r="M564" s="8"/>
      <c r="N564" s="5"/>
      <c r="O564" s="5"/>
      <c r="P564" s="5"/>
      <c r="Q564" s="5"/>
      <c r="R564" s="5"/>
      <c r="S564" s="5"/>
      <c r="T564" s="5"/>
      <c r="U564" s="5"/>
    </row>
    <row r="565" spans="1:21" ht="19.5" customHeight="1" x14ac:dyDescent="0.3">
      <c r="A565" s="5"/>
      <c r="B565" s="5"/>
      <c r="C565" s="5"/>
      <c r="D565" s="5"/>
      <c r="E565" s="6"/>
      <c r="F565" s="6"/>
      <c r="G565" s="6"/>
      <c r="H565" s="7"/>
      <c r="I565" s="8"/>
      <c r="J565" s="8"/>
      <c r="K565" s="8"/>
      <c r="L565" s="8"/>
      <c r="M565" s="8"/>
      <c r="N565" s="5"/>
      <c r="O565" s="5"/>
      <c r="P565" s="5"/>
      <c r="Q565" s="5"/>
      <c r="R565" s="5"/>
      <c r="S565" s="5"/>
      <c r="T565" s="5"/>
      <c r="U565" s="5"/>
    </row>
    <row r="566" spans="1:21" ht="19.5" customHeight="1" x14ac:dyDescent="0.3">
      <c r="A566" s="5"/>
      <c r="B566" s="5"/>
      <c r="C566" s="5"/>
      <c r="D566" s="5"/>
      <c r="E566" s="6"/>
      <c r="F566" s="6"/>
      <c r="G566" s="6"/>
      <c r="H566" s="7"/>
      <c r="I566" s="8"/>
      <c r="J566" s="8"/>
      <c r="K566" s="8"/>
      <c r="L566" s="8"/>
      <c r="M566" s="8"/>
      <c r="N566" s="5"/>
      <c r="O566" s="5"/>
      <c r="P566" s="5"/>
      <c r="Q566" s="5"/>
      <c r="R566" s="5"/>
      <c r="S566" s="5"/>
      <c r="T566" s="5"/>
      <c r="U566" s="5"/>
    </row>
    <row r="567" spans="1:21" ht="19.5" customHeight="1" x14ac:dyDescent="0.3">
      <c r="A567" s="5"/>
      <c r="B567" s="5"/>
      <c r="C567" s="5"/>
      <c r="D567" s="5"/>
      <c r="E567" s="6"/>
      <c r="F567" s="6"/>
      <c r="G567" s="6"/>
      <c r="H567" s="7"/>
      <c r="I567" s="8"/>
      <c r="J567" s="8"/>
      <c r="K567" s="8"/>
      <c r="L567" s="8"/>
      <c r="M567" s="8"/>
      <c r="N567" s="5"/>
      <c r="O567" s="5"/>
      <c r="P567" s="5"/>
      <c r="Q567" s="5"/>
      <c r="R567" s="5"/>
      <c r="S567" s="5"/>
      <c r="T567" s="5"/>
      <c r="U567" s="5"/>
    </row>
    <row r="568" spans="1:21" ht="19.5" customHeight="1" x14ac:dyDescent="0.3">
      <c r="A568" s="5"/>
      <c r="B568" s="5"/>
      <c r="C568" s="5"/>
      <c r="D568" s="5"/>
      <c r="E568" s="6"/>
      <c r="F568" s="6"/>
      <c r="G568" s="6"/>
      <c r="H568" s="7"/>
      <c r="I568" s="8"/>
      <c r="J568" s="8"/>
      <c r="K568" s="8"/>
      <c r="L568" s="8"/>
      <c r="M568" s="8"/>
      <c r="N568" s="5"/>
      <c r="O568" s="5"/>
      <c r="P568" s="5"/>
      <c r="Q568" s="5"/>
      <c r="R568" s="5"/>
      <c r="S568" s="5"/>
      <c r="T568" s="5"/>
      <c r="U568" s="5"/>
    </row>
    <row r="569" spans="1:21" ht="19.5" customHeight="1" x14ac:dyDescent="0.3">
      <c r="A569" s="5"/>
      <c r="B569" s="5"/>
      <c r="C569" s="5"/>
      <c r="D569" s="5"/>
      <c r="E569" s="6"/>
      <c r="F569" s="6"/>
      <c r="G569" s="6"/>
      <c r="H569" s="7"/>
      <c r="I569" s="8"/>
      <c r="J569" s="8"/>
      <c r="K569" s="8"/>
      <c r="L569" s="8"/>
      <c r="M569" s="8"/>
      <c r="N569" s="5"/>
      <c r="O569" s="5"/>
      <c r="P569" s="5"/>
      <c r="Q569" s="5"/>
      <c r="R569" s="5"/>
      <c r="S569" s="5"/>
      <c r="T569" s="5"/>
      <c r="U569" s="5"/>
    </row>
    <row r="570" spans="1:21" ht="19.5" customHeight="1" x14ac:dyDescent="0.3">
      <c r="A570" s="5"/>
      <c r="B570" s="5"/>
      <c r="C570" s="5"/>
      <c r="D570" s="5"/>
      <c r="E570" s="6"/>
      <c r="F570" s="6"/>
      <c r="G570" s="6"/>
      <c r="H570" s="7"/>
      <c r="I570" s="8"/>
      <c r="J570" s="8"/>
      <c r="K570" s="8"/>
      <c r="L570" s="8"/>
      <c r="M570" s="8"/>
      <c r="N570" s="5"/>
      <c r="O570" s="5"/>
      <c r="P570" s="5"/>
      <c r="Q570" s="5"/>
      <c r="R570" s="5"/>
      <c r="S570" s="5"/>
      <c r="T570" s="5"/>
      <c r="U570" s="5"/>
    </row>
    <row r="571" spans="1:21" ht="19.5" customHeight="1" x14ac:dyDescent="0.3">
      <c r="A571" s="5"/>
      <c r="B571" s="5"/>
      <c r="C571" s="5"/>
      <c r="D571" s="5"/>
      <c r="E571" s="6"/>
      <c r="F571" s="6"/>
      <c r="G571" s="6"/>
      <c r="H571" s="7"/>
      <c r="I571" s="8"/>
      <c r="J571" s="8"/>
      <c r="K571" s="8"/>
      <c r="L571" s="8"/>
      <c r="M571" s="8"/>
      <c r="N571" s="5"/>
      <c r="O571" s="5"/>
      <c r="P571" s="5"/>
      <c r="Q571" s="5"/>
      <c r="R571" s="5"/>
      <c r="S571" s="5"/>
      <c r="T571" s="5"/>
      <c r="U571" s="5"/>
    </row>
    <row r="572" spans="1:21" ht="19.5" customHeight="1" x14ac:dyDescent="0.3">
      <c r="A572" s="5"/>
      <c r="B572" s="5"/>
      <c r="C572" s="5"/>
      <c r="D572" s="5"/>
      <c r="E572" s="6"/>
      <c r="F572" s="6"/>
      <c r="G572" s="6"/>
      <c r="H572" s="7"/>
      <c r="I572" s="8"/>
      <c r="J572" s="8"/>
      <c r="K572" s="8"/>
      <c r="L572" s="8"/>
      <c r="M572" s="8"/>
      <c r="N572" s="5"/>
      <c r="O572" s="5"/>
      <c r="P572" s="5"/>
      <c r="Q572" s="5"/>
      <c r="R572" s="5"/>
      <c r="S572" s="5"/>
      <c r="T572" s="5"/>
      <c r="U572" s="5"/>
    </row>
    <row r="573" spans="1:21" ht="19.5" customHeight="1" x14ac:dyDescent="0.3">
      <c r="A573" s="5"/>
      <c r="B573" s="5"/>
      <c r="C573" s="5"/>
      <c r="D573" s="5"/>
      <c r="E573" s="6"/>
      <c r="F573" s="6"/>
      <c r="G573" s="6"/>
      <c r="H573" s="7"/>
      <c r="I573" s="8"/>
      <c r="J573" s="8"/>
      <c r="K573" s="8"/>
      <c r="L573" s="8"/>
      <c r="M573" s="8"/>
      <c r="N573" s="5"/>
      <c r="O573" s="5"/>
      <c r="P573" s="5"/>
      <c r="Q573" s="5"/>
      <c r="R573" s="5"/>
      <c r="S573" s="5"/>
      <c r="T573" s="5"/>
      <c r="U573" s="5"/>
    </row>
    <row r="574" spans="1:21" ht="19.5" customHeight="1" x14ac:dyDescent="0.3">
      <c r="A574" s="5"/>
      <c r="B574" s="5"/>
      <c r="C574" s="5"/>
      <c r="D574" s="5"/>
      <c r="E574" s="6"/>
      <c r="F574" s="6"/>
      <c r="G574" s="6"/>
      <c r="H574" s="7"/>
      <c r="I574" s="8"/>
      <c r="J574" s="8"/>
      <c r="K574" s="8"/>
      <c r="L574" s="8"/>
      <c r="M574" s="8"/>
      <c r="N574" s="5"/>
      <c r="O574" s="5"/>
      <c r="P574" s="5"/>
      <c r="Q574" s="5"/>
      <c r="R574" s="5"/>
      <c r="S574" s="5"/>
      <c r="T574" s="5"/>
      <c r="U574" s="5"/>
    </row>
    <row r="575" spans="1:21" ht="19.5" customHeight="1" x14ac:dyDescent="0.3">
      <c r="A575" s="5"/>
      <c r="B575" s="5"/>
      <c r="C575" s="5"/>
      <c r="D575" s="5"/>
      <c r="E575" s="6"/>
      <c r="F575" s="6"/>
      <c r="G575" s="6"/>
      <c r="H575" s="7"/>
      <c r="I575" s="8"/>
      <c r="J575" s="8"/>
      <c r="K575" s="8"/>
      <c r="L575" s="8"/>
      <c r="M575" s="8"/>
      <c r="N575" s="5"/>
      <c r="O575" s="5"/>
      <c r="P575" s="5"/>
      <c r="Q575" s="5"/>
      <c r="R575" s="5"/>
      <c r="S575" s="5"/>
      <c r="T575" s="5"/>
      <c r="U575" s="5"/>
    </row>
    <row r="576" spans="1:21" ht="19.5" customHeight="1" x14ac:dyDescent="0.3">
      <c r="A576" s="5"/>
      <c r="B576" s="5"/>
      <c r="C576" s="5"/>
      <c r="D576" s="5"/>
      <c r="E576" s="6"/>
      <c r="F576" s="6"/>
      <c r="G576" s="6"/>
      <c r="H576" s="7"/>
      <c r="I576" s="8"/>
      <c r="J576" s="8"/>
      <c r="K576" s="8"/>
      <c r="L576" s="8"/>
      <c r="M576" s="8"/>
      <c r="N576" s="5"/>
      <c r="O576" s="5"/>
      <c r="P576" s="5"/>
      <c r="Q576" s="5"/>
      <c r="R576" s="5"/>
      <c r="S576" s="5"/>
      <c r="T576" s="5"/>
      <c r="U576" s="5"/>
    </row>
    <row r="577" spans="1:21" ht="19.5" customHeight="1" x14ac:dyDescent="0.3">
      <c r="A577" s="5"/>
      <c r="B577" s="5"/>
      <c r="C577" s="5"/>
      <c r="D577" s="5"/>
      <c r="E577" s="6"/>
      <c r="F577" s="6"/>
      <c r="G577" s="6"/>
      <c r="H577" s="7"/>
      <c r="I577" s="8"/>
      <c r="J577" s="8"/>
      <c r="K577" s="8"/>
      <c r="L577" s="8"/>
      <c r="M577" s="8"/>
      <c r="N577" s="5"/>
      <c r="O577" s="5"/>
      <c r="P577" s="5"/>
      <c r="Q577" s="5"/>
      <c r="R577" s="5"/>
      <c r="S577" s="5"/>
      <c r="T577" s="5"/>
      <c r="U577" s="5"/>
    </row>
    <row r="578" spans="1:21" ht="19.5" customHeight="1" x14ac:dyDescent="0.3">
      <c r="A578" s="5"/>
      <c r="B578" s="5"/>
      <c r="C578" s="5"/>
      <c r="D578" s="5"/>
      <c r="E578" s="6"/>
      <c r="F578" s="6"/>
      <c r="G578" s="6"/>
      <c r="H578" s="7"/>
      <c r="I578" s="8"/>
      <c r="J578" s="8"/>
      <c r="K578" s="8"/>
      <c r="L578" s="8"/>
      <c r="M578" s="8"/>
      <c r="N578" s="5"/>
      <c r="O578" s="5"/>
      <c r="P578" s="5"/>
      <c r="Q578" s="5"/>
      <c r="R578" s="5"/>
      <c r="S578" s="5"/>
      <c r="T578" s="5"/>
      <c r="U578" s="5"/>
    </row>
    <row r="579" spans="1:21" ht="19.5" customHeight="1" x14ac:dyDescent="0.3">
      <c r="A579" s="5"/>
      <c r="B579" s="5"/>
      <c r="C579" s="5"/>
      <c r="D579" s="5"/>
      <c r="E579" s="6"/>
      <c r="F579" s="6"/>
      <c r="G579" s="6"/>
      <c r="H579" s="7"/>
      <c r="I579" s="8"/>
      <c r="J579" s="8"/>
      <c r="K579" s="8"/>
      <c r="L579" s="8"/>
      <c r="M579" s="8"/>
      <c r="N579" s="5"/>
      <c r="O579" s="5"/>
      <c r="P579" s="5"/>
      <c r="Q579" s="5"/>
      <c r="R579" s="5"/>
      <c r="S579" s="5"/>
      <c r="T579" s="5"/>
      <c r="U579" s="5"/>
    </row>
    <row r="580" spans="1:21" ht="19.5" customHeight="1" x14ac:dyDescent="0.3">
      <c r="A580" s="5"/>
      <c r="B580" s="5"/>
      <c r="C580" s="5"/>
      <c r="D580" s="5"/>
      <c r="E580" s="6"/>
      <c r="F580" s="6"/>
      <c r="G580" s="6"/>
      <c r="H580" s="7"/>
      <c r="I580" s="8"/>
      <c r="J580" s="8"/>
      <c r="K580" s="8"/>
      <c r="L580" s="8"/>
      <c r="M580" s="8"/>
      <c r="N580" s="5"/>
      <c r="O580" s="5"/>
      <c r="P580" s="5"/>
      <c r="Q580" s="5"/>
      <c r="R580" s="5"/>
      <c r="S580" s="5"/>
      <c r="T580" s="5"/>
      <c r="U580" s="5"/>
    </row>
    <row r="581" spans="1:21" ht="19.5" customHeight="1" x14ac:dyDescent="0.3">
      <c r="A581" s="5"/>
      <c r="B581" s="5"/>
      <c r="C581" s="5"/>
      <c r="D581" s="5"/>
      <c r="E581" s="6"/>
      <c r="F581" s="6"/>
      <c r="G581" s="6"/>
      <c r="H581" s="7"/>
      <c r="I581" s="8"/>
      <c r="J581" s="8"/>
      <c r="K581" s="8"/>
      <c r="L581" s="8"/>
      <c r="M581" s="8"/>
      <c r="N581" s="5"/>
      <c r="O581" s="5"/>
      <c r="P581" s="5"/>
      <c r="Q581" s="5"/>
      <c r="R581" s="5"/>
      <c r="S581" s="5"/>
      <c r="T581" s="5"/>
      <c r="U581" s="5"/>
    </row>
    <row r="582" spans="1:21" ht="19.5" customHeight="1" x14ac:dyDescent="0.3">
      <c r="A582" s="5"/>
      <c r="B582" s="5"/>
      <c r="C582" s="5"/>
      <c r="D582" s="5"/>
      <c r="E582" s="6"/>
      <c r="F582" s="6"/>
      <c r="G582" s="6"/>
      <c r="H582" s="7"/>
      <c r="I582" s="8"/>
      <c r="J582" s="8"/>
      <c r="K582" s="8"/>
      <c r="L582" s="8"/>
      <c r="M582" s="8"/>
      <c r="N582" s="5"/>
      <c r="O582" s="5"/>
      <c r="P582" s="5"/>
      <c r="Q582" s="5"/>
      <c r="R582" s="5"/>
      <c r="S582" s="5"/>
      <c r="T582" s="5"/>
      <c r="U582" s="5"/>
    </row>
    <row r="583" spans="1:21" ht="19.5" customHeight="1" x14ac:dyDescent="0.3">
      <c r="A583" s="5"/>
      <c r="B583" s="5"/>
      <c r="C583" s="5"/>
      <c r="D583" s="5"/>
      <c r="E583" s="6"/>
      <c r="F583" s="6"/>
      <c r="G583" s="6"/>
      <c r="H583" s="7"/>
      <c r="I583" s="8"/>
      <c r="J583" s="8"/>
      <c r="K583" s="8"/>
      <c r="L583" s="8"/>
      <c r="M583" s="8"/>
      <c r="N583" s="5"/>
      <c r="O583" s="5"/>
      <c r="P583" s="5"/>
      <c r="Q583" s="5"/>
      <c r="R583" s="5"/>
      <c r="S583" s="5"/>
      <c r="T583" s="5"/>
      <c r="U583" s="5"/>
    </row>
    <row r="584" spans="1:21" ht="19.5" customHeight="1" x14ac:dyDescent="0.3">
      <c r="A584" s="5"/>
      <c r="B584" s="5"/>
      <c r="C584" s="5"/>
      <c r="D584" s="5"/>
      <c r="E584" s="6"/>
      <c r="F584" s="6"/>
      <c r="G584" s="6"/>
      <c r="H584" s="7"/>
      <c r="I584" s="8"/>
      <c r="J584" s="8"/>
      <c r="K584" s="8"/>
      <c r="L584" s="8"/>
      <c r="M584" s="8"/>
      <c r="N584" s="5"/>
      <c r="O584" s="5"/>
      <c r="P584" s="5"/>
      <c r="Q584" s="5"/>
      <c r="R584" s="5"/>
      <c r="S584" s="5"/>
      <c r="T584" s="5"/>
      <c r="U584" s="5"/>
    </row>
    <row r="585" spans="1:21" ht="19.5" customHeight="1" x14ac:dyDescent="0.3">
      <c r="A585" s="5"/>
      <c r="B585" s="5"/>
      <c r="C585" s="5"/>
      <c r="D585" s="5"/>
      <c r="E585" s="6"/>
      <c r="F585" s="6"/>
      <c r="G585" s="6"/>
      <c r="H585" s="7"/>
      <c r="I585" s="8"/>
      <c r="J585" s="8"/>
      <c r="K585" s="8"/>
      <c r="L585" s="8"/>
      <c r="M585" s="8"/>
      <c r="N585" s="5"/>
      <c r="O585" s="5"/>
      <c r="P585" s="5"/>
      <c r="Q585" s="5"/>
      <c r="R585" s="5"/>
      <c r="S585" s="5"/>
      <c r="T585" s="5"/>
      <c r="U585" s="5"/>
    </row>
    <row r="586" spans="1:21" ht="19.5" customHeight="1" x14ac:dyDescent="0.3">
      <c r="A586" s="5"/>
      <c r="B586" s="5"/>
      <c r="C586" s="5"/>
      <c r="D586" s="5"/>
      <c r="E586" s="6"/>
      <c r="F586" s="6"/>
      <c r="G586" s="6"/>
      <c r="H586" s="7"/>
      <c r="I586" s="8"/>
      <c r="J586" s="8"/>
      <c r="K586" s="8"/>
      <c r="L586" s="8"/>
      <c r="M586" s="8"/>
      <c r="N586" s="5"/>
      <c r="O586" s="5"/>
      <c r="P586" s="5"/>
      <c r="Q586" s="5"/>
      <c r="R586" s="5"/>
      <c r="S586" s="5"/>
      <c r="T586" s="5"/>
      <c r="U586" s="5"/>
    </row>
    <row r="587" spans="1:21" ht="19.5" customHeight="1" x14ac:dyDescent="0.3">
      <c r="A587" s="5"/>
      <c r="B587" s="5"/>
      <c r="C587" s="5"/>
      <c r="D587" s="5"/>
      <c r="E587" s="6"/>
      <c r="F587" s="6"/>
      <c r="G587" s="6"/>
      <c r="H587" s="7"/>
      <c r="I587" s="8"/>
      <c r="J587" s="8"/>
      <c r="K587" s="8"/>
      <c r="L587" s="8"/>
      <c r="M587" s="8"/>
      <c r="N587" s="5"/>
      <c r="O587" s="5"/>
      <c r="P587" s="5"/>
      <c r="Q587" s="5"/>
      <c r="R587" s="5"/>
      <c r="S587" s="5"/>
      <c r="T587" s="5"/>
      <c r="U587" s="5"/>
    </row>
    <row r="588" spans="1:21" ht="19.5" customHeight="1" x14ac:dyDescent="0.3">
      <c r="A588" s="5"/>
      <c r="B588" s="5"/>
      <c r="C588" s="5"/>
      <c r="D588" s="5"/>
      <c r="E588" s="6"/>
      <c r="F588" s="6"/>
      <c r="G588" s="6"/>
      <c r="H588" s="7"/>
      <c r="I588" s="8"/>
      <c r="J588" s="8"/>
      <c r="K588" s="8"/>
      <c r="L588" s="8"/>
      <c r="M588" s="8"/>
      <c r="N588" s="5"/>
      <c r="O588" s="5"/>
      <c r="P588" s="5"/>
      <c r="Q588" s="5"/>
      <c r="R588" s="5"/>
      <c r="S588" s="5"/>
      <c r="T588" s="5"/>
      <c r="U588" s="5"/>
    </row>
    <row r="589" spans="1:21" ht="19.5" customHeight="1" x14ac:dyDescent="0.3">
      <c r="A589" s="5"/>
      <c r="B589" s="5"/>
      <c r="C589" s="5"/>
      <c r="D589" s="5"/>
      <c r="E589" s="6"/>
      <c r="F589" s="6"/>
      <c r="G589" s="6"/>
      <c r="H589" s="7"/>
      <c r="I589" s="8"/>
      <c r="J589" s="8"/>
      <c r="K589" s="8"/>
      <c r="L589" s="8"/>
      <c r="M589" s="8"/>
      <c r="N589" s="5"/>
      <c r="O589" s="5"/>
      <c r="P589" s="5"/>
      <c r="Q589" s="5"/>
      <c r="R589" s="5"/>
      <c r="S589" s="5"/>
      <c r="T589" s="5"/>
      <c r="U589" s="5"/>
    </row>
    <row r="590" spans="1:21" ht="19.5" customHeight="1" x14ac:dyDescent="0.3">
      <c r="A590" s="5"/>
      <c r="B590" s="5"/>
      <c r="C590" s="5"/>
      <c r="D590" s="5"/>
      <c r="E590" s="6"/>
      <c r="F590" s="6"/>
      <c r="G590" s="6"/>
      <c r="H590" s="7"/>
      <c r="I590" s="8"/>
      <c r="J590" s="8"/>
      <c r="K590" s="8"/>
      <c r="L590" s="8"/>
      <c r="M590" s="8"/>
      <c r="N590" s="5"/>
      <c r="O590" s="5"/>
      <c r="P590" s="5"/>
      <c r="Q590" s="5"/>
      <c r="R590" s="5"/>
      <c r="S590" s="5"/>
      <c r="T590" s="5"/>
      <c r="U590" s="5"/>
    </row>
    <row r="591" spans="1:21" ht="19.5" customHeight="1" x14ac:dyDescent="0.3">
      <c r="A591" s="5"/>
      <c r="B591" s="5"/>
      <c r="C591" s="5"/>
      <c r="D591" s="5"/>
      <c r="E591" s="6"/>
      <c r="F591" s="6"/>
      <c r="G591" s="6"/>
      <c r="H591" s="7"/>
      <c r="I591" s="8"/>
      <c r="J591" s="8"/>
      <c r="K591" s="8"/>
      <c r="L591" s="8"/>
      <c r="M591" s="8"/>
      <c r="N591" s="5"/>
      <c r="O591" s="5"/>
      <c r="P591" s="5"/>
      <c r="Q591" s="5"/>
      <c r="R591" s="5"/>
      <c r="S591" s="5"/>
      <c r="T591" s="5"/>
      <c r="U591" s="5"/>
    </row>
    <row r="592" spans="1:21" ht="19.5" customHeight="1" x14ac:dyDescent="0.3">
      <c r="A592" s="5"/>
      <c r="B592" s="5"/>
      <c r="C592" s="5"/>
      <c r="D592" s="5"/>
      <c r="E592" s="6"/>
      <c r="F592" s="6"/>
      <c r="G592" s="6"/>
      <c r="H592" s="7"/>
      <c r="I592" s="8"/>
      <c r="J592" s="8"/>
      <c r="K592" s="8"/>
      <c r="L592" s="8"/>
      <c r="M592" s="8"/>
      <c r="N592" s="5"/>
      <c r="O592" s="5"/>
      <c r="P592" s="5"/>
      <c r="Q592" s="5"/>
      <c r="R592" s="5"/>
      <c r="S592" s="5"/>
      <c r="T592" s="5"/>
      <c r="U592" s="5"/>
    </row>
    <row r="593" spans="1:21" ht="19.5" customHeight="1" x14ac:dyDescent="0.3">
      <c r="A593" s="5"/>
      <c r="B593" s="5"/>
      <c r="C593" s="5"/>
      <c r="D593" s="5"/>
      <c r="E593" s="6"/>
      <c r="F593" s="6"/>
      <c r="G593" s="6"/>
      <c r="H593" s="7"/>
      <c r="I593" s="8"/>
      <c r="J593" s="8"/>
      <c r="K593" s="8"/>
      <c r="L593" s="8"/>
      <c r="M593" s="8"/>
      <c r="N593" s="5"/>
      <c r="O593" s="5"/>
      <c r="P593" s="5"/>
      <c r="Q593" s="5"/>
      <c r="R593" s="5"/>
      <c r="S593" s="5"/>
      <c r="T593" s="5"/>
      <c r="U593" s="5"/>
    </row>
    <row r="594" spans="1:21" ht="19.5" customHeight="1" x14ac:dyDescent="0.3">
      <c r="A594" s="5"/>
      <c r="B594" s="5"/>
      <c r="C594" s="5"/>
      <c r="D594" s="5"/>
      <c r="E594" s="6"/>
      <c r="F594" s="6"/>
      <c r="G594" s="6"/>
      <c r="H594" s="7"/>
      <c r="I594" s="8"/>
      <c r="J594" s="8"/>
      <c r="K594" s="8"/>
      <c r="L594" s="8"/>
      <c r="M594" s="8"/>
      <c r="N594" s="5"/>
      <c r="O594" s="5"/>
      <c r="P594" s="5"/>
      <c r="Q594" s="5"/>
      <c r="R594" s="5"/>
      <c r="S594" s="5"/>
      <c r="T594" s="5"/>
      <c r="U594" s="5"/>
    </row>
    <row r="595" spans="1:21" ht="19.5" customHeight="1" x14ac:dyDescent="0.3">
      <c r="A595" s="5"/>
      <c r="B595" s="5"/>
      <c r="C595" s="5"/>
      <c r="D595" s="5"/>
      <c r="E595" s="6"/>
      <c r="F595" s="6"/>
      <c r="G595" s="6"/>
      <c r="H595" s="7"/>
      <c r="I595" s="8"/>
      <c r="J595" s="8"/>
      <c r="K595" s="8"/>
      <c r="L595" s="8"/>
      <c r="M595" s="8"/>
      <c r="N595" s="5"/>
      <c r="O595" s="5"/>
      <c r="P595" s="5"/>
      <c r="Q595" s="5"/>
      <c r="R595" s="5"/>
      <c r="S595" s="5"/>
      <c r="T595" s="5"/>
      <c r="U595" s="5"/>
    </row>
    <row r="596" spans="1:21" ht="19.5" customHeight="1" x14ac:dyDescent="0.3">
      <c r="A596" s="5"/>
      <c r="B596" s="5"/>
      <c r="C596" s="5"/>
      <c r="D596" s="5"/>
      <c r="E596" s="6"/>
      <c r="F596" s="6"/>
      <c r="G596" s="6"/>
      <c r="H596" s="7"/>
      <c r="I596" s="8"/>
      <c r="J596" s="8"/>
      <c r="K596" s="8"/>
      <c r="L596" s="8"/>
      <c r="M596" s="8"/>
      <c r="N596" s="5"/>
      <c r="O596" s="5"/>
      <c r="P596" s="5"/>
      <c r="Q596" s="5"/>
      <c r="R596" s="5"/>
      <c r="S596" s="5"/>
      <c r="T596" s="5"/>
      <c r="U596" s="5"/>
    </row>
    <row r="597" spans="1:21" ht="19.5" customHeight="1" x14ac:dyDescent="0.3">
      <c r="A597" s="5"/>
      <c r="B597" s="5"/>
      <c r="C597" s="5"/>
      <c r="D597" s="5"/>
      <c r="E597" s="6"/>
      <c r="F597" s="6"/>
      <c r="G597" s="6"/>
      <c r="H597" s="7"/>
      <c r="I597" s="8"/>
      <c r="J597" s="8"/>
      <c r="K597" s="8"/>
      <c r="L597" s="8"/>
      <c r="M597" s="8"/>
      <c r="N597" s="5"/>
      <c r="O597" s="5"/>
      <c r="P597" s="5"/>
      <c r="Q597" s="5"/>
      <c r="R597" s="5"/>
      <c r="S597" s="5"/>
      <c r="T597" s="5"/>
      <c r="U597" s="5"/>
    </row>
    <row r="598" spans="1:21" ht="19.5" customHeight="1" x14ac:dyDescent="0.3">
      <c r="A598" s="5"/>
      <c r="B598" s="5"/>
      <c r="C598" s="5"/>
      <c r="D598" s="5"/>
      <c r="E598" s="6"/>
      <c r="F598" s="6"/>
      <c r="G598" s="6"/>
      <c r="H598" s="7"/>
      <c r="I598" s="8"/>
      <c r="J598" s="8"/>
      <c r="K598" s="8"/>
      <c r="L598" s="8"/>
      <c r="M598" s="8"/>
      <c r="N598" s="5"/>
      <c r="O598" s="5"/>
      <c r="P598" s="5"/>
      <c r="Q598" s="5"/>
      <c r="R598" s="5"/>
      <c r="S598" s="5"/>
      <c r="T598" s="5"/>
      <c r="U598" s="5"/>
    </row>
    <row r="599" spans="1:21" ht="19.5" customHeight="1" x14ac:dyDescent="0.3">
      <c r="A599" s="5"/>
      <c r="B599" s="5"/>
      <c r="C599" s="5"/>
      <c r="D599" s="5"/>
      <c r="E599" s="6"/>
      <c r="F599" s="6"/>
      <c r="G599" s="6"/>
      <c r="H599" s="7"/>
      <c r="I599" s="8"/>
      <c r="J599" s="8"/>
      <c r="K599" s="8"/>
      <c r="L599" s="8"/>
      <c r="M599" s="8"/>
      <c r="N599" s="5"/>
      <c r="O599" s="5"/>
      <c r="P599" s="5"/>
      <c r="Q599" s="5"/>
      <c r="R599" s="5"/>
      <c r="S599" s="5"/>
      <c r="T599" s="5"/>
      <c r="U599" s="5"/>
    </row>
    <row r="600" spans="1:21" ht="19.5" customHeight="1" x14ac:dyDescent="0.3">
      <c r="A600" s="5"/>
      <c r="B600" s="5"/>
      <c r="C600" s="5"/>
      <c r="D600" s="5"/>
      <c r="E600" s="6"/>
      <c r="F600" s="6"/>
      <c r="G600" s="6"/>
      <c r="H600" s="7"/>
      <c r="I600" s="8"/>
      <c r="J600" s="8"/>
      <c r="K600" s="8"/>
      <c r="L600" s="8"/>
      <c r="M600" s="8"/>
      <c r="N600" s="5"/>
      <c r="O600" s="5"/>
      <c r="P600" s="5"/>
      <c r="Q600" s="5"/>
      <c r="R600" s="5"/>
      <c r="S600" s="5"/>
      <c r="T600" s="5"/>
      <c r="U600" s="5"/>
    </row>
    <row r="601" spans="1:21" ht="19.5" customHeight="1" x14ac:dyDescent="0.3">
      <c r="A601" s="5"/>
      <c r="B601" s="5"/>
      <c r="C601" s="5"/>
      <c r="D601" s="5"/>
      <c r="E601" s="6"/>
      <c r="F601" s="6"/>
      <c r="G601" s="6"/>
      <c r="H601" s="7"/>
      <c r="I601" s="8"/>
      <c r="J601" s="8"/>
      <c r="K601" s="8"/>
      <c r="L601" s="8"/>
      <c r="M601" s="8"/>
      <c r="N601" s="5"/>
      <c r="O601" s="5"/>
      <c r="P601" s="5"/>
      <c r="Q601" s="5"/>
      <c r="R601" s="5"/>
      <c r="S601" s="5"/>
      <c r="T601" s="5"/>
      <c r="U601" s="5"/>
    </row>
    <row r="602" spans="1:21" ht="19.5" customHeight="1" x14ac:dyDescent="0.3">
      <c r="A602" s="5"/>
      <c r="B602" s="5"/>
      <c r="C602" s="5"/>
      <c r="D602" s="5"/>
      <c r="E602" s="6"/>
      <c r="F602" s="6"/>
      <c r="G602" s="6"/>
      <c r="H602" s="7"/>
      <c r="I602" s="8"/>
      <c r="J602" s="8"/>
      <c r="K602" s="8"/>
      <c r="L602" s="8"/>
      <c r="M602" s="8"/>
      <c r="N602" s="5"/>
      <c r="O602" s="5"/>
      <c r="P602" s="5"/>
      <c r="Q602" s="5"/>
      <c r="R602" s="5"/>
      <c r="S602" s="5"/>
      <c r="T602" s="5"/>
      <c r="U602" s="5"/>
    </row>
    <row r="603" spans="1:21" ht="19.5" customHeight="1" x14ac:dyDescent="0.3">
      <c r="A603" s="5"/>
      <c r="B603" s="5"/>
      <c r="C603" s="5"/>
      <c r="D603" s="5"/>
      <c r="E603" s="6"/>
      <c r="F603" s="6"/>
      <c r="G603" s="6"/>
      <c r="H603" s="7"/>
      <c r="I603" s="8"/>
      <c r="J603" s="8"/>
      <c r="K603" s="8"/>
      <c r="L603" s="8"/>
      <c r="M603" s="8"/>
      <c r="N603" s="5"/>
      <c r="O603" s="5"/>
      <c r="P603" s="5"/>
      <c r="Q603" s="5"/>
      <c r="R603" s="5"/>
      <c r="S603" s="5"/>
      <c r="T603" s="5"/>
      <c r="U603" s="5"/>
    </row>
    <row r="604" spans="1:21" ht="19.5" customHeight="1" x14ac:dyDescent="0.3">
      <c r="A604" s="5"/>
      <c r="B604" s="5"/>
      <c r="C604" s="5"/>
      <c r="D604" s="5"/>
      <c r="E604" s="6"/>
      <c r="F604" s="6"/>
      <c r="G604" s="6"/>
      <c r="H604" s="7"/>
      <c r="I604" s="8"/>
      <c r="J604" s="8"/>
      <c r="K604" s="8"/>
      <c r="L604" s="8"/>
      <c r="M604" s="8"/>
      <c r="N604" s="5"/>
      <c r="O604" s="5"/>
      <c r="P604" s="5"/>
      <c r="Q604" s="5"/>
      <c r="R604" s="5"/>
      <c r="S604" s="5"/>
      <c r="T604" s="5"/>
      <c r="U604" s="5"/>
    </row>
    <row r="605" spans="1:21" ht="19.5" customHeight="1" x14ac:dyDescent="0.3">
      <c r="A605" s="5"/>
      <c r="B605" s="5"/>
      <c r="C605" s="5"/>
      <c r="D605" s="5"/>
      <c r="E605" s="6"/>
      <c r="F605" s="6"/>
      <c r="G605" s="6"/>
      <c r="H605" s="7"/>
      <c r="I605" s="8"/>
      <c r="J605" s="8"/>
      <c r="K605" s="8"/>
      <c r="L605" s="8"/>
      <c r="M605" s="8"/>
      <c r="N605" s="5"/>
      <c r="O605" s="5"/>
      <c r="P605" s="5"/>
      <c r="Q605" s="5"/>
      <c r="R605" s="5"/>
      <c r="S605" s="5"/>
      <c r="T605" s="5"/>
      <c r="U605" s="5"/>
    </row>
    <row r="606" spans="1:21" ht="19.5" customHeight="1" x14ac:dyDescent="0.3">
      <c r="A606" s="5"/>
      <c r="B606" s="5"/>
      <c r="C606" s="5"/>
      <c r="D606" s="5"/>
      <c r="E606" s="6"/>
      <c r="F606" s="6"/>
      <c r="G606" s="6"/>
      <c r="H606" s="7"/>
      <c r="I606" s="8"/>
      <c r="J606" s="8"/>
      <c r="K606" s="8"/>
      <c r="L606" s="8"/>
      <c r="M606" s="8"/>
      <c r="N606" s="5"/>
      <c r="O606" s="5"/>
      <c r="P606" s="5"/>
      <c r="Q606" s="5"/>
      <c r="R606" s="5"/>
      <c r="S606" s="5"/>
      <c r="T606" s="5"/>
      <c r="U606" s="5"/>
    </row>
    <row r="607" spans="1:21" ht="19.5" customHeight="1" x14ac:dyDescent="0.3">
      <c r="A607" s="5"/>
      <c r="B607" s="5"/>
      <c r="C607" s="5"/>
      <c r="D607" s="5"/>
      <c r="E607" s="6"/>
      <c r="F607" s="6"/>
      <c r="G607" s="6"/>
      <c r="H607" s="7"/>
      <c r="I607" s="8"/>
      <c r="J607" s="8"/>
      <c r="K607" s="8"/>
      <c r="L607" s="8"/>
      <c r="M607" s="8"/>
      <c r="N607" s="5"/>
      <c r="O607" s="5"/>
      <c r="P607" s="5"/>
      <c r="Q607" s="5"/>
      <c r="R607" s="5"/>
      <c r="S607" s="5"/>
      <c r="T607" s="5"/>
      <c r="U607" s="5"/>
    </row>
    <row r="608" spans="1:21" ht="19.5" customHeight="1" x14ac:dyDescent="0.3">
      <c r="A608" s="5"/>
      <c r="B608" s="5"/>
      <c r="C608" s="5"/>
      <c r="D608" s="5"/>
      <c r="E608" s="6"/>
      <c r="F608" s="6"/>
      <c r="G608" s="6"/>
      <c r="H608" s="7"/>
      <c r="I608" s="8"/>
      <c r="J608" s="8"/>
      <c r="K608" s="8"/>
      <c r="L608" s="8"/>
      <c r="M608" s="8"/>
      <c r="N608" s="5"/>
      <c r="O608" s="5"/>
      <c r="P608" s="5"/>
      <c r="Q608" s="5"/>
      <c r="R608" s="5"/>
      <c r="S608" s="5"/>
      <c r="T608" s="5"/>
      <c r="U608" s="5"/>
    </row>
    <row r="609" spans="1:21" ht="19.5" customHeight="1" x14ac:dyDescent="0.3">
      <c r="A609" s="5"/>
      <c r="B609" s="5"/>
      <c r="C609" s="5"/>
      <c r="D609" s="5"/>
      <c r="E609" s="6"/>
      <c r="F609" s="6"/>
      <c r="G609" s="6"/>
      <c r="H609" s="7"/>
      <c r="I609" s="8"/>
      <c r="J609" s="8"/>
      <c r="K609" s="8"/>
      <c r="L609" s="8"/>
      <c r="M609" s="8"/>
      <c r="N609" s="5"/>
      <c r="O609" s="5"/>
      <c r="P609" s="5"/>
      <c r="Q609" s="5"/>
      <c r="R609" s="5"/>
      <c r="S609" s="5"/>
      <c r="T609" s="5"/>
      <c r="U609" s="5"/>
    </row>
    <row r="610" spans="1:21" ht="19.5" customHeight="1" x14ac:dyDescent="0.3">
      <c r="A610" s="5"/>
      <c r="B610" s="5"/>
      <c r="C610" s="5"/>
      <c r="D610" s="5"/>
      <c r="E610" s="6"/>
      <c r="F610" s="6"/>
      <c r="G610" s="6"/>
      <c r="H610" s="7"/>
      <c r="I610" s="8"/>
      <c r="J610" s="8"/>
      <c r="K610" s="8"/>
      <c r="L610" s="8"/>
      <c r="M610" s="8"/>
      <c r="N610" s="5"/>
      <c r="O610" s="5"/>
      <c r="P610" s="5"/>
      <c r="Q610" s="5"/>
      <c r="R610" s="5"/>
      <c r="S610" s="5"/>
      <c r="T610" s="5"/>
      <c r="U610" s="5"/>
    </row>
    <row r="611" spans="1:21" ht="19.5" customHeight="1" x14ac:dyDescent="0.3">
      <c r="A611" s="5"/>
      <c r="B611" s="5"/>
      <c r="C611" s="5"/>
      <c r="D611" s="5"/>
      <c r="E611" s="6"/>
      <c r="F611" s="6"/>
      <c r="G611" s="6"/>
      <c r="H611" s="7"/>
      <c r="I611" s="8"/>
      <c r="J611" s="8"/>
      <c r="K611" s="8"/>
      <c r="L611" s="8"/>
      <c r="M611" s="8"/>
      <c r="N611" s="5"/>
      <c r="O611" s="5"/>
      <c r="P611" s="5"/>
      <c r="Q611" s="5"/>
      <c r="R611" s="5"/>
      <c r="S611" s="5"/>
      <c r="T611" s="5"/>
      <c r="U611" s="5"/>
    </row>
    <row r="612" spans="1:21" ht="19.5" customHeight="1" x14ac:dyDescent="0.3">
      <c r="A612" s="5"/>
      <c r="B612" s="5"/>
      <c r="C612" s="5"/>
      <c r="D612" s="5"/>
      <c r="E612" s="6"/>
      <c r="F612" s="6"/>
      <c r="G612" s="6"/>
      <c r="H612" s="7"/>
      <c r="I612" s="8"/>
      <c r="J612" s="8"/>
      <c r="K612" s="8"/>
      <c r="L612" s="8"/>
      <c r="M612" s="8"/>
      <c r="N612" s="5"/>
      <c r="O612" s="5"/>
      <c r="P612" s="5"/>
      <c r="Q612" s="5"/>
      <c r="R612" s="5"/>
      <c r="S612" s="5"/>
      <c r="T612" s="5"/>
      <c r="U612" s="5"/>
    </row>
    <row r="613" spans="1:21" ht="19.5" customHeight="1" x14ac:dyDescent="0.3">
      <c r="A613" s="5"/>
      <c r="B613" s="5"/>
      <c r="C613" s="5"/>
      <c r="D613" s="5"/>
      <c r="E613" s="6"/>
      <c r="F613" s="6"/>
      <c r="G613" s="6"/>
      <c r="H613" s="7"/>
      <c r="I613" s="8"/>
      <c r="J613" s="8"/>
      <c r="K613" s="8"/>
      <c r="L613" s="8"/>
      <c r="M613" s="8"/>
      <c r="N613" s="5"/>
      <c r="O613" s="5"/>
      <c r="P613" s="5"/>
      <c r="Q613" s="5"/>
      <c r="R613" s="5"/>
      <c r="S613" s="5"/>
      <c r="T613" s="5"/>
      <c r="U613" s="5"/>
    </row>
    <row r="614" spans="1:21" ht="19.5" customHeight="1" x14ac:dyDescent="0.3">
      <c r="A614" s="5"/>
      <c r="B614" s="5"/>
      <c r="C614" s="5"/>
      <c r="D614" s="5"/>
      <c r="E614" s="6"/>
      <c r="F614" s="6"/>
      <c r="G614" s="6"/>
      <c r="H614" s="7"/>
      <c r="I614" s="8"/>
      <c r="J614" s="8"/>
      <c r="K614" s="8"/>
      <c r="L614" s="8"/>
      <c r="M614" s="8"/>
      <c r="N614" s="5"/>
      <c r="O614" s="5"/>
      <c r="P614" s="5"/>
      <c r="Q614" s="5"/>
      <c r="R614" s="5"/>
      <c r="S614" s="5"/>
      <c r="T614" s="5"/>
      <c r="U614" s="5"/>
    </row>
    <row r="615" spans="1:21" ht="19.5" customHeight="1" x14ac:dyDescent="0.3">
      <c r="A615" s="5"/>
      <c r="B615" s="5"/>
      <c r="C615" s="5"/>
      <c r="D615" s="5"/>
      <c r="E615" s="6"/>
      <c r="F615" s="6"/>
      <c r="G615" s="6"/>
      <c r="H615" s="7"/>
      <c r="I615" s="8"/>
      <c r="J615" s="8"/>
      <c r="K615" s="8"/>
      <c r="L615" s="8"/>
      <c r="M615" s="8"/>
      <c r="N615" s="5"/>
      <c r="O615" s="5"/>
      <c r="P615" s="5"/>
      <c r="Q615" s="5"/>
      <c r="R615" s="5"/>
      <c r="S615" s="5"/>
      <c r="T615" s="5"/>
      <c r="U615" s="5"/>
    </row>
    <row r="616" spans="1:21" ht="19.5" customHeight="1" x14ac:dyDescent="0.3">
      <c r="A616" s="5"/>
      <c r="B616" s="5"/>
      <c r="C616" s="5"/>
      <c r="D616" s="5"/>
      <c r="E616" s="6"/>
      <c r="F616" s="6"/>
      <c r="G616" s="6"/>
      <c r="H616" s="7"/>
      <c r="I616" s="8"/>
      <c r="J616" s="8"/>
      <c r="K616" s="8"/>
      <c r="L616" s="8"/>
      <c r="M616" s="8"/>
      <c r="N616" s="5"/>
      <c r="O616" s="5"/>
      <c r="P616" s="5"/>
      <c r="Q616" s="5"/>
      <c r="R616" s="5"/>
      <c r="S616" s="5"/>
      <c r="T616" s="5"/>
      <c r="U616" s="5"/>
    </row>
    <row r="617" spans="1:21" ht="19.5" customHeight="1" x14ac:dyDescent="0.3">
      <c r="A617" s="5"/>
      <c r="B617" s="5"/>
      <c r="C617" s="5"/>
      <c r="D617" s="5"/>
      <c r="E617" s="6"/>
      <c r="F617" s="6"/>
      <c r="G617" s="6"/>
      <c r="H617" s="7"/>
      <c r="I617" s="8"/>
      <c r="J617" s="8"/>
      <c r="K617" s="8"/>
      <c r="L617" s="8"/>
      <c r="M617" s="8"/>
      <c r="N617" s="5"/>
      <c r="O617" s="5"/>
      <c r="P617" s="5"/>
      <c r="Q617" s="5"/>
      <c r="R617" s="5"/>
      <c r="S617" s="5"/>
      <c r="T617" s="5"/>
      <c r="U617" s="5"/>
    </row>
    <row r="618" spans="1:21" ht="19.5" customHeight="1" x14ac:dyDescent="0.3">
      <c r="A618" s="5"/>
      <c r="B618" s="5"/>
      <c r="C618" s="5"/>
      <c r="D618" s="5"/>
      <c r="E618" s="6"/>
      <c r="F618" s="6"/>
      <c r="G618" s="6"/>
      <c r="H618" s="7"/>
      <c r="I618" s="8"/>
      <c r="J618" s="8"/>
      <c r="K618" s="8"/>
      <c r="L618" s="8"/>
      <c r="M618" s="8"/>
      <c r="N618" s="5"/>
      <c r="O618" s="5"/>
      <c r="P618" s="5"/>
      <c r="Q618" s="5"/>
      <c r="R618" s="5"/>
      <c r="S618" s="5"/>
      <c r="T618" s="5"/>
      <c r="U618" s="5"/>
    </row>
    <row r="619" spans="1:21" ht="19.5" customHeight="1" x14ac:dyDescent="0.3">
      <c r="A619" s="5"/>
      <c r="B619" s="5"/>
      <c r="C619" s="5"/>
      <c r="D619" s="5"/>
      <c r="E619" s="6"/>
      <c r="F619" s="6"/>
      <c r="G619" s="6"/>
      <c r="H619" s="7"/>
      <c r="I619" s="8"/>
      <c r="J619" s="8"/>
      <c r="K619" s="8"/>
      <c r="L619" s="8"/>
      <c r="M619" s="8"/>
      <c r="N619" s="5"/>
      <c r="O619" s="5"/>
      <c r="P619" s="5"/>
      <c r="Q619" s="5"/>
      <c r="R619" s="5"/>
      <c r="S619" s="5"/>
      <c r="T619" s="5"/>
      <c r="U619" s="5"/>
    </row>
    <row r="620" spans="1:21" ht="19.5" customHeight="1" x14ac:dyDescent="0.3">
      <c r="A620" s="5"/>
      <c r="B620" s="5"/>
      <c r="C620" s="5"/>
      <c r="D620" s="5"/>
      <c r="E620" s="6"/>
      <c r="F620" s="6"/>
      <c r="G620" s="6"/>
      <c r="H620" s="7"/>
      <c r="I620" s="8"/>
      <c r="J620" s="8"/>
      <c r="K620" s="8"/>
      <c r="L620" s="8"/>
      <c r="M620" s="8"/>
      <c r="N620" s="5"/>
      <c r="O620" s="5"/>
      <c r="P620" s="5"/>
      <c r="Q620" s="5"/>
      <c r="R620" s="5"/>
      <c r="S620" s="5"/>
      <c r="T620" s="5"/>
      <c r="U620" s="5"/>
    </row>
    <row r="621" spans="1:21" ht="19.5" customHeight="1" x14ac:dyDescent="0.3">
      <c r="A621" s="5"/>
      <c r="B621" s="5"/>
      <c r="C621" s="5"/>
      <c r="D621" s="5"/>
      <c r="E621" s="6"/>
      <c r="F621" s="6"/>
      <c r="G621" s="6"/>
      <c r="H621" s="7"/>
      <c r="I621" s="8"/>
      <c r="J621" s="8"/>
      <c r="K621" s="8"/>
      <c r="L621" s="8"/>
      <c r="M621" s="8"/>
      <c r="N621" s="5"/>
      <c r="O621" s="5"/>
      <c r="P621" s="5"/>
      <c r="Q621" s="5"/>
      <c r="R621" s="5"/>
      <c r="S621" s="5"/>
      <c r="T621" s="5"/>
      <c r="U621" s="5"/>
    </row>
    <row r="622" spans="1:21" ht="19.5" customHeight="1" x14ac:dyDescent="0.3">
      <c r="A622" s="5"/>
      <c r="B622" s="5"/>
      <c r="C622" s="5"/>
      <c r="D622" s="5"/>
      <c r="E622" s="6"/>
      <c r="F622" s="6"/>
      <c r="G622" s="6"/>
      <c r="H622" s="7"/>
      <c r="I622" s="8"/>
      <c r="J622" s="8"/>
      <c r="K622" s="8"/>
      <c r="L622" s="8"/>
      <c r="M622" s="8"/>
      <c r="N622" s="5"/>
      <c r="O622" s="5"/>
      <c r="P622" s="5"/>
      <c r="Q622" s="5"/>
      <c r="R622" s="5"/>
      <c r="S622" s="5"/>
      <c r="T622" s="5"/>
      <c r="U622" s="5"/>
    </row>
    <row r="623" spans="1:21" ht="19.5" customHeight="1" x14ac:dyDescent="0.3">
      <c r="A623" s="5"/>
      <c r="B623" s="5"/>
      <c r="C623" s="5"/>
      <c r="D623" s="5"/>
      <c r="E623" s="6"/>
      <c r="F623" s="6"/>
      <c r="G623" s="6"/>
      <c r="H623" s="7"/>
      <c r="I623" s="8"/>
      <c r="J623" s="8"/>
      <c r="K623" s="8"/>
      <c r="L623" s="8"/>
      <c r="M623" s="8"/>
      <c r="N623" s="5"/>
      <c r="O623" s="5"/>
      <c r="P623" s="5"/>
      <c r="Q623" s="5"/>
      <c r="R623" s="5"/>
      <c r="S623" s="5"/>
      <c r="T623" s="5"/>
      <c r="U623" s="5"/>
    </row>
    <row r="624" spans="1:21" ht="19.5" customHeight="1" x14ac:dyDescent="0.3">
      <c r="A624" s="5"/>
      <c r="B624" s="5"/>
      <c r="C624" s="5"/>
      <c r="D624" s="5"/>
      <c r="E624" s="6"/>
      <c r="F624" s="6"/>
      <c r="G624" s="6"/>
      <c r="H624" s="7"/>
      <c r="I624" s="8"/>
      <c r="J624" s="8"/>
      <c r="K624" s="8"/>
      <c r="L624" s="8"/>
      <c r="M624" s="8"/>
      <c r="N624" s="5"/>
      <c r="O624" s="5"/>
      <c r="P624" s="5"/>
      <c r="Q624" s="5"/>
      <c r="R624" s="5"/>
      <c r="S624" s="5"/>
      <c r="T624" s="5"/>
      <c r="U624" s="5"/>
    </row>
    <row r="625" spans="1:21" ht="19.5" customHeight="1" x14ac:dyDescent="0.3">
      <c r="A625" s="5"/>
      <c r="B625" s="5"/>
      <c r="C625" s="5"/>
      <c r="D625" s="5"/>
      <c r="E625" s="6"/>
      <c r="F625" s="6"/>
      <c r="G625" s="6"/>
      <c r="H625" s="7"/>
      <c r="I625" s="8"/>
      <c r="J625" s="8"/>
      <c r="K625" s="8"/>
      <c r="L625" s="8"/>
      <c r="M625" s="8"/>
      <c r="N625" s="5"/>
      <c r="O625" s="5"/>
      <c r="P625" s="5"/>
      <c r="Q625" s="5"/>
      <c r="R625" s="5"/>
      <c r="S625" s="5"/>
      <c r="T625" s="5"/>
      <c r="U625" s="5"/>
    </row>
    <row r="626" spans="1:21" ht="19.5" customHeight="1" x14ac:dyDescent="0.3">
      <c r="A626" s="5"/>
      <c r="B626" s="5"/>
      <c r="C626" s="5"/>
      <c r="D626" s="5"/>
      <c r="E626" s="6"/>
      <c r="F626" s="6"/>
      <c r="G626" s="6"/>
      <c r="H626" s="7"/>
      <c r="I626" s="8"/>
      <c r="J626" s="8"/>
      <c r="K626" s="8"/>
      <c r="L626" s="8"/>
      <c r="M626" s="8"/>
      <c r="N626" s="5"/>
      <c r="O626" s="5"/>
      <c r="P626" s="5"/>
      <c r="Q626" s="5"/>
      <c r="R626" s="5"/>
      <c r="S626" s="5"/>
      <c r="T626" s="5"/>
      <c r="U626" s="5"/>
    </row>
    <row r="627" spans="1:21" ht="19.5" customHeight="1" x14ac:dyDescent="0.3">
      <c r="A627" s="5"/>
      <c r="B627" s="5"/>
      <c r="C627" s="5"/>
      <c r="D627" s="5"/>
      <c r="E627" s="6"/>
      <c r="F627" s="6"/>
      <c r="G627" s="6"/>
      <c r="H627" s="7"/>
      <c r="I627" s="8"/>
      <c r="J627" s="8"/>
      <c r="K627" s="8"/>
      <c r="L627" s="8"/>
      <c r="M627" s="8"/>
      <c r="N627" s="5"/>
      <c r="O627" s="5"/>
      <c r="P627" s="5"/>
      <c r="Q627" s="5"/>
      <c r="R627" s="5"/>
      <c r="S627" s="5"/>
      <c r="T627" s="5"/>
      <c r="U627" s="5"/>
    </row>
    <row r="628" spans="1:21" ht="19.5" customHeight="1" x14ac:dyDescent="0.3">
      <c r="A628" s="5"/>
      <c r="B628" s="5"/>
      <c r="C628" s="5"/>
      <c r="D628" s="5"/>
      <c r="E628" s="6"/>
      <c r="F628" s="6"/>
      <c r="G628" s="6"/>
      <c r="H628" s="7"/>
      <c r="I628" s="8"/>
      <c r="J628" s="8"/>
      <c r="K628" s="8"/>
      <c r="L628" s="8"/>
      <c r="M628" s="8"/>
      <c r="N628" s="5"/>
      <c r="O628" s="5"/>
      <c r="P628" s="5"/>
      <c r="Q628" s="5"/>
      <c r="R628" s="5"/>
      <c r="S628" s="5"/>
      <c r="T628" s="5"/>
      <c r="U628" s="5"/>
    </row>
    <row r="629" spans="1:21" ht="19.5" customHeight="1" x14ac:dyDescent="0.3">
      <c r="A629" s="5"/>
      <c r="B629" s="5"/>
      <c r="C629" s="5"/>
      <c r="D629" s="5"/>
      <c r="E629" s="6"/>
      <c r="F629" s="6"/>
      <c r="G629" s="6"/>
      <c r="H629" s="7"/>
      <c r="I629" s="8"/>
      <c r="J629" s="8"/>
      <c r="K629" s="8"/>
      <c r="L629" s="8"/>
      <c r="M629" s="8"/>
      <c r="N629" s="5"/>
      <c r="O629" s="5"/>
      <c r="P629" s="5"/>
      <c r="Q629" s="5"/>
      <c r="R629" s="5"/>
      <c r="S629" s="5"/>
      <c r="T629" s="5"/>
      <c r="U629" s="5"/>
    </row>
    <row r="630" spans="1:21" ht="19.5" customHeight="1" x14ac:dyDescent="0.3">
      <c r="A630" s="5"/>
      <c r="B630" s="5"/>
      <c r="C630" s="5"/>
      <c r="D630" s="5"/>
      <c r="E630" s="6"/>
      <c r="F630" s="6"/>
      <c r="G630" s="6"/>
      <c r="H630" s="7"/>
      <c r="I630" s="8"/>
      <c r="J630" s="8"/>
      <c r="K630" s="8"/>
      <c r="L630" s="8"/>
      <c r="M630" s="8"/>
      <c r="N630" s="5"/>
      <c r="O630" s="5"/>
      <c r="P630" s="5"/>
      <c r="Q630" s="5"/>
      <c r="R630" s="5"/>
      <c r="S630" s="5"/>
      <c r="T630" s="5"/>
      <c r="U630" s="5"/>
    </row>
    <row r="631" spans="1:21" ht="19.5" customHeight="1" x14ac:dyDescent="0.3">
      <c r="A631" s="5"/>
      <c r="B631" s="5"/>
      <c r="C631" s="5"/>
      <c r="D631" s="5"/>
      <c r="E631" s="6"/>
      <c r="F631" s="6"/>
      <c r="G631" s="6"/>
      <c r="H631" s="7"/>
      <c r="I631" s="8"/>
      <c r="J631" s="8"/>
      <c r="K631" s="8"/>
      <c r="L631" s="8"/>
      <c r="M631" s="8"/>
      <c r="N631" s="5"/>
      <c r="O631" s="5"/>
      <c r="P631" s="5"/>
      <c r="Q631" s="5"/>
      <c r="R631" s="5"/>
      <c r="S631" s="5"/>
      <c r="T631" s="5"/>
      <c r="U631" s="5"/>
    </row>
    <row r="632" spans="1:21" ht="19.5" customHeight="1" x14ac:dyDescent="0.3">
      <c r="A632" s="5"/>
      <c r="B632" s="5"/>
      <c r="C632" s="5"/>
      <c r="D632" s="5"/>
      <c r="E632" s="6"/>
      <c r="F632" s="6"/>
      <c r="G632" s="6"/>
      <c r="H632" s="7"/>
      <c r="I632" s="8"/>
      <c r="J632" s="8"/>
      <c r="K632" s="8"/>
      <c r="L632" s="8"/>
      <c r="M632" s="8"/>
      <c r="N632" s="5"/>
      <c r="O632" s="5"/>
      <c r="P632" s="5"/>
      <c r="Q632" s="5"/>
      <c r="R632" s="5"/>
      <c r="S632" s="5"/>
      <c r="T632" s="5"/>
      <c r="U632" s="5"/>
    </row>
    <row r="633" spans="1:21" ht="19.5" customHeight="1" x14ac:dyDescent="0.3">
      <c r="A633" s="5"/>
      <c r="B633" s="5"/>
      <c r="C633" s="5"/>
      <c r="D633" s="5"/>
      <c r="E633" s="6"/>
      <c r="F633" s="6"/>
      <c r="G633" s="6"/>
      <c r="H633" s="7"/>
      <c r="I633" s="8"/>
      <c r="J633" s="8"/>
      <c r="K633" s="8"/>
      <c r="L633" s="8"/>
      <c r="M633" s="8"/>
      <c r="N633" s="5"/>
      <c r="O633" s="5"/>
      <c r="P633" s="5"/>
      <c r="Q633" s="5"/>
      <c r="R633" s="5"/>
      <c r="S633" s="5"/>
      <c r="T633" s="5"/>
      <c r="U633" s="5"/>
    </row>
    <row r="634" spans="1:21" ht="19.5" customHeight="1" x14ac:dyDescent="0.3">
      <c r="A634" s="5"/>
      <c r="B634" s="5"/>
      <c r="C634" s="5"/>
      <c r="D634" s="5"/>
      <c r="E634" s="6"/>
      <c r="F634" s="6"/>
      <c r="G634" s="6"/>
      <c r="H634" s="7"/>
      <c r="I634" s="8"/>
      <c r="J634" s="8"/>
      <c r="K634" s="8"/>
      <c r="L634" s="8"/>
      <c r="M634" s="8"/>
      <c r="N634" s="5"/>
      <c r="O634" s="5"/>
      <c r="P634" s="5"/>
      <c r="Q634" s="5"/>
      <c r="R634" s="5"/>
      <c r="S634" s="5"/>
      <c r="T634" s="5"/>
      <c r="U634" s="5"/>
    </row>
    <row r="635" spans="1:21" ht="19.5" customHeight="1" x14ac:dyDescent="0.3">
      <c r="A635" s="5"/>
      <c r="B635" s="5"/>
      <c r="C635" s="5"/>
      <c r="D635" s="5"/>
      <c r="E635" s="6"/>
      <c r="F635" s="6"/>
      <c r="G635" s="6"/>
      <c r="H635" s="7"/>
      <c r="I635" s="8"/>
      <c r="J635" s="8"/>
      <c r="K635" s="8"/>
      <c r="L635" s="8"/>
      <c r="M635" s="8"/>
      <c r="N635" s="5"/>
      <c r="O635" s="5"/>
      <c r="P635" s="5"/>
      <c r="Q635" s="5"/>
      <c r="R635" s="5"/>
      <c r="S635" s="5"/>
      <c r="T635" s="5"/>
      <c r="U635" s="5"/>
    </row>
    <row r="636" spans="1:21" ht="19.5" customHeight="1" x14ac:dyDescent="0.3">
      <c r="A636" s="5"/>
      <c r="B636" s="5"/>
      <c r="C636" s="5"/>
      <c r="D636" s="5"/>
      <c r="E636" s="6"/>
      <c r="F636" s="6"/>
      <c r="G636" s="6"/>
      <c r="H636" s="7"/>
      <c r="I636" s="8"/>
      <c r="J636" s="8"/>
      <c r="K636" s="8"/>
      <c r="L636" s="8"/>
      <c r="M636" s="8"/>
      <c r="N636" s="5"/>
      <c r="O636" s="5"/>
      <c r="P636" s="5"/>
      <c r="Q636" s="5"/>
      <c r="R636" s="5"/>
      <c r="S636" s="5"/>
      <c r="T636" s="5"/>
      <c r="U636" s="5"/>
    </row>
    <row r="637" spans="1:21" ht="19.5" customHeight="1" x14ac:dyDescent="0.3">
      <c r="A637" s="5"/>
      <c r="B637" s="5"/>
      <c r="C637" s="5"/>
      <c r="D637" s="5"/>
      <c r="E637" s="6"/>
      <c r="F637" s="6"/>
      <c r="G637" s="6"/>
      <c r="H637" s="7"/>
      <c r="I637" s="8"/>
      <c r="J637" s="8"/>
      <c r="K637" s="8"/>
      <c r="L637" s="8"/>
      <c r="M637" s="8"/>
      <c r="N637" s="5"/>
      <c r="O637" s="5"/>
      <c r="P637" s="5"/>
      <c r="Q637" s="5"/>
      <c r="R637" s="5"/>
      <c r="S637" s="5"/>
      <c r="T637" s="5"/>
      <c r="U637" s="5"/>
    </row>
    <row r="638" spans="1:21" ht="19.5" customHeight="1" x14ac:dyDescent="0.3">
      <c r="A638" s="5"/>
      <c r="B638" s="5"/>
      <c r="C638" s="5"/>
      <c r="D638" s="5"/>
      <c r="E638" s="6"/>
      <c r="F638" s="6"/>
      <c r="G638" s="6"/>
      <c r="H638" s="7"/>
      <c r="I638" s="8"/>
      <c r="J638" s="8"/>
      <c r="K638" s="8"/>
      <c r="L638" s="8"/>
      <c r="M638" s="8"/>
      <c r="N638" s="5"/>
      <c r="O638" s="5"/>
      <c r="P638" s="5"/>
      <c r="Q638" s="5"/>
      <c r="R638" s="5"/>
      <c r="S638" s="5"/>
      <c r="T638" s="5"/>
      <c r="U638" s="5"/>
    </row>
    <row r="639" spans="1:21" ht="19.5" customHeight="1" x14ac:dyDescent="0.3">
      <c r="A639" s="5"/>
      <c r="B639" s="5"/>
      <c r="C639" s="5"/>
      <c r="D639" s="5"/>
      <c r="E639" s="6"/>
      <c r="F639" s="6"/>
      <c r="G639" s="6"/>
      <c r="H639" s="7"/>
      <c r="I639" s="8"/>
      <c r="J639" s="8"/>
      <c r="K639" s="8"/>
      <c r="L639" s="8"/>
      <c r="M639" s="8"/>
      <c r="N639" s="5"/>
      <c r="O639" s="5"/>
      <c r="P639" s="5"/>
      <c r="Q639" s="5"/>
      <c r="R639" s="5"/>
      <c r="S639" s="5"/>
      <c r="T639" s="5"/>
      <c r="U639" s="5"/>
    </row>
    <row r="640" spans="1:21" ht="19.5" customHeight="1" x14ac:dyDescent="0.3">
      <c r="A640" s="5"/>
      <c r="B640" s="5"/>
      <c r="C640" s="5"/>
      <c r="D640" s="5"/>
      <c r="E640" s="6"/>
      <c r="F640" s="6"/>
      <c r="G640" s="6"/>
      <c r="H640" s="7"/>
      <c r="I640" s="8"/>
      <c r="J640" s="8"/>
      <c r="K640" s="8"/>
      <c r="L640" s="8"/>
      <c r="M640" s="8"/>
      <c r="N640" s="5"/>
      <c r="O640" s="5"/>
      <c r="P640" s="5"/>
      <c r="Q640" s="5"/>
      <c r="R640" s="5"/>
      <c r="S640" s="5"/>
      <c r="T640" s="5"/>
      <c r="U640" s="5"/>
    </row>
    <row r="641" spans="1:21" ht="19.5" customHeight="1" x14ac:dyDescent="0.3">
      <c r="A641" s="5"/>
      <c r="B641" s="5"/>
      <c r="C641" s="5"/>
      <c r="D641" s="5"/>
      <c r="E641" s="6"/>
      <c r="F641" s="6"/>
      <c r="G641" s="6"/>
      <c r="H641" s="7"/>
      <c r="I641" s="8"/>
      <c r="J641" s="8"/>
      <c r="K641" s="8"/>
      <c r="L641" s="8"/>
      <c r="M641" s="8"/>
      <c r="N641" s="5"/>
      <c r="O641" s="5"/>
      <c r="P641" s="5"/>
      <c r="Q641" s="5"/>
      <c r="R641" s="5"/>
      <c r="S641" s="5"/>
      <c r="T641" s="5"/>
      <c r="U641" s="5"/>
    </row>
    <row r="642" spans="1:21" ht="19.5" customHeight="1" x14ac:dyDescent="0.3">
      <c r="A642" s="5"/>
      <c r="B642" s="5"/>
      <c r="C642" s="5"/>
      <c r="D642" s="5"/>
      <c r="E642" s="6"/>
      <c r="F642" s="6"/>
      <c r="G642" s="6"/>
      <c r="H642" s="7"/>
      <c r="I642" s="8"/>
      <c r="J642" s="8"/>
      <c r="K642" s="8"/>
      <c r="L642" s="8"/>
      <c r="M642" s="8"/>
      <c r="N642" s="5"/>
      <c r="O642" s="5"/>
      <c r="P642" s="5"/>
      <c r="Q642" s="5"/>
      <c r="R642" s="5"/>
      <c r="S642" s="5"/>
      <c r="T642" s="5"/>
      <c r="U642" s="5"/>
    </row>
    <row r="643" spans="1:21" ht="19.5" customHeight="1" x14ac:dyDescent="0.3">
      <c r="A643" s="5"/>
      <c r="B643" s="5"/>
      <c r="C643" s="5"/>
      <c r="D643" s="5"/>
      <c r="E643" s="6"/>
      <c r="F643" s="6"/>
      <c r="G643" s="6"/>
      <c r="H643" s="7"/>
      <c r="I643" s="8"/>
      <c r="J643" s="8"/>
      <c r="K643" s="8"/>
      <c r="L643" s="8"/>
      <c r="M643" s="8"/>
      <c r="N643" s="5"/>
      <c r="O643" s="5"/>
      <c r="P643" s="5"/>
      <c r="Q643" s="5"/>
      <c r="R643" s="5"/>
      <c r="S643" s="5"/>
      <c r="T643" s="5"/>
      <c r="U643" s="5"/>
    </row>
    <row r="644" spans="1:21" ht="19.5" customHeight="1" x14ac:dyDescent="0.3">
      <c r="A644" s="5"/>
      <c r="B644" s="5"/>
      <c r="C644" s="5"/>
      <c r="D644" s="5"/>
      <c r="E644" s="6"/>
      <c r="F644" s="6"/>
      <c r="G644" s="6"/>
      <c r="H644" s="7"/>
      <c r="I644" s="8"/>
      <c r="J644" s="8"/>
      <c r="K644" s="8"/>
      <c r="L644" s="8"/>
      <c r="M644" s="8"/>
      <c r="N644" s="5"/>
      <c r="O644" s="5"/>
      <c r="P644" s="5"/>
      <c r="Q644" s="5"/>
      <c r="R644" s="5"/>
      <c r="S644" s="5"/>
      <c r="T644" s="5"/>
      <c r="U644" s="5"/>
    </row>
    <row r="645" spans="1:21" ht="19.5" customHeight="1" x14ac:dyDescent="0.3">
      <c r="A645" s="5"/>
      <c r="B645" s="5"/>
      <c r="C645" s="5"/>
      <c r="D645" s="5"/>
      <c r="E645" s="6"/>
      <c r="F645" s="6"/>
      <c r="G645" s="6"/>
      <c r="H645" s="7"/>
      <c r="I645" s="8"/>
      <c r="J645" s="8"/>
      <c r="K645" s="8"/>
      <c r="L645" s="8"/>
      <c r="M645" s="8"/>
      <c r="N645" s="5"/>
      <c r="O645" s="5"/>
      <c r="P645" s="5"/>
      <c r="Q645" s="5"/>
      <c r="R645" s="5"/>
      <c r="S645" s="5"/>
      <c r="T645" s="5"/>
      <c r="U645" s="5"/>
    </row>
    <row r="646" spans="1:21" ht="19.5" customHeight="1" x14ac:dyDescent="0.3">
      <c r="A646" s="5"/>
      <c r="B646" s="5"/>
      <c r="C646" s="5"/>
      <c r="D646" s="5"/>
      <c r="E646" s="6"/>
      <c r="F646" s="6"/>
      <c r="G646" s="6"/>
      <c r="H646" s="7"/>
      <c r="I646" s="8"/>
      <c r="J646" s="8"/>
      <c r="K646" s="8"/>
      <c r="L646" s="8"/>
      <c r="M646" s="8"/>
      <c r="N646" s="5"/>
      <c r="O646" s="5"/>
      <c r="P646" s="5"/>
      <c r="Q646" s="5"/>
      <c r="R646" s="5"/>
      <c r="S646" s="5"/>
      <c r="T646" s="5"/>
      <c r="U646" s="5"/>
    </row>
    <row r="647" spans="1:21" ht="19.5" customHeight="1" x14ac:dyDescent="0.3">
      <c r="A647" s="5"/>
      <c r="B647" s="5"/>
      <c r="C647" s="5"/>
      <c r="D647" s="5"/>
      <c r="E647" s="6"/>
      <c r="F647" s="6"/>
      <c r="G647" s="6"/>
      <c r="H647" s="7"/>
      <c r="I647" s="8"/>
      <c r="J647" s="8"/>
      <c r="K647" s="8"/>
      <c r="L647" s="8"/>
      <c r="M647" s="8"/>
      <c r="N647" s="5"/>
      <c r="O647" s="5"/>
      <c r="P647" s="5"/>
      <c r="Q647" s="5"/>
      <c r="R647" s="5"/>
      <c r="S647" s="5"/>
      <c r="T647" s="5"/>
      <c r="U647" s="5"/>
    </row>
    <row r="648" spans="1:21" ht="19.5" customHeight="1" x14ac:dyDescent="0.3">
      <c r="A648" s="5"/>
      <c r="B648" s="5"/>
      <c r="C648" s="5"/>
      <c r="D648" s="5"/>
      <c r="E648" s="6"/>
      <c r="F648" s="6"/>
      <c r="G648" s="6"/>
      <c r="H648" s="7"/>
      <c r="I648" s="8"/>
      <c r="J648" s="8"/>
      <c r="K648" s="8"/>
      <c r="L648" s="8"/>
      <c r="M648" s="8"/>
      <c r="N648" s="5"/>
      <c r="O648" s="5"/>
      <c r="P648" s="5"/>
      <c r="Q648" s="5"/>
      <c r="R648" s="5"/>
      <c r="S648" s="5"/>
      <c r="T648" s="5"/>
      <c r="U648" s="5"/>
    </row>
    <row r="649" spans="1:21" ht="19.5" customHeight="1" x14ac:dyDescent="0.3">
      <c r="A649" s="5"/>
      <c r="B649" s="5"/>
      <c r="C649" s="5"/>
      <c r="D649" s="5"/>
      <c r="E649" s="6"/>
      <c r="F649" s="6"/>
      <c r="G649" s="6"/>
      <c r="H649" s="7"/>
      <c r="I649" s="8"/>
      <c r="J649" s="8"/>
      <c r="K649" s="8"/>
      <c r="L649" s="8"/>
      <c r="M649" s="8"/>
      <c r="N649" s="5"/>
      <c r="O649" s="5"/>
      <c r="P649" s="5"/>
      <c r="Q649" s="5"/>
      <c r="R649" s="5"/>
      <c r="S649" s="5"/>
      <c r="T649" s="5"/>
      <c r="U649" s="5"/>
    </row>
    <row r="650" spans="1:21" ht="19.5" customHeight="1" x14ac:dyDescent="0.3">
      <c r="A650" s="5"/>
      <c r="B650" s="5"/>
      <c r="C650" s="5"/>
      <c r="D650" s="5"/>
      <c r="E650" s="6"/>
      <c r="F650" s="6"/>
      <c r="G650" s="6"/>
      <c r="H650" s="7"/>
      <c r="I650" s="8"/>
      <c r="J650" s="8"/>
      <c r="K650" s="8"/>
      <c r="L650" s="8"/>
      <c r="M650" s="8"/>
      <c r="N650" s="5"/>
      <c r="O650" s="5"/>
      <c r="P650" s="5"/>
      <c r="Q650" s="5"/>
      <c r="R650" s="5"/>
      <c r="S650" s="5"/>
      <c r="T650" s="5"/>
      <c r="U650" s="5"/>
    </row>
    <row r="651" spans="1:21" ht="19.5" customHeight="1" x14ac:dyDescent="0.3">
      <c r="A651" s="5"/>
      <c r="B651" s="5"/>
      <c r="C651" s="5"/>
      <c r="D651" s="5"/>
      <c r="E651" s="6"/>
      <c r="F651" s="6"/>
      <c r="G651" s="6"/>
      <c r="H651" s="7"/>
      <c r="I651" s="8"/>
      <c r="J651" s="8"/>
      <c r="K651" s="8"/>
      <c r="L651" s="8"/>
      <c r="M651" s="8"/>
      <c r="N651" s="5"/>
      <c r="O651" s="5"/>
      <c r="P651" s="5"/>
      <c r="Q651" s="5"/>
      <c r="R651" s="5"/>
      <c r="S651" s="5"/>
      <c r="T651" s="5"/>
      <c r="U651" s="5"/>
    </row>
    <row r="652" spans="1:21" ht="19.5" customHeight="1" x14ac:dyDescent="0.3">
      <c r="A652" s="5"/>
      <c r="B652" s="5"/>
      <c r="C652" s="5"/>
      <c r="D652" s="5"/>
      <c r="E652" s="6"/>
      <c r="F652" s="6"/>
      <c r="G652" s="6"/>
      <c r="H652" s="7"/>
      <c r="I652" s="8"/>
      <c r="J652" s="8"/>
      <c r="K652" s="8"/>
      <c r="L652" s="8"/>
      <c r="M652" s="8"/>
      <c r="N652" s="5"/>
      <c r="O652" s="5"/>
      <c r="P652" s="5"/>
      <c r="Q652" s="5"/>
      <c r="R652" s="5"/>
      <c r="S652" s="5"/>
      <c r="T652" s="5"/>
      <c r="U652" s="5"/>
    </row>
    <row r="653" spans="1:21" ht="19.5" customHeight="1" x14ac:dyDescent="0.3">
      <c r="A653" s="5"/>
      <c r="B653" s="5"/>
      <c r="C653" s="5"/>
      <c r="D653" s="5"/>
      <c r="E653" s="6"/>
      <c r="F653" s="6"/>
      <c r="G653" s="6"/>
      <c r="H653" s="7"/>
      <c r="I653" s="8"/>
      <c r="J653" s="8"/>
      <c r="K653" s="8"/>
      <c r="L653" s="8"/>
      <c r="M653" s="8"/>
      <c r="N653" s="5"/>
      <c r="O653" s="5"/>
      <c r="P653" s="5"/>
      <c r="Q653" s="5"/>
      <c r="R653" s="5"/>
      <c r="S653" s="5"/>
      <c r="T653" s="5"/>
      <c r="U653" s="5"/>
    </row>
    <row r="654" spans="1:21" ht="19.5" customHeight="1" x14ac:dyDescent="0.3">
      <c r="A654" s="5"/>
      <c r="B654" s="5"/>
      <c r="C654" s="5"/>
      <c r="D654" s="5"/>
      <c r="E654" s="6"/>
      <c r="F654" s="6"/>
      <c r="G654" s="6"/>
      <c r="H654" s="7"/>
      <c r="I654" s="8"/>
      <c r="J654" s="8"/>
      <c r="K654" s="8"/>
      <c r="L654" s="8"/>
      <c r="M654" s="8"/>
      <c r="N654" s="5"/>
      <c r="O654" s="5"/>
      <c r="P654" s="5"/>
      <c r="Q654" s="5"/>
      <c r="R654" s="5"/>
      <c r="S654" s="5"/>
      <c r="T654" s="5"/>
      <c r="U654" s="5"/>
    </row>
    <row r="655" spans="1:21" ht="19.5" customHeight="1" x14ac:dyDescent="0.3">
      <c r="A655" s="5"/>
      <c r="B655" s="5"/>
      <c r="C655" s="5"/>
      <c r="D655" s="5"/>
      <c r="E655" s="6"/>
      <c r="F655" s="6"/>
      <c r="G655" s="6"/>
      <c r="H655" s="7"/>
      <c r="I655" s="8"/>
      <c r="J655" s="8"/>
      <c r="K655" s="8"/>
      <c r="L655" s="8"/>
      <c r="M655" s="8"/>
      <c r="N655" s="5"/>
      <c r="O655" s="5"/>
      <c r="P655" s="5"/>
      <c r="Q655" s="5"/>
      <c r="R655" s="5"/>
      <c r="S655" s="5"/>
      <c r="T655" s="5"/>
      <c r="U655" s="5"/>
    </row>
    <row r="656" spans="1:21" ht="19.5" customHeight="1" x14ac:dyDescent="0.3">
      <c r="A656" s="5"/>
      <c r="B656" s="5"/>
      <c r="C656" s="5"/>
      <c r="D656" s="5"/>
      <c r="E656" s="6"/>
      <c r="F656" s="6"/>
      <c r="G656" s="6"/>
      <c r="H656" s="7"/>
      <c r="I656" s="8"/>
      <c r="J656" s="8"/>
      <c r="K656" s="8"/>
      <c r="L656" s="8"/>
      <c r="M656" s="8"/>
      <c r="N656" s="5"/>
      <c r="O656" s="5"/>
      <c r="P656" s="5"/>
      <c r="Q656" s="5"/>
      <c r="R656" s="5"/>
      <c r="S656" s="5"/>
      <c r="T656" s="5"/>
      <c r="U656" s="5"/>
    </row>
    <row r="657" spans="1:21" ht="19.5" customHeight="1" x14ac:dyDescent="0.3">
      <c r="A657" s="5"/>
      <c r="B657" s="5"/>
      <c r="C657" s="5"/>
      <c r="D657" s="5"/>
      <c r="E657" s="6"/>
      <c r="F657" s="6"/>
      <c r="G657" s="6"/>
      <c r="H657" s="7"/>
      <c r="I657" s="8"/>
      <c r="J657" s="8"/>
      <c r="K657" s="8"/>
      <c r="L657" s="8"/>
      <c r="M657" s="8"/>
      <c r="N657" s="5"/>
      <c r="O657" s="5"/>
      <c r="P657" s="5"/>
      <c r="Q657" s="5"/>
      <c r="R657" s="5"/>
      <c r="S657" s="5"/>
      <c r="T657" s="5"/>
      <c r="U657" s="5"/>
    </row>
    <row r="658" spans="1:21" ht="19.5" customHeight="1" x14ac:dyDescent="0.3">
      <c r="A658" s="5"/>
      <c r="B658" s="5"/>
      <c r="C658" s="5"/>
      <c r="D658" s="5"/>
      <c r="E658" s="6"/>
      <c r="F658" s="6"/>
      <c r="G658" s="6"/>
      <c r="H658" s="7"/>
      <c r="I658" s="8"/>
      <c r="J658" s="8"/>
      <c r="K658" s="8"/>
      <c r="L658" s="8"/>
      <c r="M658" s="8"/>
      <c r="N658" s="5"/>
      <c r="O658" s="5"/>
      <c r="P658" s="5"/>
      <c r="Q658" s="5"/>
      <c r="R658" s="5"/>
      <c r="S658" s="5"/>
      <c r="T658" s="5"/>
      <c r="U658" s="5"/>
    </row>
    <row r="659" spans="1:21" ht="19.5" customHeight="1" x14ac:dyDescent="0.3">
      <c r="A659" s="5"/>
      <c r="B659" s="5"/>
      <c r="C659" s="5"/>
      <c r="D659" s="5"/>
      <c r="E659" s="6"/>
      <c r="F659" s="6"/>
      <c r="G659" s="6"/>
      <c r="H659" s="7"/>
      <c r="I659" s="8"/>
      <c r="J659" s="8"/>
      <c r="K659" s="8"/>
      <c r="L659" s="8"/>
      <c r="M659" s="8"/>
      <c r="N659" s="5"/>
      <c r="O659" s="5"/>
      <c r="P659" s="5"/>
      <c r="Q659" s="5"/>
      <c r="R659" s="5"/>
      <c r="S659" s="5"/>
      <c r="T659" s="5"/>
      <c r="U659" s="5"/>
    </row>
    <row r="660" spans="1:21" ht="19.5" customHeight="1" x14ac:dyDescent="0.3">
      <c r="A660" s="5"/>
      <c r="B660" s="5"/>
      <c r="C660" s="5"/>
      <c r="D660" s="5"/>
      <c r="E660" s="6"/>
      <c r="F660" s="6"/>
      <c r="G660" s="6"/>
      <c r="H660" s="7"/>
      <c r="I660" s="8"/>
      <c r="J660" s="8"/>
      <c r="K660" s="8"/>
      <c r="L660" s="8"/>
      <c r="M660" s="8"/>
      <c r="N660" s="5"/>
      <c r="O660" s="5"/>
      <c r="P660" s="5"/>
      <c r="Q660" s="5"/>
      <c r="R660" s="5"/>
      <c r="S660" s="5"/>
      <c r="T660" s="5"/>
      <c r="U660" s="5"/>
    </row>
    <row r="661" spans="1:21" ht="19.5" customHeight="1" x14ac:dyDescent="0.3">
      <c r="A661" s="5"/>
      <c r="B661" s="5"/>
      <c r="C661" s="5"/>
      <c r="D661" s="5"/>
      <c r="E661" s="6"/>
      <c r="F661" s="6"/>
      <c r="G661" s="6"/>
      <c r="H661" s="7"/>
      <c r="I661" s="8"/>
      <c r="J661" s="8"/>
      <c r="K661" s="8"/>
      <c r="L661" s="8"/>
      <c r="M661" s="8"/>
      <c r="N661" s="5"/>
      <c r="O661" s="5"/>
      <c r="P661" s="5"/>
      <c r="Q661" s="5"/>
      <c r="R661" s="5"/>
      <c r="S661" s="5"/>
      <c r="T661" s="5"/>
      <c r="U661" s="5"/>
    </row>
    <row r="662" spans="1:21" ht="19.5" customHeight="1" x14ac:dyDescent="0.3">
      <c r="A662" s="5"/>
      <c r="B662" s="5"/>
      <c r="C662" s="5"/>
      <c r="D662" s="5"/>
      <c r="E662" s="6"/>
      <c r="F662" s="6"/>
      <c r="G662" s="6"/>
      <c r="H662" s="7"/>
      <c r="I662" s="8"/>
      <c r="J662" s="8"/>
      <c r="K662" s="8"/>
      <c r="L662" s="8"/>
      <c r="M662" s="8"/>
      <c r="N662" s="5"/>
      <c r="O662" s="5"/>
      <c r="P662" s="5"/>
      <c r="Q662" s="5"/>
      <c r="R662" s="5"/>
      <c r="S662" s="5"/>
      <c r="T662" s="5"/>
      <c r="U662" s="5"/>
    </row>
    <row r="663" spans="1:21" ht="19.5" customHeight="1" x14ac:dyDescent="0.3">
      <c r="A663" s="5"/>
      <c r="B663" s="5"/>
      <c r="C663" s="5"/>
      <c r="D663" s="5"/>
      <c r="E663" s="6"/>
      <c r="F663" s="6"/>
      <c r="G663" s="6"/>
      <c r="H663" s="7"/>
      <c r="I663" s="8"/>
      <c r="J663" s="8"/>
      <c r="K663" s="8"/>
      <c r="L663" s="8"/>
      <c r="M663" s="8"/>
      <c r="N663" s="5"/>
      <c r="O663" s="5"/>
      <c r="P663" s="5"/>
      <c r="Q663" s="5"/>
      <c r="R663" s="5"/>
      <c r="S663" s="5"/>
      <c r="T663" s="5"/>
      <c r="U663" s="5"/>
    </row>
    <row r="664" spans="1:21" ht="19.5" customHeight="1" x14ac:dyDescent="0.3">
      <c r="A664" s="5"/>
      <c r="B664" s="5"/>
      <c r="C664" s="5"/>
      <c r="D664" s="5"/>
      <c r="E664" s="6"/>
      <c r="F664" s="6"/>
      <c r="G664" s="6"/>
      <c r="H664" s="7"/>
      <c r="I664" s="8"/>
      <c r="J664" s="8"/>
      <c r="K664" s="8"/>
      <c r="L664" s="8"/>
      <c r="M664" s="8"/>
      <c r="N664" s="5"/>
      <c r="O664" s="5"/>
      <c r="P664" s="5"/>
      <c r="Q664" s="5"/>
      <c r="R664" s="5"/>
      <c r="S664" s="5"/>
      <c r="T664" s="5"/>
      <c r="U664" s="5"/>
    </row>
    <row r="665" spans="1:21" ht="19.5" customHeight="1" x14ac:dyDescent="0.3">
      <c r="A665" s="5"/>
      <c r="B665" s="5"/>
      <c r="C665" s="5"/>
      <c r="D665" s="5"/>
      <c r="E665" s="6"/>
      <c r="F665" s="6"/>
      <c r="G665" s="6"/>
      <c r="H665" s="7"/>
      <c r="I665" s="8"/>
      <c r="J665" s="8"/>
      <c r="K665" s="8"/>
      <c r="L665" s="8"/>
      <c r="M665" s="8"/>
      <c r="N665" s="5"/>
      <c r="O665" s="5"/>
      <c r="P665" s="5"/>
      <c r="Q665" s="5"/>
      <c r="R665" s="5"/>
      <c r="S665" s="5"/>
      <c r="T665" s="5"/>
      <c r="U665" s="5"/>
    </row>
    <row r="666" spans="1:21" ht="19.5" customHeight="1" x14ac:dyDescent="0.3">
      <c r="A666" s="5"/>
      <c r="B666" s="5"/>
      <c r="C666" s="5"/>
      <c r="D666" s="5"/>
      <c r="E666" s="6"/>
      <c r="F666" s="6"/>
      <c r="G666" s="6"/>
      <c r="H666" s="7"/>
      <c r="I666" s="8"/>
      <c r="J666" s="8"/>
      <c r="K666" s="8"/>
      <c r="L666" s="8"/>
      <c r="M666" s="8"/>
      <c r="N666" s="5"/>
      <c r="O666" s="5"/>
      <c r="P666" s="5"/>
      <c r="Q666" s="5"/>
      <c r="R666" s="5"/>
      <c r="S666" s="5"/>
      <c r="T666" s="5"/>
      <c r="U666" s="5"/>
    </row>
    <row r="667" spans="1:21" ht="19.5" customHeight="1" x14ac:dyDescent="0.3">
      <c r="A667" s="5"/>
      <c r="B667" s="5"/>
      <c r="C667" s="5"/>
      <c r="D667" s="5"/>
      <c r="E667" s="6"/>
      <c r="F667" s="6"/>
      <c r="G667" s="6"/>
      <c r="H667" s="7"/>
      <c r="I667" s="8"/>
      <c r="J667" s="8"/>
      <c r="K667" s="8"/>
      <c r="L667" s="8"/>
      <c r="M667" s="8"/>
      <c r="N667" s="5"/>
      <c r="O667" s="5"/>
      <c r="P667" s="5"/>
      <c r="Q667" s="5"/>
      <c r="R667" s="5"/>
      <c r="S667" s="5"/>
      <c r="T667" s="5"/>
      <c r="U667" s="5"/>
    </row>
    <row r="668" spans="1:21" ht="19.5" customHeight="1" x14ac:dyDescent="0.3">
      <c r="A668" s="5"/>
      <c r="B668" s="5"/>
      <c r="C668" s="5"/>
      <c r="D668" s="5"/>
      <c r="E668" s="6"/>
      <c r="F668" s="6"/>
      <c r="G668" s="6"/>
      <c r="H668" s="7"/>
      <c r="I668" s="8"/>
      <c r="J668" s="8"/>
      <c r="K668" s="8"/>
      <c r="L668" s="8"/>
      <c r="M668" s="8"/>
      <c r="N668" s="5"/>
      <c r="O668" s="5"/>
      <c r="P668" s="5"/>
      <c r="Q668" s="5"/>
      <c r="R668" s="5"/>
      <c r="S668" s="5"/>
      <c r="T668" s="5"/>
      <c r="U668" s="5"/>
    </row>
    <row r="669" spans="1:21" ht="19.5" customHeight="1" x14ac:dyDescent="0.3">
      <c r="A669" s="5"/>
      <c r="B669" s="5"/>
      <c r="C669" s="5"/>
      <c r="D669" s="5"/>
      <c r="E669" s="6"/>
      <c r="F669" s="6"/>
      <c r="G669" s="6"/>
      <c r="H669" s="7"/>
      <c r="I669" s="8"/>
      <c r="J669" s="8"/>
      <c r="K669" s="8"/>
      <c r="L669" s="8"/>
      <c r="M669" s="8"/>
      <c r="N669" s="5"/>
      <c r="O669" s="5"/>
      <c r="P669" s="5"/>
      <c r="Q669" s="5"/>
      <c r="R669" s="5"/>
      <c r="S669" s="5"/>
      <c r="T669" s="5"/>
      <c r="U669" s="5"/>
    </row>
    <row r="670" spans="1:21" ht="19.5" customHeight="1" x14ac:dyDescent="0.3">
      <c r="A670" s="5"/>
      <c r="B670" s="5"/>
      <c r="C670" s="5"/>
      <c r="D670" s="5"/>
      <c r="E670" s="6"/>
      <c r="F670" s="6"/>
      <c r="G670" s="6"/>
      <c r="H670" s="7"/>
      <c r="I670" s="8"/>
      <c r="J670" s="8"/>
      <c r="K670" s="8"/>
      <c r="L670" s="8"/>
      <c r="M670" s="8"/>
      <c r="N670" s="5"/>
      <c r="O670" s="5"/>
      <c r="P670" s="5"/>
      <c r="Q670" s="5"/>
      <c r="R670" s="5"/>
      <c r="S670" s="5"/>
      <c r="T670" s="5"/>
      <c r="U670" s="5"/>
    </row>
    <row r="671" spans="1:21" ht="19.5" customHeight="1" x14ac:dyDescent="0.3">
      <c r="A671" s="5"/>
      <c r="B671" s="5"/>
      <c r="C671" s="5"/>
      <c r="D671" s="5"/>
      <c r="E671" s="6"/>
      <c r="F671" s="6"/>
      <c r="G671" s="6"/>
      <c r="H671" s="7"/>
      <c r="I671" s="8"/>
      <c r="J671" s="8"/>
      <c r="K671" s="8"/>
      <c r="L671" s="8"/>
      <c r="M671" s="8"/>
      <c r="N671" s="5"/>
      <c r="O671" s="5"/>
      <c r="P671" s="5"/>
      <c r="Q671" s="5"/>
      <c r="R671" s="5"/>
      <c r="S671" s="5"/>
      <c r="T671" s="5"/>
      <c r="U671" s="5"/>
    </row>
    <row r="672" spans="1:21" ht="19.5" customHeight="1" x14ac:dyDescent="0.3">
      <c r="A672" s="5"/>
      <c r="B672" s="5"/>
      <c r="C672" s="5"/>
      <c r="D672" s="5"/>
      <c r="E672" s="6"/>
      <c r="F672" s="6"/>
      <c r="G672" s="6"/>
      <c r="H672" s="7"/>
      <c r="I672" s="8"/>
      <c r="J672" s="8"/>
      <c r="K672" s="8"/>
      <c r="L672" s="8"/>
      <c r="M672" s="8"/>
      <c r="N672" s="5"/>
      <c r="O672" s="5"/>
      <c r="P672" s="5"/>
      <c r="Q672" s="5"/>
      <c r="R672" s="5"/>
      <c r="S672" s="5"/>
      <c r="T672" s="5"/>
      <c r="U672" s="5"/>
    </row>
    <row r="673" spans="1:21" ht="19.5" customHeight="1" x14ac:dyDescent="0.3">
      <c r="A673" s="5"/>
      <c r="B673" s="5"/>
      <c r="C673" s="5"/>
      <c r="D673" s="5"/>
      <c r="E673" s="6"/>
      <c r="F673" s="6"/>
      <c r="G673" s="6"/>
      <c r="H673" s="7"/>
      <c r="I673" s="8"/>
      <c r="J673" s="8"/>
      <c r="K673" s="8"/>
      <c r="L673" s="8"/>
      <c r="M673" s="8"/>
      <c r="N673" s="5"/>
      <c r="O673" s="5"/>
      <c r="P673" s="5"/>
      <c r="Q673" s="5"/>
      <c r="R673" s="5"/>
      <c r="S673" s="5"/>
      <c r="T673" s="5"/>
      <c r="U673" s="5"/>
    </row>
    <row r="674" spans="1:21" ht="19.5" customHeight="1" x14ac:dyDescent="0.3">
      <c r="A674" s="5"/>
      <c r="B674" s="5"/>
      <c r="C674" s="5"/>
      <c r="D674" s="5"/>
      <c r="E674" s="6"/>
      <c r="F674" s="6"/>
      <c r="G674" s="6"/>
      <c r="H674" s="7"/>
      <c r="I674" s="8"/>
      <c r="J674" s="8"/>
      <c r="K674" s="8"/>
      <c r="L674" s="8"/>
      <c r="M674" s="8"/>
      <c r="N674" s="5"/>
      <c r="O674" s="5"/>
      <c r="P674" s="5"/>
      <c r="Q674" s="5"/>
      <c r="R674" s="5"/>
      <c r="S674" s="5"/>
      <c r="T674" s="5"/>
      <c r="U674" s="5"/>
    </row>
    <row r="675" spans="1:21" ht="19.5" customHeight="1" x14ac:dyDescent="0.3">
      <c r="A675" s="5"/>
      <c r="B675" s="5"/>
      <c r="C675" s="5"/>
      <c r="D675" s="5"/>
      <c r="E675" s="6"/>
      <c r="F675" s="6"/>
      <c r="G675" s="6"/>
      <c r="H675" s="7"/>
      <c r="I675" s="8"/>
      <c r="J675" s="8"/>
      <c r="K675" s="8"/>
      <c r="L675" s="8"/>
      <c r="M675" s="8"/>
      <c r="N675" s="5"/>
      <c r="O675" s="5"/>
      <c r="P675" s="5"/>
      <c r="Q675" s="5"/>
      <c r="R675" s="5"/>
      <c r="S675" s="5"/>
      <c r="T675" s="5"/>
      <c r="U675" s="5"/>
    </row>
    <row r="676" spans="1:21" ht="19.5" customHeight="1" x14ac:dyDescent="0.3">
      <c r="A676" s="5"/>
      <c r="B676" s="5"/>
      <c r="C676" s="5"/>
      <c r="D676" s="5"/>
      <c r="E676" s="6"/>
      <c r="F676" s="6"/>
      <c r="G676" s="6"/>
      <c r="H676" s="7"/>
      <c r="I676" s="8"/>
      <c r="J676" s="8"/>
      <c r="K676" s="8"/>
      <c r="L676" s="8"/>
      <c r="M676" s="8"/>
      <c r="N676" s="5"/>
      <c r="O676" s="5"/>
      <c r="P676" s="5"/>
      <c r="Q676" s="5"/>
      <c r="R676" s="5"/>
      <c r="S676" s="5"/>
      <c r="T676" s="5"/>
      <c r="U676" s="5"/>
    </row>
    <row r="677" spans="1:21" ht="19.5" customHeight="1" x14ac:dyDescent="0.3">
      <c r="A677" s="5"/>
      <c r="B677" s="5"/>
      <c r="C677" s="5"/>
      <c r="D677" s="5"/>
      <c r="E677" s="6"/>
      <c r="F677" s="6"/>
      <c r="G677" s="6"/>
      <c r="H677" s="7"/>
      <c r="I677" s="8"/>
      <c r="J677" s="8"/>
      <c r="K677" s="8"/>
      <c r="L677" s="8"/>
      <c r="M677" s="8"/>
      <c r="N677" s="5"/>
      <c r="O677" s="5"/>
      <c r="P677" s="5"/>
      <c r="Q677" s="5"/>
      <c r="R677" s="5"/>
      <c r="S677" s="5"/>
      <c r="T677" s="5"/>
      <c r="U677" s="5"/>
    </row>
    <row r="678" spans="1:21" ht="19.5" customHeight="1" x14ac:dyDescent="0.3">
      <c r="A678" s="5"/>
      <c r="B678" s="5"/>
      <c r="C678" s="5"/>
      <c r="D678" s="5"/>
      <c r="E678" s="6"/>
      <c r="F678" s="6"/>
      <c r="G678" s="6"/>
      <c r="H678" s="7"/>
      <c r="I678" s="8"/>
      <c r="J678" s="8"/>
      <c r="K678" s="8"/>
      <c r="L678" s="8"/>
      <c r="M678" s="8"/>
      <c r="N678" s="5"/>
      <c r="O678" s="5"/>
      <c r="P678" s="5"/>
      <c r="Q678" s="5"/>
      <c r="R678" s="5"/>
      <c r="S678" s="5"/>
      <c r="T678" s="5"/>
      <c r="U678" s="5"/>
    </row>
    <row r="679" spans="1:21" ht="19.5" customHeight="1" x14ac:dyDescent="0.3">
      <c r="A679" s="5"/>
      <c r="B679" s="5"/>
      <c r="C679" s="5"/>
      <c r="D679" s="5"/>
      <c r="E679" s="6"/>
      <c r="F679" s="6"/>
      <c r="G679" s="6"/>
      <c r="H679" s="7"/>
      <c r="I679" s="8"/>
      <c r="J679" s="8"/>
      <c r="K679" s="8"/>
      <c r="L679" s="8"/>
      <c r="M679" s="8"/>
      <c r="N679" s="5"/>
      <c r="O679" s="5"/>
      <c r="P679" s="5"/>
      <c r="Q679" s="5"/>
      <c r="R679" s="5"/>
      <c r="S679" s="5"/>
      <c r="T679" s="5"/>
      <c r="U679" s="5"/>
    </row>
    <row r="680" spans="1:21" ht="19.5" customHeight="1" x14ac:dyDescent="0.3">
      <c r="A680" s="5"/>
      <c r="B680" s="5"/>
      <c r="C680" s="5"/>
      <c r="D680" s="5"/>
      <c r="E680" s="6"/>
      <c r="F680" s="6"/>
      <c r="G680" s="6"/>
      <c r="H680" s="7"/>
      <c r="I680" s="8"/>
      <c r="J680" s="8"/>
      <c r="K680" s="8"/>
      <c r="L680" s="8"/>
      <c r="M680" s="8"/>
      <c r="N680" s="5"/>
      <c r="O680" s="5"/>
      <c r="P680" s="5"/>
      <c r="Q680" s="5"/>
      <c r="R680" s="5"/>
      <c r="S680" s="5"/>
      <c r="T680" s="5"/>
      <c r="U680" s="5"/>
    </row>
    <row r="681" spans="1:21" ht="19.5" customHeight="1" x14ac:dyDescent="0.3">
      <c r="A681" s="5"/>
      <c r="B681" s="5"/>
      <c r="C681" s="5"/>
      <c r="D681" s="5"/>
      <c r="E681" s="6"/>
      <c r="F681" s="6"/>
      <c r="G681" s="6"/>
      <c r="H681" s="7"/>
      <c r="I681" s="8"/>
      <c r="J681" s="8"/>
      <c r="K681" s="8"/>
      <c r="L681" s="8"/>
      <c r="M681" s="8"/>
      <c r="N681" s="5"/>
      <c r="O681" s="5"/>
      <c r="P681" s="5"/>
      <c r="Q681" s="5"/>
      <c r="R681" s="5"/>
      <c r="S681" s="5"/>
      <c r="T681" s="5"/>
      <c r="U681" s="5"/>
    </row>
    <row r="682" spans="1:21" ht="19.5" customHeight="1" x14ac:dyDescent="0.3">
      <c r="A682" s="5"/>
      <c r="B682" s="5"/>
      <c r="C682" s="5"/>
      <c r="D682" s="5"/>
      <c r="E682" s="6"/>
      <c r="F682" s="6"/>
      <c r="G682" s="6"/>
      <c r="H682" s="7"/>
      <c r="I682" s="8"/>
      <c r="J682" s="8"/>
      <c r="K682" s="8"/>
      <c r="L682" s="8"/>
      <c r="M682" s="8"/>
      <c r="N682" s="5"/>
      <c r="O682" s="5"/>
      <c r="P682" s="5"/>
      <c r="Q682" s="5"/>
      <c r="R682" s="5"/>
      <c r="S682" s="5"/>
      <c r="T682" s="5"/>
      <c r="U682" s="5"/>
    </row>
    <row r="683" spans="1:21" ht="19.5" customHeight="1" x14ac:dyDescent="0.3">
      <c r="A683" s="5"/>
      <c r="B683" s="5"/>
      <c r="C683" s="5"/>
      <c r="D683" s="5"/>
      <c r="E683" s="6"/>
      <c r="F683" s="6"/>
      <c r="G683" s="6"/>
      <c r="H683" s="7"/>
      <c r="I683" s="8"/>
      <c r="J683" s="8"/>
      <c r="K683" s="8"/>
      <c r="L683" s="8"/>
      <c r="M683" s="8"/>
      <c r="N683" s="5"/>
      <c r="O683" s="5"/>
      <c r="P683" s="5"/>
      <c r="Q683" s="5"/>
      <c r="R683" s="5"/>
      <c r="S683" s="5"/>
      <c r="T683" s="5"/>
      <c r="U683" s="5"/>
    </row>
    <row r="684" spans="1:21" ht="19.5" customHeight="1" x14ac:dyDescent="0.3">
      <c r="A684" s="5"/>
      <c r="B684" s="5"/>
      <c r="C684" s="5"/>
      <c r="D684" s="5"/>
      <c r="E684" s="6"/>
      <c r="F684" s="6"/>
      <c r="G684" s="6"/>
      <c r="H684" s="7"/>
      <c r="I684" s="8"/>
      <c r="J684" s="8"/>
      <c r="K684" s="8"/>
      <c r="L684" s="8"/>
      <c r="M684" s="8"/>
      <c r="N684" s="5"/>
      <c r="O684" s="5"/>
      <c r="P684" s="5"/>
      <c r="Q684" s="5"/>
      <c r="R684" s="5"/>
      <c r="S684" s="5"/>
      <c r="T684" s="5"/>
      <c r="U684" s="5"/>
    </row>
    <row r="685" spans="1:21" ht="19.5" customHeight="1" x14ac:dyDescent="0.3">
      <c r="A685" s="5"/>
      <c r="B685" s="5"/>
      <c r="C685" s="5"/>
      <c r="D685" s="5"/>
      <c r="E685" s="6"/>
      <c r="F685" s="6"/>
      <c r="G685" s="6"/>
      <c r="H685" s="7"/>
      <c r="I685" s="8"/>
      <c r="J685" s="8"/>
      <c r="K685" s="8"/>
      <c r="L685" s="8"/>
      <c r="M685" s="8"/>
      <c r="N685" s="5"/>
      <c r="O685" s="5"/>
      <c r="P685" s="5"/>
      <c r="Q685" s="5"/>
      <c r="R685" s="5"/>
      <c r="S685" s="5"/>
      <c r="T685" s="5"/>
      <c r="U685" s="5"/>
    </row>
    <row r="686" spans="1:21" ht="19.5" customHeight="1" x14ac:dyDescent="0.3">
      <c r="A686" s="5"/>
      <c r="B686" s="5"/>
      <c r="C686" s="5"/>
      <c r="D686" s="5"/>
      <c r="E686" s="6"/>
      <c r="F686" s="6"/>
      <c r="G686" s="6"/>
      <c r="H686" s="7"/>
      <c r="I686" s="8"/>
      <c r="J686" s="8"/>
      <c r="K686" s="8"/>
      <c r="L686" s="8"/>
      <c r="M686" s="8"/>
      <c r="N686" s="5"/>
      <c r="O686" s="5"/>
      <c r="P686" s="5"/>
      <c r="Q686" s="5"/>
      <c r="R686" s="5"/>
      <c r="S686" s="5"/>
      <c r="T686" s="5"/>
      <c r="U686" s="5"/>
    </row>
    <row r="687" spans="1:21" ht="19.5" customHeight="1" x14ac:dyDescent="0.3">
      <c r="A687" s="5"/>
      <c r="B687" s="5"/>
      <c r="C687" s="5"/>
      <c r="D687" s="5"/>
      <c r="E687" s="6"/>
      <c r="F687" s="6"/>
      <c r="G687" s="6"/>
      <c r="H687" s="7"/>
      <c r="I687" s="8"/>
      <c r="J687" s="8"/>
      <c r="K687" s="8"/>
      <c r="L687" s="8"/>
      <c r="M687" s="8"/>
      <c r="N687" s="5"/>
      <c r="O687" s="5"/>
      <c r="P687" s="5"/>
      <c r="Q687" s="5"/>
      <c r="R687" s="5"/>
      <c r="S687" s="5"/>
      <c r="T687" s="5"/>
      <c r="U687" s="5"/>
    </row>
    <row r="688" spans="1:21" ht="19.5" customHeight="1" x14ac:dyDescent="0.3">
      <c r="A688" s="5"/>
      <c r="B688" s="5"/>
      <c r="C688" s="5"/>
      <c r="D688" s="5"/>
      <c r="E688" s="6"/>
      <c r="F688" s="6"/>
      <c r="G688" s="6"/>
      <c r="H688" s="7"/>
      <c r="I688" s="8"/>
      <c r="J688" s="8"/>
      <c r="K688" s="8"/>
      <c r="L688" s="8"/>
      <c r="M688" s="8"/>
      <c r="N688" s="5"/>
      <c r="O688" s="5"/>
      <c r="P688" s="5"/>
      <c r="Q688" s="5"/>
      <c r="R688" s="5"/>
      <c r="S688" s="5"/>
      <c r="T688" s="5"/>
      <c r="U688" s="5"/>
    </row>
    <row r="689" spans="1:21" ht="19.5" customHeight="1" x14ac:dyDescent="0.3">
      <c r="A689" s="5"/>
      <c r="B689" s="5"/>
      <c r="C689" s="5"/>
      <c r="D689" s="5"/>
      <c r="E689" s="6"/>
      <c r="F689" s="6"/>
      <c r="G689" s="6"/>
      <c r="H689" s="7"/>
      <c r="I689" s="8"/>
      <c r="J689" s="8"/>
      <c r="K689" s="8"/>
      <c r="L689" s="8"/>
      <c r="M689" s="8"/>
      <c r="N689" s="5"/>
      <c r="O689" s="5"/>
      <c r="P689" s="5"/>
      <c r="Q689" s="5"/>
      <c r="R689" s="5"/>
      <c r="S689" s="5"/>
      <c r="T689" s="5"/>
      <c r="U689" s="5"/>
    </row>
    <row r="690" spans="1:21" ht="19.5" customHeight="1" x14ac:dyDescent="0.3">
      <c r="A690" s="5"/>
      <c r="B690" s="5"/>
      <c r="C690" s="5"/>
      <c r="D690" s="5"/>
      <c r="E690" s="6"/>
      <c r="F690" s="6"/>
      <c r="G690" s="6"/>
      <c r="H690" s="7"/>
      <c r="I690" s="8"/>
      <c r="J690" s="8"/>
      <c r="K690" s="8"/>
      <c r="L690" s="8"/>
      <c r="M690" s="8"/>
      <c r="N690" s="5"/>
      <c r="O690" s="5"/>
      <c r="P690" s="5"/>
      <c r="Q690" s="5"/>
      <c r="R690" s="5"/>
      <c r="S690" s="5"/>
      <c r="T690" s="5"/>
      <c r="U690" s="5"/>
    </row>
    <row r="691" spans="1:21" ht="19.5" customHeight="1" x14ac:dyDescent="0.3">
      <c r="A691" s="5"/>
      <c r="B691" s="5"/>
      <c r="C691" s="5"/>
      <c r="D691" s="5"/>
      <c r="E691" s="6"/>
      <c r="F691" s="6"/>
      <c r="G691" s="6"/>
      <c r="H691" s="7"/>
      <c r="I691" s="8"/>
      <c r="J691" s="8"/>
      <c r="K691" s="8"/>
      <c r="L691" s="8"/>
      <c r="M691" s="8"/>
      <c r="N691" s="5"/>
      <c r="O691" s="5"/>
      <c r="P691" s="5"/>
      <c r="Q691" s="5"/>
      <c r="R691" s="5"/>
      <c r="S691" s="5"/>
      <c r="T691" s="5"/>
      <c r="U691" s="5"/>
    </row>
    <row r="692" spans="1:21" ht="19.5" customHeight="1" x14ac:dyDescent="0.3">
      <c r="A692" s="5"/>
      <c r="B692" s="5"/>
      <c r="C692" s="5"/>
      <c r="D692" s="5"/>
      <c r="E692" s="6"/>
      <c r="F692" s="6"/>
      <c r="G692" s="6"/>
      <c r="H692" s="7"/>
      <c r="I692" s="8"/>
      <c r="J692" s="8"/>
      <c r="K692" s="8"/>
      <c r="L692" s="8"/>
      <c r="M692" s="8"/>
      <c r="N692" s="5"/>
      <c r="O692" s="5"/>
      <c r="P692" s="5"/>
      <c r="Q692" s="5"/>
      <c r="R692" s="5"/>
      <c r="S692" s="5"/>
      <c r="T692" s="5"/>
      <c r="U692" s="5"/>
    </row>
    <row r="693" spans="1:21" ht="19.5" customHeight="1" x14ac:dyDescent="0.3">
      <c r="A693" s="5"/>
      <c r="B693" s="5"/>
      <c r="C693" s="5"/>
      <c r="D693" s="5"/>
      <c r="E693" s="6"/>
      <c r="F693" s="6"/>
      <c r="G693" s="6"/>
      <c r="H693" s="7"/>
      <c r="I693" s="8"/>
      <c r="J693" s="8"/>
      <c r="K693" s="8"/>
      <c r="L693" s="8"/>
      <c r="M693" s="8"/>
      <c r="N693" s="5"/>
      <c r="O693" s="5"/>
      <c r="P693" s="5"/>
      <c r="Q693" s="5"/>
      <c r="R693" s="5"/>
      <c r="S693" s="5"/>
      <c r="T693" s="5"/>
      <c r="U693" s="5"/>
    </row>
    <row r="694" spans="1:21" ht="19.5" customHeight="1" x14ac:dyDescent="0.3">
      <c r="A694" s="5"/>
      <c r="B694" s="5"/>
      <c r="C694" s="5"/>
      <c r="D694" s="5"/>
      <c r="E694" s="6"/>
      <c r="F694" s="6"/>
      <c r="G694" s="6"/>
      <c r="H694" s="7"/>
      <c r="I694" s="8"/>
      <c r="J694" s="8"/>
      <c r="K694" s="8"/>
      <c r="L694" s="8"/>
      <c r="M694" s="8"/>
      <c r="N694" s="5"/>
      <c r="O694" s="5"/>
      <c r="P694" s="5"/>
      <c r="Q694" s="5"/>
      <c r="R694" s="5"/>
      <c r="S694" s="5"/>
      <c r="T694" s="5"/>
      <c r="U694" s="5"/>
    </row>
    <row r="695" spans="1:21" ht="19.5" customHeight="1" x14ac:dyDescent="0.3">
      <c r="A695" s="5"/>
      <c r="B695" s="5"/>
      <c r="C695" s="5"/>
      <c r="D695" s="5"/>
      <c r="E695" s="6"/>
      <c r="F695" s="6"/>
      <c r="G695" s="6"/>
      <c r="H695" s="7"/>
      <c r="I695" s="8"/>
      <c r="J695" s="8"/>
      <c r="K695" s="8"/>
      <c r="L695" s="8"/>
      <c r="M695" s="8"/>
      <c r="N695" s="5"/>
      <c r="O695" s="5"/>
      <c r="P695" s="5"/>
      <c r="Q695" s="5"/>
      <c r="R695" s="5"/>
      <c r="S695" s="5"/>
      <c r="T695" s="5"/>
      <c r="U695" s="5"/>
    </row>
    <row r="696" spans="1:21" ht="19.5" customHeight="1" x14ac:dyDescent="0.3">
      <c r="A696" s="5"/>
      <c r="B696" s="5"/>
      <c r="C696" s="5"/>
      <c r="D696" s="5"/>
      <c r="E696" s="6"/>
      <c r="F696" s="6"/>
      <c r="G696" s="6"/>
      <c r="H696" s="7"/>
      <c r="I696" s="8"/>
      <c r="J696" s="8"/>
      <c r="K696" s="8"/>
      <c r="L696" s="8"/>
      <c r="M696" s="8"/>
      <c r="N696" s="5"/>
      <c r="O696" s="5"/>
      <c r="P696" s="5"/>
      <c r="Q696" s="5"/>
      <c r="R696" s="5"/>
      <c r="S696" s="5"/>
      <c r="T696" s="5"/>
      <c r="U696" s="5"/>
    </row>
    <row r="697" spans="1:21" ht="19.5" customHeight="1" x14ac:dyDescent="0.3">
      <c r="A697" s="5"/>
      <c r="B697" s="5"/>
      <c r="C697" s="5"/>
      <c r="D697" s="5"/>
      <c r="E697" s="6"/>
      <c r="F697" s="6"/>
      <c r="G697" s="6"/>
      <c r="H697" s="7"/>
      <c r="I697" s="8"/>
      <c r="J697" s="8"/>
      <c r="K697" s="8"/>
      <c r="L697" s="8"/>
      <c r="M697" s="8"/>
      <c r="N697" s="5"/>
      <c r="O697" s="5"/>
      <c r="P697" s="5"/>
      <c r="Q697" s="5"/>
      <c r="R697" s="5"/>
      <c r="S697" s="5"/>
      <c r="T697" s="5"/>
      <c r="U697" s="5"/>
    </row>
    <row r="698" spans="1:21" ht="19.5" customHeight="1" x14ac:dyDescent="0.3">
      <c r="A698" s="5"/>
      <c r="B698" s="5"/>
      <c r="C698" s="5"/>
      <c r="D698" s="5"/>
      <c r="E698" s="6"/>
      <c r="F698" s="6"/>
      <c r="G698" s="6"/>
      <c r="H698" s="7"/>
      <c r="I698" s="8"/>
      <c r="J698" s="8"/>
      <c r="K698" s="8"/>
      <c r="L698" s="8"/>
      <c r="M698" s="8"/>
      <c r="N698" s="5"/>
      <c r="O698" s="5"/>
      <c r="P698" s="5"/>
      <c r="Q698" s="5"/>
      <c r="R698" s="5"/>
      <c r="S698" s="5"/>
      <c r="T698" s="5"/>
      <c r="U698" s="5"/>
    </row>
    <row r="699" spans="1:21" ht="19.5" customHeight="1" x14ac:dyDescent="0.3">
      <c r="A699" s="5"/>
      <c r="B699" s="5"/>
      <c r="C699" s="5"/>
      <c r="D699" s="5"/>
      <c r="E699" s="6"/>
      <c r="F699" s="6"/>
      <c r="G699" s="6"/>
      <c r="H699" s="7"/>
      <c r="I699" s="8"/>
      <c r="J699" s="8"/>
      <c r="K699" s="8"/>
      <c r="L699" s="8"/>
      <c r="M699" s="8"/>
      <c r="N699" s="5"/>
      <c r="O699" s="5"/>
      <c r="P699" s="5"/>
      <c r="Q699" s="5"/>
      <c r="R699" s="5"/>
      <c r="S699" s="5"/>
      <c r="T699" s="5"/>
      <c r="U699" s="5"/>
    </row>
    <row r="700" spans="1:21" ht="19.5" customHeight="1" x14ac:dyDescent="0.3">
      <c r="A700" s="5"/>
      <c r="B700" s="5"/>
      <c r="C700" s="5"/>
      <c r="D700" s="5"/>
      <c r="E700" s="6"/>
      <c r="F700" s="6"/>
      <c r="G700" s="6"/>
      <c r="H700" s="7"/>
      <c r="I700" s="8"/>
      <c r="J700" s="8"/>
      <c r="K700" s="8"/>
      <c r="L700" s="8"/>
      <c r="M700" s="8"/>
      <c r="N700" s="5"/>
      <c r="O700" s="5"/>
      <c r="P700" s="5"/>
      <c r="Q700" s="5"/>
      <c r="R700" s="5"/>
      <c r="S700" s="5"/>
      <c r="T700" s="5"/>
      <c r="U700" s="5"/>
    </row>
    <row r="701" spans="1:21" ht="19.5" customHeight="1" x14ac:dyDescent="0.3">
      <c r="A701" s="5"/>
      <c r="B701" s="5"/>
      <c r="C701" s="5"/>
      <c r="D701" s="5"/>
      <c r="E701" s="6"/>
      <c r="F701" s="6"/>
      <c r="G701" s="6"/>
      <c r="H701" s="7"/>
      <c r="I701" s="8"/>
      <c r="J701" s="8"/>
      <c r="K701" s="8"/>
      <c r="L701" s="8"/>
      <c r="M701" s="8"/>
      <c r="N701" s="5"/>
      <c r="O701" s="5"/>
      <c r="P701" s="5"/>
      <c r="Q701" s="5"/>
      <c r="R701" s="5"/>
      <c r="S701" s="5"/>
      <c r="T701" s="5"/>
      <c r="U701" s="5"/>
    </row>
    <row r="702" spans="1:21" ht="19.5" customHeight="1" x14ac:dyDescent="0.3">
      <c r="A702" s="5"/>
      <c r="B702" s="5"/>
      <c r="C702" s="5"/>
      <c r="D702" s="5"/>
      <c r="E702" s="6"/>
      <c r="F702" s="6"/>
      <c r="G702" s="6"/>
      <c r="H702" s="7"/>
      <c r="I702" s="8"/>
      <c r="J702" s="8"/>
      <c r="K702" s="8"/>
      <c r="L702" s="8"/>
      <c r="M702" s="8"/>
      <c r="N702" s="5"/>
      <c r="O702" s="5"/>
      <c r="P702" s="5"/>
      <c r="Q702" s="5"/>
      <c r="R702" s="5"/>
      <c r="S702" s="5"/>
      <c r="T702" s="5"/>
      <c r="U702" s="5"/>
    </row>
    <row r="703" spans="1:21" ht="19.5" customHeight="1" x14ac:dyDescent="0.3">
      <c r="A703" s="5"/>
      <c r="B703" s="5"/>
      <c r="C703" s="5"/>
      <c r="D703" s="5"/>
      <c r="E703" s="6"/>
      <c r="F703" s="6"/>
      <c r="G703" s="6"/>
      <c r="H703" s="7"/>
      <c r="I703" s="8"/>
      <c r="J703" s="8"/>
      <c r="K703" s="8"/>
      <c r="L703" s="8"/>
      <c r="M703" s="8"/>
      <c r="N703" s="5"/>
      <c r="O703" s="5"/>
      <c r="P703" s="5"/>
      <c r="Q703" s="5"/>
      <c r="R703" s="5"/>
      <c r="S703" s="5"/>
      <c r="T703" s="5"/>
      <c r="U703" s="5"/>
    </row>
    <row r="704" spans="1:21" ht="19.5" customHeight="1" x14ac:dyDescent="0.3">
      <c r="A704" s="5"/>
      <c r="B704" s="5"/>
      <c r="C704" s="5"/>
      <c r="D704" s="5"/>
      <c r="E704" s="6"/>
      <c r="F704" s="6"/>
      <c r="G704" s="6"/>
      <c r="H704" s="7"/>
      <c r="I704" s="8"/>
      <c r="J704" s="8"/>
      <c r="K704" s="8"/>
      <c r="L704" s="8"/>
      <c r="M704" s="8"/>
      <c r="N704" s="5"/>
      <c r="O704" s="5"/>
      <c r="P704" s="5"/>
      <c r="Q704" s="5"/>
      <c r="R704" s="5"/>
      <c r="S704" s="5"/>
      <c r="T704" s="5"/>
      <c r="U704" s="5"/>
    </row>
    <row r="705" spans="1:21" ht="19.5" customHeight="1" x14ac:dyDescent="0.3">
      <c r="A705" s="5"/>
      <c r="B705" s="5"/>
      <c r="C705" s="5"/>
      <c r="D705" s="5"/>
      <c r="E705" s="6"/>
      <c r="F705" s="6"/>
      <c r="G705" s="6"/>
      <c r="H705" s="7"/>
      <c r="I705" s="8"/>
      <c r="J705" s="8"/>
      <c r="K705" s="8"/>
      <c r="L705" s="8"/>
      <c r="M705" s="8"/>
      <c r="N705" s="5"/>
      <c r="O705" s="5"/>
      <c r="P705" s="5"/>
      <c r="Q705" s="5"/>
      <c r="R705" s="5"/>
      <c r="S705" s="5"/>
      <c r="T705" s="5"/>
      <c r="U705" s="5"/>
    </row>
    <row r="706" spans="1:21" ht="19.5" customHeight="1" x14ac:dyDescent="0.3">
      <c r="A706" s="5"/>
      <c r="B706" s="5"/>
      <c r="C706" s="5"/>
      <c r="D706" s="5"/>
      <c r="E706" s="6"/>
      <c r="F706" s="6"/>
      <c r="G706" s="6"/>
      <c r="H706" s="7"/>
      <c r="I706" s="8"/>
      <c r="J706" s="8"/>
      <c r="K706" s="8"/>
      <c r="L706" s="8"/>
      <c r="M706" s="8"/>
      <c r="N706" s="5"/>
      <c r="O706" s="5"/>
      <c r="P706" s="5"/>
      <c r="Q706" s="5"/>
      <c r="R706" s="5"/>
      <c r="S706" s="5"/>
      <c r="T706" s="5"/>
      <c r="U706" s="5"/>
    </row>
    <row r="707" spans="1:21" ht="19.5" customHeight="1" x14ac:dyDescent="0.3">
      <c r="A707" s="5"/>
      <c r="B707" s="5"/>
      <c r="C707" s="5"/>
      <c r="D707" s="5"/>
      <c r="E707" s="6"/>
      <c r="F707" s="6"/>
      <c r="G707" s="6"/>
      <c r="H707" s="7"/>
      <c r="I707" s="8"/>
      <c r="J707" s="8"/>
      <c r="K707" s="8"/>
      <c r="L707" s="8"/>
      <c r="M707" s="8"/>
      <c r="N707" s="5"/>
      <c r="O707" s="5"/>
      <c r="P707" s="5"/>
      <c r="Q707" s="5"/>
      <c r="R707" s="5"/>
      <c r="S707" s="5"/>
      <c r="T707" s="5"/>
      <c r="U707" s="5"/>
    </row>
    <row r="708" spans="1:21" ht="19.5" customHeight="1" x14ac:dyDescent="0.3">
      <c r="A708" s="5"/>
      <c r="B708" s="5"/>
      <c r="C708" s="5"/>
      <c r="D708" s="5"/>
      <c r="E708" s="6"/>
      <c r="F708" s="6"/>
      <c r="G708" s="6"/>
      <c r="H708" s="7"/>
      <c r="I708" s="8"/>
      <c r="J708" s="8"/>
      <c r="K708" s="8"/>
      <c r="L708" s="8"/>
      <c r="M708" s="8"/>
      <c r="N708" s="5"/>
      <c r="O708" s="5"/>
      <c r="P708" s="5"/>
      <c r="Q708" s="5"/>
      <c r="R708" s="5"/>
      <c r="S708" s="5"/>
      <c r="T708" s="5"/>
      <c r="U708" s="5"/>
    </row>
    <row r="709" spans="1:21" ht="19.5" customHeight="1" x14ac:dyDescent="0.3">
      <c r="A709" s="5"/>
      <c r="B709" s="5"/>
      <c r="C709" s="5"/>
      <c r="D709" s="5"/>
      <c r="E709" s="6"/>
      <c r="F709" s="6"/>
      <c r="G709" s="6"/>
      <c r="H709" s="7"/>
      <c r="I709" s="8"/>
      <c r="J709" s="8"/>
      <c r="K709" s="8"/>
      <c r="L709" s="8"/>
      <c r="M709" s="8"/>
      <c r="N709" s="5"/>
      <c r="O709" s="5"/>
      <c r="P709" s="5"/>
      <c r="Q709" s="5"/>
      <c r="R709" s="5"/>
      <c r="S709" s="5"/>
      <c r="T709" s="5"/>
      <c r="U709" s="5"/>
    </row>
    <row r="710" spans="1:21" ht="19.5" customHeight="1" x14ac:dyDescent="0.3">
      <c r="A710" s="5"/>
      <c r="B710" s="5"/>
      <c r="C710" s="5"/>
      <c r="D710" s="5"/>
      <c r="E710" s="6"/>
      <c r="F710" s="6"/>
      <c r="G710" s="6"/>
      <c r="H710" s="7"/>
      <c r="I710" s="8"/>
      <c r="J710" s="8"/>
      <c r="K710" s="8"/>
      <c r="L710" s="8"/>
      <c r="M710" s="8"/>
      <c r="N710" s="5"/>
      <c r="O710" s="5"/>
      <c r="P710" s="5"/>
      <c r="Q710" s="5"/>
      <c r="R710" s="5"/>
      <c r="S710" s="5"/>
      <c r="T710" s="5"/>
      <c r="U710" s="5"/>
    </row>
    <row r="711" spans="1:21" ht="19.5" customHeight="1" x14ac:dyDescent="0.3">
      <c r="A711" s="5"/>
      <c r="B711" s="5"/>
      <c r="C711" s="5"/>
      <c r="D711" s="5"/>
      <c r="E711" s="6"/>
      <c r="F711" s="6"/>
      <c r="G711" s="6"/>
      <c r="H711" s="7"/>
      <c r="I711" s="8"/>
      <c r="J711" s="8"/>
      <c r="K711" s="8"/>
      <c r="L711" s="8"/>
      <c r="M711" s="8"/>
      <c r="N711" s="5"/>
      <c r="O711" s="5"/>
      <c r="P711" s="5"/>
      <c r="Q711" s="5"/>
      <c r="R711" s="5"/>
      <c r="S711" s="5"/>
      <c r="T711" s="5"/>
      <c r="U711" s="5"/>
    </row>
    <row r="712" spans="1:21" ht="19.5" customHeight="1" x14ac:dyDescent="0.3">
      <c r="A712" s="5"/>
      <c r="B712" s="5"/>
      <c r="C712" s="5"/>
      <c r="D712" s="5"/>
      <c r="E712" s="6"/>
      <c r="F712" s="6"/>
      <c r="G712" s="6"/>
      <c r="H712" s="7"/>
      <c r="I712" s="8"/>
      <c r="J712" s="8"/>
      <c r="K712" s="8"/>
      <c r="L712" s="8"/>
      <c r="M712" s="8"/>
      <c r="N712" s="5"/>
      <c r="O712" s="5"/>
      <c r="P712" s="5"/>
      <c r="Q712" s="5"/>
      <c r="R712" s="5"/>
      <c r="S712" s="5"/>
      <c r="T712" s="5"/>
      <c r="U712" s="5"/>
    </row>
    <row r="713" spans="1:21" ht="19.5" customHeight="1" x14ac:dyDescent="0.3">
      <c r="A713" s="5"/>
      <c r="B713" s="5"/>
      <c r="C713" s="5"/>
      <c r="D713" s="5"/>
      <c r="E713" s="6"/>
      <c r="F713" s="6"/>
      <c r="G713" s="6"/>
      <c r="H713" s="7"/>
      <c r="I713" s="8"/>
      <c r="J713" s="8"/>
      <c r="K713" s="8"/>
      <c r="L713" s="8"/>
      <c r="M713" s="8"/>
      <c r="N713" s="5"/>
      <c r="O713" s="5"/>
      <c r="P713" s="5"/>
      <c r="Q713" s="5"/>
      <c r="R713" s="5"/>
      <c r="S713" s="5"/>
      <c r="T713" s="5"/>
      <c r="U713" s="5"/>
    </row>
    <row r="714" spans="1:21" ht="19.5" customHeight="1" x14ac:dyDescent="0.3">
      <c r="A714" s="5"/>
      <c r="B714" s="5"/>
      <c r="C714" s="5"/>
      <c r="D714" s="5"/>
      <c r="E714" s="6"/>
      <c r="F714" s="6"/>
      <c r="G714" s="6"/>
      <c r="H714" s="7"/>
      <c r="I714" s="8"/>
      <c r="J714" s="8"/>
      <c r="K714" s="8"/>
      <c r="L714" s="8"/>
      <c r="M714" s="8"/>
      <c r="N714" s="5"/>
      <c r="O714" s="5"/>
      <c r="P714" s="5"/>
      <c r="Q714" s="5"/>
      <c r="R714" s="5"/>
      <c r="S714" s="5"/>
      <c r="T714" s="5"/>
      <c r="U714" s="5"/>
    </row>
    <row r="715" spans="1:21" ht="19.5" customHeight="1" x14ac:dyDescent="0.3">
      <c r="A715" s="5"/>
      <c r="B715" s="5"/>
      <c r="C715" s="5"/>
      <c r="D715" s="5"/>
      <c r="E715" s="6"/>
      <c r="F715" s="6"/>
      <c r="G715" s="6"/>
      <c r="H715" s="7"/>
      <c r="I715" s="8"/>
      <c r="J715" s="8"/>
      <c r="K715" s="8"/>
      <c r="L715" s="8"/>
      <c r="M715" s="8"/>
      <c r="N715" s="5"/>
      <c r="O715" s="5"/>
      <c r="P715" s="5"/>
      <c r="Q715" s="5"/>
      <c r="R715" s="5"/>
      <c r="S715" s="5"/>
      <c r="T715" s="5"/>
      <c r="U715" s="5"/>
    </row>
    <row r="716" spans="1:21" ht="19.5" customHeight="1" x14ac:dyDescent="0.3">
      <c r="A716" s="5"/>
      <c r="B716" s="5"/>
      <c r="C716" s="5"/>
      <c r="D716" s="5"/>
      <c r="E716" s="6"/>
      <c r="F716" s="6"/>
      <c r="G716" s="6"/>
      <c r="H716" s="7"/>
      <c r="I716" s="8"/>
      <c r="J716" s="8"/>
      <c r="K716" s="8"/>
      <c r="L716" s="8"/>
      <c r="M716" s="8"/>
      <c r="N716" s="5"/>
      <c r="O716" s="5"/>
      <c r="P716" s="5"/>
      <c r="Q716" s="5"/>
      <c r="R716" s="5"/>
      <c r="S716" s="5"/>
      <c r="T716" s="5"/>
      <c r="U716" s="5"/>
    </row>
    <row r="717" spans="1:21" ht="19.5" customHeight="1" x14ac:dyDescent="0.3">
      <c r="A717" s="5"/>
      <c r="B717" s="5"/>
      <c r="C717" s="5"/>
      <c r="D717" s="5"/>
      <c r="E717" s="6"/>
      <c r="F717" s="6"/>
      <c r="G717" s="6"/>
      <c r="H717" s="7"/>
      <c r="I717" s="8"/>
      <c r="J717" s="8"/>
      <c r="K717" s="8"/>
      <c r="L717" s="8"/>
      <c r="M717" s="8"/>
      <c r="N717" s="5"/>
      <c r="O717" s="5"/>
      <c r="P717" s="5"/>
      <c r="Q717" s="5"/>
      <c r="R717" s="5"/>
      <c r="S717" s="5"/>
      <c r="T717" s="5"/>
      <c r="U717" s="5"/>
    </row>
    <row r="718" spans="1:21" ht="19.5" customHeight="1" x14ac:dyDescent="0.3">
      <c r="A718" s="5"/>
      <c r="B718" s="5"/>
      <c r="C718" s="5"/>
      <c r="D718" s="5"/>
      <c r="E718" s="6"/>
      <c r="F718" s="6"/>
      <c r="G718" s="6"/>
      <c r="H718" s="7"/>
      <c r="I718" s="8"/>
      <c r="J718" s="8"/>
      <c r="K718" s="8"/>
      <c r="L718" s="8"/>
      <c r="M718" s="8"/>
      <c r="N718" s="5"/>
      <c r="O718" s="5"/>
      <c r="P718" s="5"/>
      <c r="Q718" s="5"/>
      <c r="R718" s="5"/>
      <c r="S718" s="5"/>
      <c r="T718" s="5"/>
      <c r="U718" s="5"/>
    </row>
    <row r="719" spans="1:21" ht="19.5" customHeight="1" x14ac:dyDescent="0.3">
      <c r="A719" s="5"/>
      <c r="B719" s="5"/>
      <c r="C719" s="5"/>
      <c r="D719" s="5"/>
      <c r="E719" s="6"/>
      <c r="F719" s="6"/>
      <c r="G719" s="6"/>
      <c r="H719" s="7"/>
      <c r="I719" s="8"/>
      <c r="J719" s="8"/>
      <c r="K719" s="8"/>
      <c r="L719" s="8"/>
      <c r="M719" s="8"/>
      <c r="N719" s="5"/>
      <c r="O719" s="5"/>
      <c r="P719" s="5"/>
      <c r="Q719" s="5"/>
      <c r="R719" s="5"/>
      <c r="S719" s="5"/>
      <c r="T719" s="5"/>
      <c r="U719" s="5"/>
    </row>
    <row r="720" spans="1:21" ht="19.5" customHeight="1" x14ac:dyDescent="0.3">
      <c r="A720" s="5"/>
      <c r="B720" s="5"/>
      <c r="C720" s="5"/>
      <c r="D720" s="5"/>
      <c r="E720" s="6"/>
      <c r="F720" s="6"/>
      <c r="G720" s="6"/>
      <c r="H720" s="7"/>
      <c r="I720" s="8"/>
      <c r="J720" s="8"/>
      <c r="K720" s="8"/>
      <c r="L720" s="8"/>
      <c r="M720" s="8"/>
      <c r="N720" s="5"/>
      <c r="O720" s="5"/>
      <c r="P720" s="5"/>
      <c r="Q720" s="5"/>
      <c r="R720" s="5"/>
      <c r="S720" s="5"/>
      <c r="T720" s="5"/>
      <c r="U720" s="5"/>
    </row>
    <row r="721" spans="1:21" ht="19.5" customHeight="1" x14ac:dyDescent="0.3">
      <c r="A721" s="5"/>
      <c r="B721" s="5"/>
      <c r="C721" s="5"/>
      <c r="D721" s="5"/>
      <c r="E721" s="6"/>
      <c r="F721" s="6"/>
      <c r="G721" s="6"/>
      <c r="H721" s="7"/>
      <c r="I721" s="8"/>
      <c r="J721" s="8"/>
      <c r="K721" s="8"/>
      <c r="L721" s="8"/>
      <c r="M721" s="8"/>
      <c r="N721" s="5"/>
      <c r="O721" s="5"/>
      <c r="P721" s="5"/>
      <c r="Q721" s="5"/>
      <c r="R721" s="5"/>
      <c r="S721" s="5"/>
      <c r="T721" s="5"/>
      <c r="U721" s="5"/>
    </row>
    <row r="722" spans="1:21" ht="19.5" customHeight="1" x14ac:dyDescent="0.3">
      <c r="A722" s="5"/>
      <c r="B722" s="5"/>
      <c r="C722" s="5"/>
      <c r="D722" s="5"/>
      <c r="E722" s="6"/>
      <c r="F722" s="6"/>
      <c r="G722" s="6"/>
      <c r="H722" s="7"/>
      <c r="I722" s="8"/>
      <c r="J722" s="8"/>
      <c r="K722" s="8"/>
      <c r="L722" s="8"/>
      <c r="M722" s="8"/>
      <c r="N722" s="5"/>
      <c r="O722" s="5"/>
      <c r="P722" s="5"/>
      <c r="Q722" s="5"/>
      <c r="R722" s="5"/>
      <c r="S722" s="5"/>
      <c r="T722" s="5"/>
      <c r="U722" s="5"/>
    </row>
    <row r="723" spans="1:21" ht="19.5" customHeight="1" x14ac:dyDescent="0.3">
      <c r="A723" s="5"/>
      <c r="B723" s="5"/>
      <c r="C723" s="5"/>
      <c r="D723" s="5"/>
      <c r="E723" s="6"/>
      <c r="F723" s="6"/>
      <c r="G723" s="6"/>
      <c r="H723" s="7"/>
      <c r="I723" s="8"/>
      <c r="J723" s="8"/>
      <c r="K723" s="8"/>
      <c r="L723" s="8"/>
      <c r="M723" s="8"/>
      <c r="N723" s="5"/>
      <c r="O723" s="5"/>
      <c r="P723" s="5"/>
      <c r="Q723" s="5"/>
      <c r="R723" s="5"/>
      <c r="S723" s="5"/>
      <c r="T723" s="5"/>
      <c r="U723" s="5"/>
    </row>
    <row r="724" spans="1:21" ht="19.5" customHeight="1" x14ac:dyDescent="0.3">
      <c r="A724" s="5"/>
      <c r="B724" s="5"/>
      <c r="C724" s="5"/>
      <c r="D724" s="5"/>
      <c r="E724" s="6"/>
      <c r="F724" s="6"/>
      <c r="G724" s="6"/>
      <c r="H724" s="7"/>
      <c r="I724" s="8"/>
      <c r="J724" s="8"/>
      <c r="K724" s="8"/>
      <c r="L724" s="8"/>
      <c r="M724" s="8"/>
      <c r="N724" s="5"/>
      <c r="O724" s="5"/>
      <c r="P724" s="5"/>
      <c r="Q724" s="5"/>
      <c r="R724" s="5"/>
      <c r="S724" s="5"/>
      <c r="T724" s="5"/>
      <c r="U724" s="5"/>
    </row>
    <row r="725" spans="1:21" ht="19.5" customHeight="1" x14ac:dyDescent="0.3">
      <c r="A725" s="5"/>
      <c r="B725" s="5"/>
      <c r="C725" s="5"/>
      <c r="D725" s="5"/>
      <c r="E725" s="6"/>
      <c r="F725" s="6"/>
      <c r="G725" s="6"/>
      <c r="H725" s="7"/>
      <c r="I725" s="8"/>
      <c r="J725" s="8"/>
      <c r="K725" s="8"/>
      <c r="L725" s="8"/>
      <c r="M725" s="8"/>
      <c r="N725" s="5"/>
      <c r="O725" s="5"/>
      <c r="P725" s="5"/>
      <c r="Q725" s="5"/>
      <c r="R725" s="5"/>
      <c r="S725" s="5"/>
      <c r="T725" s="5"/>
      <c r="U725" s="5"/>
    </row>
    <row r="726" spans="1:21" ht="19.5" customHeight="1" x14ac:dyDescent="0.3">
      <c r="A726" s="5"/>
      <c r="B726" s="5"/>
      <c r="C726" s="5"/>
      <c r="D726" s="5"/>
      <c r="E726" s="6"/>
      <c r="F726" s="6"/>
      <c r="G726" s="6"/>
      <c r="H726" s="7"/>
      <c r="I726" s="8"/>
      <c r="J726" s="8"/>
      <c r="K726" s="8"/>
      <c r="L726" s="8"/>
      <c r="M726" s="8"/>
      <c r="N726" s="5"/>
      <c r="O726" s="5"/>
      <c r="P726" s="5"/>
      <c r="Q726" s="5"/>
      <c r="R726" s="5"/>
      <c r="S726" s="5"/>
      <c r="T726" s="5"/>
      <c r="U726" s="5"/>
    </row>
    <row r="727" spans="1:21" ht="19.5" customHeight="1" x14ac:dyDescent="0.3">
      <c r="A727" s="5"/>
      <c r="B727" s="5"/>
      <c r="C727" s="5"/>
      <c r="D727" s="5"/>
      <c r="E727" s="6"/>
      <c r="F727" s="6"/>
      <c r="G727" s="6"/>
      <c r="H727" s="7"/>
      <c r="I727" s="8"/>
      <c r="J727" s="8"/>
      <c r="K727" s="8"/>
      <c r="L727" s="8"/>
      <c r="M727" s="8"/>
      <c r="N727" s="5"/>
      <c r="O727" s="5"/>
      <c r="P727" s="5"/>
      <c r="Q727" s="5"/>
      <c r="R727" s="5"/>
      <c r="S727" s="5"/>
      <c r="T727" s="5"/>
      <c r="U727" s="5"/>
    </row>
    <row r="728" spans="1:21" ht="19.5" customHeight="1" x14ac:dyDescent="0.3">
      <c r="A728" s="5"/>
      <c r="B728" s="5"/>
      <c r="C728" s="5"/>
      <c r="D728" s="5"/>
      <c r="E728" s="6"/>
      <c r="F728" s="6"/>
      <c r="G728" s="6"/>
      <c r="H728" s="7"/>
      <c r="I728" s="8"/>
      <c r="J728" s="8"/>
      <c r="K728" s="8"/>
      <c r="L728" s="8"/>
      <c r="M728" s="8"/>
      <c r="N728" s="5"/>
      <c r="O728" s="5"/>
      <c r="P728" s="5"/>
      <c r="Q728" s="5"/>
      <c r="R728" s="5"/>
      <c r="S728" s="5"/>
      <c r="T728" s="5"/>
      <c r="U728" s="5"/>
    </row>
    <row r="729" spans="1:21" ht="19.5" customHeight="1" x14ac:dyDescent="0.3">
      <c r="A729" s="5"/>
      <c r="B729" s="5"/>
      <c r="C729" s="5"/>
      <c r="D729" s="5"/>
      <c r="E729" s="6"/>
      <c r="F729" s="6"/>
      <c r="G729" s="6"/>
      <c r="H729" s="7"/>
      <c r="I729" s="8"/>
      <c r="J729" s="8"/>
      <c r="K729" s="8"/>
      <c r="L729" s="8"/>
      <c r="M729" s="8"/>
      <c r="N729" s="5"/>
      <c r="O729" s="5"/>
      <c r="P729" s="5"/>
      <c r="Q729" s="5"/>
      <c r="R729" s="5"/>
      <c r="S729" s="5"/>
      <c r="T729" s="5"/>
      <c r="U729" s="5"/>
    </row>
    <row r="730" spans="1:21" ht="19.5" customHeight="1" x14ac:dyDescent="0.3">
      <c r="A730" s="5"/>
      <c r="B730" s="5"/>
      <c r="C730" s="5"/>
      <c r="D730" s="5"/>
      <c r="E730" s="6"/>
      <c r="F730" s="6"/>
      <c r="G730" s="6"/>
      <c r="H730" s="7"/>
      <c r="I730" s="8"/>
      <c r="J730" s="8"/>
      <c r="K730" s="8"/>
      <c r="L730" s="8"/>
      <c r="M730" s="8"/>
      <c r="N730" s="5"/>
      <c r="O730" s="5"/>
      <c r="P730" s="5"/>
      <c r="Q730" s="5"/>
      <c r="R730" s="5"/>
      <c r="S730" s="5"/>
      <c r="T730" s="5"/>
      <c r="U730" s="5"/>
    </row>
    <row r="731" spans="1:21" ht="19.5" customHeight="1" x14ac:dyDescent="0.3">
      <c r="A731" s="5"/>
      <c r="B731" s="5"/>
      <c r="C731" s="5"/>
      <c r="D731" s="5"/>
      <c r="E731" s="6"/>
      <c r="F731" s="6"/>
      <c r="G731" s="6"/>
      <c r="H731" s="7"/>
      <c r="I731" s="8"/>
      <c r="J731" s="8"/>
      <c r="K731" s="8"/>
      <c r="L731" s="8"/>
      <c r="M731" s="8"/>
      <c r="N731" s="5"/>
      <c r="O731" s="5"/>
      <c r="P731" s="5"/>
      <c r="Q731" s="5"/>
      <c r="R731" s="5"/>
      <c r="S731" s="5"/>
      <c r="T731" s="5"/>
      <c r="U731" s="5"/>
    </row>
    <row r="732" spans="1:21" ht="19.5" customHeight="1" x14ac:dyDescent="0.3">
      <c r="A732" s="5"/>
      <c r="B732" s="5"/>
      <c r="C732" s="5"/>
      <c r="D732" s="5"/>
      <c r="E732" s="6"/>
      <c r="F732" s="6"/>
      <c r="G732" s="6"/>
      <c r="H732" s="7"/>
      <c r="I732" s="8"/>
      <c r="J732" s="8"/>
      <c r="K732" s="8"/>
      <c r="L732" s="8"/>
      <c r="M732" s="8"/>
      <c r="N732" s="5"/>
      <c r="O732" s="5"/>
      <c r="P732" s="5"/>
      <c r="Q732" s="5"/>
      <c r="R732" s="5"/>
      <c r="S732" s="5"/>
      <c r="T732" s="5"/>
      <c r="U732" s="5"/>
    </row>
    <row r="733" spans="1:21" ht="19.5" customHeight="1" x14ac:dyDescent="0.3">
      <c r="A733" s="5"/>
      <c r="B733" s="5"/>
      <c r="C733" s="5"/>
      <c r="D733" s="5"/>
      <c r="E733" s="6"/>
      <c r="F733" s="6"/>
      <c r="G733" s="6"/>
      <c r="H733" s="7"/>
      <c r="I733" s="8"/>
      <c r="J733" s="8"/>
      <c r="K733" s="8"/>
      <c r="L733" s="8"/>
      <c r="M733" s="8"/>
      <c r="N733" s="5"/>
      <c r="O733" s="5"/>
      <c r="P733" s="5"/>
      <c r="Q733" s="5"/>
      <c r="R733" s="5"/>
      <c r="S733" s="5"/>
      <c r="T733" s="5"/>
      <c r="U733" s="5"/>
    </row>
    <row r="734" spans="1:21" ht="19.5" customHeight="1" x14ac:dyDescent="0.3">
      <c r="A734" s="5"/>
      <c r="B734" s="5"/>
      <c r="C734" s="5"/>
      <c r="D734" s="5"/>
      <c r="E734" s="6"/>
      <c r="F734" s="6"/>
      <c r="G734" s="6"/>
      <c r="H734" s="7"/>
      <c r="I734" s="8"/>
      <c r="J734" s="8"/>
      <c r="K734" s="8"/>
      <c r="L734" s="8"/>
      <c r="M734" s="8"/>
      <c r="N734" s="5"/>
      <c r="O734" s="5"/>
      <c r="P734" s="5"/>
      <c r="Q734" s="5"/>
      <c r="R734" s="5"/>
      <c r="S734" s="5"/>
      <c r="T734" s="5"/>
      <c r="U734" s="5"/>
    </row>
    <row r="735" spans="1:21" ht="19.5" customHeight="1" x14ac:dyDescent="0.3">
      <c r="A735" s="5"/>
      <c r="B735" s="5"/>
      <c r="C735" s="5"/>
      <c r="D735" s="5"/>
      <c r="E735" s="6"/>
      <c r="F735" s="6"/>
      <c r="G735" s="6"/>
      <c r="H735" s="7"/>
      <c r="I735" s="8"/>
      <c r="J735" s="8"/>
      <c r="K735" s="8"/>
      <c r="L735" s="8"/>
      <c r="M735" s="8"/>
      <c r="N735" s="5"/>
      <c r="O735" s="5"/>
      <c r="P735" s="5"/>
      <c r="Q735" s="5"/>
      <c r="R735" s="5"/>
      <c r="S735" s="5"/>
      <c r="T735" s="5"/>
      <c r="U735" s="5"/>
    </row>
    <row r="736" spans="1:21" ht="19.5" customHeight="1" x14ac:dyDescent="0.3">
      <c r="A736" s="5"/>
      <c r="B736" s="5"/>
      <c r="C736" s="5"/>
      <c r="D736" s="5"/>
      <c r="E736" s="6"/>
      <c r="F736" s="6"/>
      <c r="G736" s="6"/>
      <c r="H736" s="7"/>
      <c r="I736" s="8"/>
      <c r="J736" s="8"/>
      <c r="K736" s="8"/>
      <c r="L736" s="8"/>
      <c r="M736" s="8"/>
      <c r="N736" s="5"/>
      <c r="O736" s="5"/>
      <c r="P736" s="5"/>
      <c r="Q736" s="5"/>
      <c r="R736" s="5"/>
      <c r="S736" s="5"/>
      <c r="T736" s="5"/>
      <c r="U736" s="5"/>
    </row>
    <row r="737" spans="1:21" ht="19.5" customHeight="1" x14ac:dyDescent="0.3">
      <c r="A737" s="5"/>
      <c r="B737" s="5"/>
      <c r="C737" s="5"/>
      <c r="D737" s="5"/>
      <c r="E737" s="6"/>
      <c r="F737" s="6"/>
      <c r="G737" s="6"/>
      <c r="H737" s="7"/>
      <c r="I737" s="8"/>
      <c r="J737" s="8"/>
      <c r="K737" s="8"/>
      <c r="L737" s="8"/>
      <c r="M737" s="8"/>
      <c r="N737" s="5"/>
      <c r="O737" s="5"/>
      <c r="P737" s="5"/>
      <c r="Q737" s="5"/>
      <c r="R737" s="5"/>
      <c r="S737" s="5"/>
      <c r="T737" s="5"/>
      <c r="U737" s="5"/>
    </row>
    <row r="738" spans="1:21" ht="19.5" customHeight="1" x14ac:dyDescent="0.3">
      <c r="A738" s="5"/>
      <c r="B738" s="5"/>
      <c r="C738" s="5"/>
      <c r="D738" s="5"/>
      <c r="E738" s="6"/>
      <c r="F738" s="6"/>
      <c r="G738" s="6"/>
      <c r="H738" s="7"/>
      <c r="I738" s="8"/>
      <c r="J738" s="8"/>
      <c r="K738" s="8"/>
      <c r="L738" s="8"/>
      <c r="M738" s="8"/>
      <c r="N738" s="5"/>
      <c r="O738" s="5"/>
      <c r="P738" s="5"/>
      <c r="Q738" s="5"/>
      <c r="R738" s="5"/>
      <c r="S738" s="5"/>
      <c r="T738" s="5"/>
      <c r="U738" s="5"/>
    </row>
    <row r="739" spans="1:21" ht="19.5" customHeight="1" x14ac:dyDescent="0.3">
      <c r="A739" s="5"/>
      <c r="B739" s="5"/>
      <c r="C739" s="5"/>
      <c r="D739" s="5"/>
      <c r="E739" s="6"/>
      <c r="F739" s="6"/>
      <c r="G739" s="6"/>
      <c r="H739" s="7"/>
      <c r="I739" s="8"/>
      <c r="J739" s="8"/>
      <c r="K739" s="8"/>
      <c r="L739" s="8"/>
      <c r="M739" s="8"/>
      <c r="N739" s="5"/>
      <c r="O739" s="5"/>
      <c r="P739" s="5"/>
      <c r="Q739" s="5"/>
      <c r="R739" s="5"/>
      <c r="S739" s="5"/>
      <c r="T739" s="5"/>
      <c r="U739" s="5"/>
    </row>
    <row r="740" spans="1:21" ht="19.5" customHeight="1" x14ac:dyDescent="0.3">
      <c r="A740" s="5"/>
      <c r="B740" s="5"/>
      <c r="C740" s="5"/>
      <c r="D740" s="5"/>
      <c r="E740" s="6"/>
      <c r="F740" s="6"/>
      <c r="G740" s="6"/>
      <c r="H740" s="7"/>
      <c r="I740" s="8"/>
      <c r="J740" s="8"/>
      <c r="K740" s="8"/>
      <c r="L740" s="8"/>
      <c r="M740" s="8"/>
      <c r="N740" s="5"/>
      <c r="O740" s="5"/>
      <c r="P740" s="5"/>
      <c r="Q740" s="5"/>
      <c r="R740" s="5"/>
      <c r="S740" s="5"/>
      <c r="T740" s="5"/>
      <c r="U740" s="5"/>
    </row>
    <row r="741" spans="1:21" ht="19.5" customHeight="1" x14ac:dyDescent="0.3">
      <c r="A741" s="5"/>
      <c r="B741" s="5"/>
      <c r="C741" s="5"/>
      <c r="D741" s="5"/>
      <c r="E741" s="6"/>
      <c r="F741" s="6"/>
      <c r="G741" s="6"/>
      <c r="H741" s="7"/>
      <c r="I741" s="8"/>
      <c r="J741" s="8"/>
      <c r="K741" s="8"/>
      <c r="L741" s="8"/>
      <c r="M741" s="8"/>
      <c r="N741" s="5"/>
      <c r="O741" s="5"/>
      <c r="P741" s="5"/>
      <c r="Q741" s="5"/>
      <c r="R741" s="5"/>
      <c r="S741" s="5"/>
      <c r="T741" s="5"/>
      <c r="U741" s="5"/>
    </row>
    <row r="742" spans="1:21" ht="19.5" customHeight="1" x14ac:dyDescent="0.3">
      <c r="A742" s="5"/>
      <c r="B742" s="5"/>
      <c r="C742" s="5"/>
      <c r="D742" s="5"/>
      <c r="E742" s="6"/>
      <c r="F742" s="6"/>
      <c r="G742" s="6"/>
      <c r="H742" s="7"/>
      <c r="I742" s="8"/>
      <c r="J742" s="8"/>
      <c r="K742" s="8"/>
      <c r="L742" s="8"/>
      <c r="M742" s="8"/>
      <c r="N742" s="5"/>
      <c r="O742" s="5"/>
      <c r="P742" s="5"/>
      <c r="Q742" s="5"/>
      <c r="R742" s="5"/>
      <c r="S742" s="5"/>
      <c r="T742" s="5"/>
      <c r="U742" s="5"/>
    </row>
    <row r="743" spans="1:21" ht="19.5" customHeight="1" x14ac:dyDescent="0.3">
      <c r="A743" s="5"/>
      <c r="B743" s="5"/>
      <c r="C743" s="5"/>
      <c r="D743" s="5"/>
      <c r="E743" s="6"/>
      <c r="F743" s="6"/>
      <c r="G743" s="6"/>
      <c r="H743" s="7"/>
      <c r="I743" s="8"/>
      <c r="J743" s="8"/>
      <c r="K743" s="8"/>
      <c r="L743" s="8"/>
      <c r="M743" s="8"/>
      <c r="N743" s="5"/>
      <c r="O743" s="5"/>
      <c r="P743" s="5"/>
      <c r="Q743" s="5"/>
      <c r="R743" s="5"/>
      <c r="S743" s="5"/>
      <c r="T743" s="5"/>
      <c r="U743" s="5"/>
    </row>
    <row r="744" spans="1:21" ht="19.5" customHeight="1" x14ac:dyDescent="0.3">
      <c r="A744" s="5"/>
      <c r="B744" s="5"/>
      <c r="C744" s="5"/>
      <c r="D744" s="5"/>
      <c r="E744" s="6"/>
      <c r="F744" s="6"/>
      <c r="G744" s="6"/>
      <c r="H744" s="7"/>
      <c r="I744" s="8"/>
      <c r="J744" s="8"/>
      <c r="K744" s="8"/>
      <c r="L744" s="8"/>
      <c r="M744" s="8"/>
      <c r="N744" s="5"/>
      <c r="O744" s="5"/>
      <c r="P744" s="5"/>
      <c r="Q744" s="5"/>
      <c r="R744" s="5"/>
      <c r="S744" s="5"/>
      <c r="T744" s="5"/>
      <c r="U744" s="5"/>
    </row>
    <row r="745" spans="1:21" ht="19.5" customHeight="1" x14ac:dyDescent="0.3">
      <c r="A745" s="5"/>
      <c r="B745" s="5"/>
      <c r="C745" s="5"/>
      <c r="D745" s="5"/>
      <c r="E745" s="6"/>
      <c r="F745" s="6"/>
      <c r="G745" s="6"/>
      <c r="H745" s="7"/>
      <c r="I745" s="8"/>
      <c r="J745" s="8"/>
      <c r="K745" s="8"/>
      <c r="L745" s="8"/>
      <c r="M745" s="8"/>
      <c r="N745" s="5"/>
      <c r="O745" s="5"/>
      <c r="P745" s="5"/>
      <c r="Q745" s="5"/>
      <c r="R745" s="5"/>
      <c r="S745" s="5"/>
      <c r="T745" s="5"/>
      <c r="U745" s="5"/>
    </row>
    <row r="746" spans="1:21" ht="19.5" customHeight="1" x14ac:dyDescent="0.3">
      <c r="A746" s="5"/>
      <c r="B746" s="5"/>
      <c r="C746" s="5"/>
      <c r="D746" s="5"/>
      <c r="E746" s="6"/>
      <c r="F746" s="6"/>
      <c r="G746" s="6"/>
      <c r="H746" s="7"/>
      <c r="I746" s="8"/>
      <c r="J746" s="8"/>
      <c r="K746" s="8"/>
      <c r="L746" s="8"/>
      <c r="M746" s="8"/>
      <c r="N746" s="5"/>
      <c r="O746" s="5"/>
      <c r="P746" s="5"/>
      <c r="Q746" s="5"/>
      <c r="R746" s="5"/>
      <c r="S746" s="5"/>
      <c r="T746" s="5"/>
      <c r="U746" s="5"/>
    </row>
    <row r="747" spans="1:21" ht="19.5" customHeight="1" x14ac:dyDescent="0.3">
      <c r="A747" s="5"/>
      <c r="B747" s="5"/>
      <c r="C747" s="5"/>
      <c r="D747" s="5"/>
      <c r="E747" s="6"/>
      <c r="F747" s="6"/>
      <c r="G747" s="6"/>
      <c r="H747" s="7"/>
      <c r="I747" s="8"/>
      <c r="J747" s="8"/>
      <c r="K747" s="8"/>
      <c r="L747" s="8"/>
      <c r="M747" s="8"/>
      <c r="N747" s="5"/>
      <c r="O747" s="5"/>
      <c r="P747" s="5"/>
      <c r="Q747" s="5"/>
      <c r="R747" s="5"/>
      <c r="S747" s="5"/>
      <c r="T747" s="5"/>
      <c r="U747" s="5"/>
    </row>
    <row r="748" spans="1:21" ht="19.5" customHeight="1" x14ac:dyDescent="0.3">
      <c r="A748" s="5"/>
      <c r="B748" s="5"/>
      <c r="C748" s="5"/>
      <c r="D748" s="5"/>
      <c r="E748" s="6"/>
      <c r="F748" s="6"/>
      <c r="G748" s="6"/>
      <c r="H748" s="7"/>
      <c r="I748" s="8"/>
      <c r="J748" s="8"/>
      <c r="K748" s="8"/>
      <c r="L748" s="8"/>
      <c r="M748" s="8"/>
      <c r="N748" s="5"/>
      <c r="O748" s="5"/>
      <c r="P748" s="5"/>
      <c r="Q748" s="5"/>
      <c r="R748" s="5"/>
      <c r="S748" s="5"/>
      <c r="T748" s="5"/>
      <c r="U748" s="5"/>
    </row>
    <row r="749" spans="1:21" ht="19.5" customHeight="1" x14ac:dyDescent="0.3">
      <c r="A749" s="5"/>
      <c r="B749" s="5"/>
      <c r="C749" s="5"/>
      <c r="D749" s="5"/>
      <c r="E749" s="6"/>
      <c r="F749" s="6"/>
      <c r="G749" s="6"/>
      <c r="H749" s="7"/>
      <c r="I749" s="8"/>
      <c r="J749" s="8"/>
      <c r="K749" s="8"/>
      <c r="L749" s="8"/>
      <c r="M749" s="8"/>
      <c r="N749" s="5"/>
      <c r="O749" s="5"/>
      <c r="P749" s="5"/>
      <c r="Q749" s="5"/>
      <c r="R749" s="5"/>
      <c r="S749" s="5"/>
      <c r="T749" s="5"/>
      <c r="U749" s="5"/>
    </row>
    <row r="750" spans="1:21" ht="19.5" customHeight="1" x14ac:dyDescent="0.3">
      <c r="A750" s="5"/>
      <c r="B750" s="5"/>
      <c r="C750" s="5"/>
      <c r="D750" s="5"/>
      <c r="E750" s="6"/>
      <c r="F750" s="6"/>
      <c r="G750" s="6"/>
      <c r="H750" s="7"/>
      <c r="I750" s="8"/>
      <c r="J750" s="8"/>
      <c r="K750" s="8"/>
      <c r="L750" s="8"/>
      <c r="M750" s="8"/>
      <c r="N750" s="5"/>
      <c r="O750" s="5"/>
      <c r="P750" s="5"/>
      <c r="Q750" s="5"/>
      <c r="R750" s="5"/>
      <c r="S750" s="5"/>
      <c r="T750" s="5"/>
      <c r="U750" s="5"/>
    </row>
    <row r="751" spans="1:21" ht="19.5" customHeight="1" x14ac:dyDescent="0.3">
      <c r="A751" s="5"/>
      <c r="B751" s="5"/>
      <c r="C751" s="5"/>
      <c r="D751" s="5"/>
      <c r="E751" s="6"/>
      <c r="F751" s="6"/>
      <c r="G751" s="6"/>
      <c r="H751" s="7"/>
      <c r="I751" s="8"/>
      <c r="J751" s="8"/>
      <c r="K751" s="8"/>
      <c r="L751" s="8"/>
      <c r="M751" s="8"/>
      <c r="N751" s="5"/>
      <c r="O751" s="5"/>
      <c r="P751" s="5"/>
      <c r="Q751" s="5"/>
      <c r="R751" s="5"/>
      <c r="S751" s="5"/>
      <c r="T751" s="5"/>
      <c r="U751" s="5"/>
    </row>
    <row r="752" spans="1:21" ht="19.5" customHeight="1" x14ac:dyDescent="0.3">
      <c r="A752" s="5"/>
      <c r="B752" s="5"/>
      <c r="C752" s="5"/>
      <c r="D752" s="5"/>
      <c r="E752" s="6"/>
      <c r="F752" s="6"/>
      <c r="G752" s="6"/>
      <c r="H752" s="7"/>
      <c r="I752" s="8"/>
      <c r="J752" s="8"/>
      <c r="K752" s="8"/>
      <c r="L752" s="8"/>
      <c r="M752" s="8"/>
      <c r="N752" s="5"/>
      <c r="O752" s="5"/>
      <c r="P752" s="5"/>
      <c r="Q752" s="5"/>
      <c r="R752" s="5"/>
      <c r="S752" s="5"/>
      <c r="T752" s="5"/>
      <c r="U752" s="5"/>
    </row>
    <row r="753" spans="1:21" ht="19.5" customHeight="1" x14ac:dyDescent="0.3">
      <c r="A753" s="5"/>
      <c r="B753" s="5"/>
      <c r="C753" s="5"/>
      <c r="D753" s="5"/>
      <c r="E753" s="6"/>
      <c r="F753" s="6"/>
      <c r="G753" s="6"/>
      <c r="H753" s="7"/>
      <c r="I753" s="8"/>
      <c r="J753" s="8"/>
      <c r="K753" s="8"/>
      <c r="L753" s="8"/>
      <c r="M753" s="8"/>
      <c r="N753" s="5"/>
      <c r="O753" s="5"/>
      <c r="P753" s="5"/>
      <c r="Q753" s="5"/>
      <c r="R753" s="5"/>
      <c r="S753" s="5"/>
      <c r="T753" s="5"/>
      <c r="U753" s="5"/>
    </row>
    <row r="754" spans="1:21" ht="19.5" customHeight="1" x14ac:dyDescent="0.3">
      <c r="A754" s="5"/>
      <c r="B754" s="5"/>
      <c r="C754" s="5"/>
      <c r="D754" s="5"/>
      <c r="E754" s="6"/>
      <c r="F754" s="6"/>
      <c r="G754" s="6"/>
      <c r="H754" s="7"/>
      <c r="I754" s="8"/>
      <c r="J754" s="8"/>
      <c r="K754" s="8"/>
      <c r="L754" s="8"/>
      <c r="M754" s="8"/>
      <c r="N754" s="5"/>
      <c r="O754" s="5"/>
      <c r="P754" s="5"/>
      <c r="Q754" s="5"/>
      <c r="R754" s="5"/>
      <c r="S754" s="5"/>
      <c r="T754" s="5"/>
      <c r="U754" s="5"/>
    </row>
    <row r="755" spans="1:21" ht="19.5" customHeight="1" x14ac:dyDescent="0.3">
      <c r="A755" s="5"/>
      <c r="B755" s="5"/>
      <c r="C755" s="5"/>
      <c r="D755" s="5"/>
      <c r="E755" s="6"/>
      <c r="F755" s="6"/>
      <c r="G755" s="6"/>
      <c r="H755" s="7"/>
      <c r="I755" s="8"/>
      <c r="J755" s="8"/>
      <c r="K755" s="8"/>
      <c r="L755" s="8"/>
      <c r="M755" s="8"/>
      <c r="N755" s="5"/>
      <c r="O755" s="5"/>
      <c r="P755" s="5"/>
      <c r="Q755" s="5"/>
      <c r="R755" s="5"/>
      <c r="S755" s="5"/>
      <c r="T755" s="5"/>
      <c r="U755" s="5"/>
    </row>
    <row r="756" spans="1:21" ht="19.5" customHeight="1" x14ac:dyDescent="0.3">
      <c r="A756" s="5"/>
      <c r="B756" s="5"/>
      <c r="C756" s="5"/>
      <c r="D756" s="5"/>
      <c r="E756" s="6"/>
      <c r="F756" s="6"/>
      <c r="G756" s="6"/>
      <c r="H756" s="7"/>
      <c r="I756" s="8"/>
      <c r="J756" s="8"/>
      <c r="K756" s="8"/>
      <c r="L756" s="8"/>
      <c r="M756" s="8"/>
      <c r="N756" s="5"/>
      <c r="O756" s="5"/>
      <c r="P756" s="5"/>
      <c r="Q756" s="5"/>
      <c r="R756" s="5"/>
      <c r="S756" s="5"/>
      <c r="T756" s="5"/>
      <c r="U756" s="5"/>
    </row>
    <row r="757" spans="1:21" ht="19.5" customHeight="1" x14ac:dyDescent="0.3">
      <c r="A757" s="5"/>
      <c r="B757" s="5"/>
      <c r="C757" s="5"/>
      <c r="D757" s="5"/>
      <c r="E757" s="6"/>
      <c r="F757" s="6"/>
      <c r="G757" s="6"/>
      <c r="H757" s="7"/>
      <c r="I757" s="8"/>
      <c r="J757" s="8"/>
      <c r="K757" s="8"/>
      <c r="L757" s="8"/>
      <c r="M757" s="8"/>
      <c r="N757" s="5"/>
      <c r="O757" s="5"/>
      <c r="P757" s="5"/>
      <c r="Q757" s="5"/>
      <c r="R757" s="5"/>
      <c r="S757" s="5"/>
      <c r="T757" s="5"/>
      <c r="U757" s="5"/>
    </row>
    <row r="758" spans="1:21" ht="19.5" customHeight="1" x14ac:dyDescent="0.3">
      <c r="A758" s="5"/>
      <c r="B758" s="5"/>
      <c r="C758" s="5"/>
      <c r="D758" s="5"/>
      <c r="E758" s="6"/>
      <c r="F758" s="6"/>
      <c r="G758" s="6"/>
      <c r="H758" s="7"/>
      <c r="I758" s="8"/>
      <c r="J758" s="8"/>
      <c r="K758" s="8"/>
      <c r="L758" s="8"/>
      <c r="M758" s="8"/>
      <c r="N758" s="5"/>
      <c r="O758" s="5"/>
      <c r="P758" s="5"/>
      <c r="Q758" s="5"/>
      <c r="R758" s="5"/>
      <c r="S758" s="5"/>
      <c r="T758" s="5"/>
      <c r="U758" s="5"/>
    </row>
    <row r="759" spans="1:21" ht="19.5" customHeight="1" x14ac:dyDescent="0.3">
      <c r="A759" s="5"/>
      <c r="B759" s="5"/>
      <c r="C759" s="5"/>
      <c r="D759" s="5"/>
      <c r="E759" s="6"/>
      <c r="F759" s="6"/>
      <c r="G759" s="6"/>
      <c r="H759" s="7"/>
      <c r="I759" s="8"/>
      <c r="J759" s="8"/>
      <c r="K759" s="8"/>
      <c r="L759" s="8"/>
      <c r="M759" s="8"/>
      <c r="N759" s="5"/>
      <c r="O759" s="5"/>
      <c r="P759" s="5"/>
      <c r="Q759" s="5"/>
      <c r="R759" s="5"/>
      <c r="S759" s="5"/>
      <c r="T759" s="5"/>
      <c r="U759" s="5"/>
    </row>
    <row r="760" spans="1:21" ht="19.5" customHeight="1" x14ac:dyDescent="0.3">
      <c r="A760" s="5"/>
      <c r="B760" s="5"/>
      <c r="C760" s="5"/>
      <c r="D760" s="5"/>
      <c r="E760" s="6"/>
      <c r="F760" s="6"/>
      <c r="G760" s="6"/>
      <c r="H760" s="7"/>
      <c r="I760" s="8"/>
      <c r="J760" s="8"/>
      <c r="K760" s="8"/>
      <c r="L760" s="8"/>
      <c r="M760" s="8"/>
      <c r="N760" s="5"/>
      <c r="O760" s="5"/>
      <c r="P760" s="5"/>
      <c r="Q760" s="5"/>
      <c r="R760" s="5"/>
      <c r="S760" s="5"/>
      <c r="T760" s="5"/>
      <c r="U760" s="5"/>
    </row>
    <row r="761" spans="1:21" ht="19.5" customHeight="1" x14ac:dyDescent="0.3">
      <c r="A761" s="5"/>
      <c r="B761" s="5"/>
      <c r="C761" s="5"/>
      <c r="D761" s="5"/>
      <c r="E761" s="6"/>
      <c r="F761" s="6"/>
      <c r="G761" s="6"/>
      <c r="H761" s="7"/>
      <c r="I761" s="8"/>
      <c r="J761" s="8"/>
      <c r="K761" s="8"/>
      <c r="L761" s="8"/>
      <c r="M761" s="8"/>
      <c r="N761" s="5"/>
      <c r="O761" s="5"/>
      <c r="P761" s="5"/>
      <c r="Q761" s="5"/>
      <c r="R761" s="5"/>
      <c r="S761" s="5"/>
      <c r="T761" s="5"/>
      <c r="U761" s="5"/>
    </row>
    <row r="762" spans="1:21" ht="19.5" customHeight="1" x14ac:dyDescent="0.3">
      <c r="A762" s="5"/>
      <c r="B762" s="5"/>
      <c r="C762" s="5"/>
      <c r="D762" s="5"/>
      <c r="E762" s="6"/>
      <c r="F762" s="6"/>
      <c r="G762" s="6"/>
      <c r="H762" s="7"/>
      <c r="I762" s="8"/>
      <c r="J762" s="8"/>
      <c r="K762" s="8"/>
      <c r="L762" s="8"/>
      <c r="M762" s="8"/>
      <c r="N762" s="5"/>
      <c r="O762" s="5"/>
      <c r="P762" s="5"/>
      <c r="Q762" s="5"/>
      <c r="R762" s="5"/>
      <c r="S762" s="5"/>
      <c r="T762" s="5"/>
      <c r="U762" s="5"/>
    </row>
    <row r="763" spans="1:21" ht="19.5" customHeight="1" x14ac:dyDescent="0.3">
      <c r="A763" s="5"/>
      <c r="B763" s="5"/>
      <c r="C763" s="5"/>
      <c r="D763" s="5"/>
      <c r="E763" s="6"/>
      <c r="F763" s="6"/>
      <c r="G763" s="6"/>
      <c r="H763" s="7"/>
      <c r="I763" s="8"/>
      <c r="J763" s="8"/>
      <c r="K763" s="8"/>
      <c r="L763" s="8"/>
      <c r="M763" s="8"/>
      <c r="N763" s="5"/>
      <c r="O763" s="5"/>
      <c r="P763" s="5"/>
      <c r="Q763" s="5"/>
      <c r="R763" s="5"/>
      <c r="S763" s="5"/>
      <c r="T763" s="5"/>
      <c r="U763" s="5"/>
    </row>
    <row r="764" spans="1:21" ht="19.5" customHeight="1" x14ac:dyDescent="0.3">
      <c r="A764" s="5"/>
      <c r="B764" s="5"/>
      <c r="C764" s="5"/>
      <c r="D764" s="5"/>
      <c r="E764" s="6"/>
      <c r="F764" s="6"/>
      <c r="G764" s="6"/>
      <c r="H764" s="7"/>
      <c r="I764" s="8"/>
      <c r="J764" s="8"/>
      <c r="K764" s="8"/>
      <c r="L764" s="8"/>
      <c r="M764" s="8"/>
      <c r="N764" s="5"/>
      <c r="O764" s="5"/>
      <c r="P764" s="5"/>
      <c r="Q764" s="5"/>
      <c r="R764" s="5"/>
      <c r="S764" s="5"/>
      <c r="T764" s="5"/>
      <c r="U764" s="5"/>
    </row>
    <row r="765" spans="1:21" ht="19.5" customHeight="1" x14ac:dyDescent="0.3">
      <c r="A765" s="5"/>
      <c r="B765" s="5"/>
      <c r="C765" s="5"/>
      <c r="D765" s="5"/>
      <c r="E765" s="6"/>
      <c r="F765" s="6"/>
      <c r="G765" s="6"/>
      <c r="H765" s="7"/>
      <c r="I765" s="8"/>
      <c r="J765" s="8"/>
      <c r="K765" s="8"/>
      <c r="L765" s="8"/>
      <c r="M765" s="8"/>
      <c r="N765" s="5"/>
      <c r="O765" s="5"/>
      <c r="P765" s="5"/>
      <c r="Q765" s="5"/>
      <c r="R765" s="5"/>
      <c r="S765" s="5"/>
      <c r="T765" s="5"/>
      <c r="U765" s="5"/>
    </row>
    <row r="766" spans="1:21" ht="19.5" customHeight="1" x14ac:dyDescent="0.3">
      <c r="A766" s="5"/>
      <c r="B766" s="5"/>
      <c r="C766" s="5"/>
      <c r="D766" s="5"/>
      <c r="E766" s="6"/>
      <c r="F766" s="6"/>
      <c r="G766" s="6"/>
      <c r="H766" s="7"/>
      <c r="I766" s="8"/>
      <c r="J766" s="8"/>
      <c r="K766" s="8"/>
      <c r="L766" s="8"/>
      <c r="M766" s="8"/>
      <c r="N766" s="5"/>
      <c r="O766" s="5"/>
      <c r="P766" s="5"/>
      <c r="Q766" s="5"/>
      <c r="R766" s="5"/>
      <c r="S766" s="5"/>
      <c r="T766" s="5"/>
      <c r="U766" s="5"/>
    </row>
    <row r="767" spans="1:21" ht="19.5" customHeight="1" x14ac:dyDescent="0.3">
      <c r="A767" s="5"/>
      <c r="B767" s="5"/>
      <c r="C767" s="5"/>
      <c r="D767" s="5"/>
      <c r="E767" s="6"/>
      <c r="F767" s="6"/>
      <c r="G767" s="6"/>
      <c r="H767" s="7"/>
      <c r="I767" s="8"/>
      <c r="J767" s="8"/>
      <c r="K767" s="8"/>
      <c r="L767" s="8"/>
      <c r="M767" s="8"/>
      <c r="N767" s="5"/>
      <c r="O767" s="5"/>
      <c r="P767" s="5"/>
      <c r="Q767" s="5"/>
      <c r="R767" s="5"/>
      <c r="S767" s="5"/>
      <c r="T767" s="5"/>
      <c r="U767" s="5"/>
    </row>
    <row r="768" spans="1:21" ht="19.5" customHeight="1" x14ac:dyDescent="0.3">
      <c r="A768" s="5"/>
      <c r="B768" s="5"/>
      <c r="C768" s="5"/>
      <c r="D768" s="5"/>
      <c r="E768" s="6"/>
      <c r="F768" s="6"/>
      <c r="G768" s="6"/>
      <c r="H768" s="7"/>
      <c r="I768" s="8"/>
      <c r="J768" s="8"/>
      <c r="K768" s="8"/>
      <c r="L768" s="8"/>
      <c r="M768" s="8"/>
      <c r="N768" s="5"/>
      <c r="O768" s="5"/>
      <c r="P768" s="5"/>
      <c r="Q768" s="5"/>
      <c r="R768" s="5"/>
      <c r="S768" s="5"/>
      <c r="T768" s="5"/>
      <c r="U768" s="5"/>
    </row>
    <row r="769" spans="1:21" ht="19.5" customHeight="1" x14ac:dyDescent="0.3">
      <c r="A769" s="5"/>
      <c r="B769" s="5"/>
      <c r="C769" s="5"/>
      <c r="D769" s="5"/>
      <c r="E769" s="6"/>
      <c r="F769" s="6"/>
      <c r="G769" s="6"/>
      <c r="H769" s="7"/>
      <c r="I769" s="8"/>
      <c r="J769" s="8"/>
      <c r="K769" s="8"/>
      <c r="L769" s="8"/>
      <c r="M769" s="8"/>
      <c r="N769" s="5"/>
      <c r="O769" s="5"/>
      <c r="P769" s="5"/>
      <c r="Q769" s="5"/>
      <c r="R769" s="5"/>
      <c r="S769" s="5"/>
      <c r="T769" s="5"/>
      <c r="U769" s="5"/>
    </row>
    <row r="770" spans="1:21" ht="19.5" customHeight="1" x14ac:dyDescent="0.3">
      <c r="A770" s="5"/>
      <c r="B770" s="5"/>
      <c r="C770" s="5"/>
      <c r="D770" s="5"/>
      <c r="E770" s="6"/>
      <c r="F770" s="6"/>
      <c r="G770" s="6"/>
      <c r="H770" s="7"/>
      <c r="I770" s="8"/>
      <c r="J770" s="8"/>
      <c r="K770" s="8"/>
      <c r="L770" s="8"/>
      <c r="M770" s="8"/>
      <c r="N770" s="5"/>
      <c r="O770" s="5"/>
      <c r="P770" s="5"/>
      <c r="Q770" s="5"/>
      <c r="R770" s="5"/>
      <c r="S770" s="5"/>
      <c r="T770" s="5"/>
      <c r="U770" s="5"/>
    </row>
    <row r="771" spans="1:21" ht="19.5" customHeight="1" x14ac:dyDescent="0.3">
      <c r="A771" s="5"/>
      <c r="B771" s="5"/>
      <c r="C771" s="5"/>
      <c r="D771" s="5"/>
      <c r="E771" s="6"/>
      <c r="F771" s="6"/>
      <c r="G771" s="6"/>
      <c r="H771" s="7"/>
      <c r="I771" s="8"/>
      <c r="J771" s="8"/>
      <c r="K771" s="8"/>
      <c r="L771" s="8"/>
      <c r="M771" s="8"/>
      <c r="N771" s="5"/>
      <c r="O771" s="5"/>
      <c r="P771" s="5"/>
      <c r="Q771" s="5"/>
      <c r="R771" s="5"/>
      <c r="S771" s="5"/>
      <c r="T771" s="5"/>
      <c r="U771" s="5"/>
    </row>
    <row r="772" spans="1:21" ht="19.5" customHeight="1" x14ac:dyDescent="0.3">
      <c r="A772" s="5"/>
      <c r="B772" s="5"/>
      <c r="C772" s="5"/>
      <c r="D772" s="5"/>
      <c r="E772" s="6"/>
      <c r="F772" s="6"/>
      <c r="G772" s="6"/>
      <c r="H772" s="7"/>
      <c r="I772" s="8"/>
      <c r="J772" s="8"/>
      <c r="K772" s="8"/>
      <c r="L772" s="8"/>
      <c r="M772" s="8"/>
      <c r="N772" s="5"/>
      <c r="O772" s="5"/>
      <c r="P772" s="5"/>
      <c r="Q772" s="5"/>
      <c r="R772" s="5"/>
      <c r="S772" s="5"/>
      <c r="T772" s="5"/>
      <c r="U772" s="5"/>
    </row>
    <row r="773" spans="1:21" ht="19.5" customHeight="1" x14ac:dyDescent="0.3">
      <c r="A773" s="5"/>
      <c r="B773" s="5"/>
      <c r="C773" s="5"/>
      <c r="D773" s="5"/>
      <c r="E773" s="6"/>
      <c r="F773" s="6"/>
      <c r="G773" s="6"/>
      <c r="H773" s="7"/>
      <c r="I773" s="8"/>
      <c r="J773" s="8"/>
      <c r="K773" s="8"/>
      <c r="L773" s="8"/>
      <c r="M773" s="8"/>
      <c r="N773" s="5"/>
      <c r="O773" s="5"/>
      <c r="P773" s="5"/>
      <c r="Q773" s="5"/>
      <c r="R773" s="5"/>
      <c r="S773" s="5"/>
      <c r="T773" s="5"/>
      <c r="U773" s="5"/>
    </row>
    <row r="774" spans="1:21" ht="19.5" customHeight="1" x14ac:dyDescent="0.3">
      <c r="A774" s="5"/>
      <c r="B774" s="5"/>
      <c r="C774" s="5"/>
      <c r="D774" s="5"/>
      <c r="E774" s="6"/>
      <c r="F774" s="6"/>
      <c r="G774" s="6"/>
      <c r="H774" s="7"/>
      <c r="I774" s="8"/>
      <c r="J774" s="8"/>
      <c r="K774" s="8"/>
      <c r="L774" s="8"/>
      <c r="M774" s="8"/>
      <c r="N774" s="5"/>
      <c r="O774" s="5"/>
      <c r="P774" s="5"/>
      <c r="Q774" s="5"/>
      <c r="R774" s="5"/>
      <c r="S774" s="5"/>
      <c r="T774" s="5"/>
      <c r="U774" s="5"/>
    </row>
    <row r="775" spans="1:21" ht="19.5" customHeight="1" x14ac:dyDescent="0.3">
      <c r="A775" s="5"/>
      <c r="B775" s="5"/>
      <c r="C775" s="5"/>
      <c r="D775" s="5"/>
      <c r="E775" s="6"/>
      <c r="F775" s="6"/>
      <c r="G775" s="6"/>
      <c r="H775" s="7"/>
      <c r="I775" s="8"/>
      <c r="J775" s="8"/>
      <c r="K775" s="8"/>
      <c r="L775" s="8"/>
      <c r="M775" s="8"/>
      <c r="N775" s="5"/>
      <c r="O775" s="5"/>
      <c r="P775" s="5"/>
      <c r="Q775" s="5"/>
      <c r="R775" s="5"/>
      <c r="S775" s="5"/>
      <c r="T775" s="5"/>
      <c r="U775" s="5"/>
    </row>
    <row r="776" spans="1:21" ht="19.5" customHeight="1" x14ac:dyDescent="0.3">
      <c r="A776" s="5"/>
      <c r="B776" s="5"/>
      <c r="C776" s="5"/>
      <c r="D776" s="5"/>
      <c r="E776" s="6"/>
      <c r="F776" s="6"/>
      <c r="G776" s="6"/>
      <c r="H776" s="7"/>
      <c r="I776" s="8"/>
      <c r="J776" s="8"/>
      <c r="K776" s="8"/>
      <c r="L776" s="8"/>
      <c r="M776" s="8"/>
      <c r="N776" s="5"/>
      <c r="O776" s="5"/>
      <c r="P776" s="5"/>
      <c r="Q776" s="5"/>
      <c r="R776" s="5"/>
      <c r="S776" s="5"/>
      <c r="T776" s="5"/>
      <c r="U776" s="5"/>
    </row>
    <row r="777" spans="1:21" ht="19.5" customHeight="1" x14ac:dyDescent="0.3">
      <c r="A777" s="5"/>
      <c r="B777" s="5"/>
      <c r="C777" s="5"/>
      <c r="D777" s="5"/>
      <c r="E777" s="6"/>
      <c r="F777" s="6"/>
      <c r="G777" s="6"/>
      <c r="H777" s="7"/>
      <c r="I777" s="8"/>
      <c r="J777" s="8"/>
      <c r="K777" s="8"/>
      <c r="L777" s="8"/>
      <c r="M777" s="8"/>
      <c r="N777" s="5"/>
      <c r="O777" s="5"/>
      <c r="P777" s="5"/>
      <c r="Q777" s="5"/>
      <c r="R777" s="5"/>
      <c r="S777" s="5"/>
      <c r="T777" s="5"/>
      <c r="U777" s="5"/>
    </row>
    <row r="778" spans="1:21" ht="19.5" customHeight="1" x14ac:dyDescent="0.3">
      <c r="A778" s="5"/>
      <c r="B778" s="5"/>
      <c r="C778" s="5"/>
      <c r="D778" s="5"/>
      <c r="E778" s="6"/>
      <c r="F778" s="6"/>
      <c r="G778" s="6"/>
      <c r="H778" s="7"/>
      <c r="I778" s="8"/>
      <c r="J778" s="8"/>
      <c r="K778" s="8"/>
      <c r="L778" s="8"/>
      <c r="M778" s="8"/>
      <c r="N778" s="5"/>
      <c r="O778" s="5"/>
      <c r="P778" s="5"/>
      <c r="Q778" s="5"/>
      <c r="R778" s="5"/>
      <c r="S778" s="5"/>
      <c r="T778" s="5"/>
      <c r="U778" s="5"/>
    </row>
    <row r="779" spans="1:21" ht="19.5" customHeight="1" x14ac:dyDescent="0.3">
      <c r="A779" s="5"/>
      <c r="B779" s="5"/>
      <c r="C779" s="5"/>
      <c r="D779" s="5"/>
      <c r="E779" s="6"/>
      <c r="F779" s="6"/>
      <c r="G779" s="6"/>
      <c r="H779" s="7"/>
      <c r="I779" s="8"/>
      <c r="J779" s="8"/>
      <c r="K779" s="8"/>
      <c r="L779" s="8"/>
      <c r="M779" s="8"/>
      <c r="N779" s="5"/>
      <c r="O779" s="5"/>
      <c r="P779" s="5"/>
      <c r="Q779" s="5"/>
      <c r="R779" s="5"/>
      <c r="S779" s="5"/>
      <c r="T779" s="5"/>
      <c r="U779" s="5"/>
    </row>
    <row r="780" spans="1:21" ht="19.5" customHeight="1" x14ac:dyDescent="0.3">
      <c r="A780" s="5"/>
      <c r="B780" s="5"/>
      <c r="C780" s="5"/>
      <c r="D780" s="5"/>
      <c r="E780" s="6"/>
      <c r="F780" s="6"/>
      <c r="G780" s="6"/>
      <c r="H780" s="7"/>
      <c r="I780" s="8"/>
      <c r="J780" s="8"/>
      <c r="K780" s="8"/>
      <c r="L780" s="8"/>
      <c r="M780" s="8"/>
      <c r="N780" s="5"/>
      <c r="O780" s="5"/>
      <c r="P780" s="5"/>
      <c r="Q780" s="5"/>
      <c r="R780" s="5"/>
      <c r="S780" s="5"/>
      <c r="T780" s="5"/>
      <c r="U780" s="5"/>
    </row>
    <row r="781" spans="1:21" ht="19.5" customHeight="1" x14ac:dyDescent="0.3">
      <c r="A781" s="5"/>
      <c r="B781" s="5"/>
      <c r="C781" s="5"/>
      <c r="D781" s="5"/>
      <c r="E781" s="6"/>
      <c r="F781" s="6"/>
      <c r="G781" s="6"/>
      <c r="H781" s="7"/>
      <c r="I781" s="8"/>
      <c r="J781" s="8"/>
      <c r="K781" s="8"/>
      <c r="L781" s="8"/>
      <c r="M781" s="8"/>
      <c r="N781" s="5"/>
      <c r="O781" s="5"/>
      <c r="P781" s="5"/>
      <c r="Q781" s="5"/>
      <c r="R781" s="5"/>
      <c r="S781" s="5"/>
      <c r="T781" s="5"/>
      <c r="U781" s="5"/>
    </row>
    <row r="782" spans="1:21" ht="19.5" customHeight="1" x14ac:dyDescent="0.3">
      <c r="A782" s="5"/>
      <c r="B782" s="5"/>
      <c r="C782" s="5"/>
      <c r="D782" s="5"/>
      <c r="E782" s="6"/>
      <c r="F782" s="6"/>
      <c r="G782" s="6"/>
      <c r="H782" s="7"/>
      <c r="I782" s="8"/>
      <c r="J782" s="8"/>
      <c r="K782" s="8"/>
      <c r="L782" s="8"/>
      <c r="M782" s="8"/>
      <c r="N782" s="5"/>
      <c r="O782" s="5"/>
      <c r="P782" s="5"/>
      <c r="Q782" s="5"/>
      <c r="R782" s="5"/>
      <c r="S782" s="5"/>
      <c r="T782" s="5"/>
      <c r="U782" s="5"/>
    </row>
    <row r="783" spans="1:21" ht="19.5" customHeight="1" x14ac:dyDescent="0.3">
      <c r="A783" s="5"/>
      <c r="B783" s="5"/>
      <c r="C783" s="5"/>
      <c r="D783" s="5"/>
      <c r="E783" s="6"/>
      <c r="F783" s="6"/>
      <c r="G783" s="6"/>
      <c r="H783" s="7"/>
      <c r="I783" s="8"/>
      <c r="J783" s="8"/>
      <c r="K783" s="8"/>
      <c r="L783" s="8"/>
      <c r="M783" s="8"/>
      <c r="N783" s="5"/>
      <c r="O783" s="5"/>
      <c r="P783" s="5"/>
      <c r="Q783" s="5"/>
      <c r="R783" s="5"/>
      <c r="S783" s="5"/>
      <c r="T783" s="5"/>
      <c r="U783" s="5"/>
    </row>
    <row r="784" spans="1:21" ht="19.5" customHeight="1" x14ac:dyDescent="0.3">
      <c r="A784" s="5"/>
      <c r="B784" s="5"/>
      <c r="C784" s="5"/>
      <c r="D784" s="5"/>
      <c r="E784" s="6"/>
      <c r="F784" s="6"/>
      <c r="G784" s="6"/>
      <c r="H784" s="7"/>
      <c r="I784" s="8"/>
      <c r="J784" s="8"/>
      <c r="K784" s="8"/>
      <c r="L784" s="8"/>
      <c r="M784" s="8"/>
      <c r="N784" s="5"/>
      <c r="O784" s="5"/>
      <c r="P784" s="5"/>
      <c r="Q784" s="5"/>
      <c r="R784" s="5"/>
      <c r="S784" s="5"/>
      <c r="T784" s="5"/>
      <c r="U784" s="5"/>
    </row>
    <row r="785" spans="1:21" ht="19.5" customHeight="1" x14ac:dyDescent="0.3">
      <c r="A785" s="5"/>
      <c r="B785" s="5"/>
      <c r="C785" s="5"/>
      <c r="D785" s="5"/>
      <c r="E785" s="6"/>
      <c r="F785" s="6"/>
      <c r="G785" s="6"/>
      <c r="H785" s="7"/>
      <c r="I785" s="8"/>
      <c r="J785" s="8"/>
      <c r="K785" s="8"/>
      <c r="L785" s="8"/>
      <c r="M785" s="8"/>
      <c r="N785" s="5"/>
      <c r="O785" s="5"/>
      <c r="P785" s="5"/>
      <c r="Q785" s="5"/>
      <c r="R785" s="5"/>
      <c r="S785" s="5"/>
      <c r="T785" s="5"/>
      <c r="U785" s="5"/>
    </row>
    <row r="786" spans="1:21" ht="19.5" customHeight="1" x14ac:dyDescent="0.3">
      <c r="A786" s="5"/>
      <c r="B786" s="5"/>
      <c r="C786" s="5"/>
      <c r="D786" s="5"/>
      <c r="E786" s="6"/>
      <c r="F786" s="6"/>
      <c r="G786" s="6"/>
      <c r="H786" s="7"/>
      <c r="I786" s="8"/>
      <c r="J786" s="8"/>
      <c r="K786" s="8"/>
      <c r="L786" s="8"/>
      <c r="M786" s="8"/>
      <c r="N786" s="5"/>
      <c r="O786" s="5"/>
      <c r="P786" s="5"/>
      <c r="Q786" s="5"/>
      <c r="R786" s="5"/>
      <c r="S786" s="5"/>
      <c r="T786" s="5"/>
      <c r="U786" s="5"/>
    </row>
    <row r="787" spans="1:21" ht="19.5" customHeight="1" x14ac:dyDescent="0.3">
      <c r="A787" s="5"/>
      <c r="B787" s="5"/>
      <c r="C787" s="5"/>
      <c r="D787" s="5"/>
      <c r="E787" s="6"/>
      <c r="F787" s="6"/>
      <c r="G787" s="6"/>
      <c r="H787" s="7"/>
      <c r="I787" s="8"/>
      <c r="J787" s="8"/>
      <c r="K787" s="8"/>
      <c r="L787" s="8"/>
      <c r="M787" s="8"/>
      <c r="N787" s="5"/>
      <c r="O787" s="5"/>
      <c r="P787" s="5"/>
      <c r="Q787" s="5"/>
      <c r="R787" s="5"/>
      <c r="S787" s="5"/>
      <c r="T787" s="5"/>
      <c r="U787" s="5"/>
    </row>
    <row r="788" spans="1:21" ht="19.5" customHeight="1" x14ac:dyDescent="0.3">
      <c r="A788" s="5"/>
      <c r="B788" s="5"/>
      <c r="C788" s="5"/>
      <c r="D788" s="5"/>
      <c r="E788" s="6"/>
      <c r="F788" s="6"/>
      <c r="G788" s="6"/>
      <c r="H788" s="7"/>
      <c r="I788" s="8"/>
      <c r="J788" s="8"/>
      <c r="K788" s="8"/>
      <c r="L788" s="8"/>
      <c r="M788" s="8"/>
      <c r="N788" s="5"/>
      <c r="O788" s="5"/>
      <c r="P788" s="5"/>
      <c r="Q788" s="5"/>
      <c r="R788" s="5"/>
      <c r="S788" s="5"/>
      <c r="T788" s="5"/>
      <c r="U788" s="5"/>
    </row>
    <row r="789" spans="1:21" ht="19.5" customHeight="1" x14ac:dyDescent="0.3">
      <c r="A789" s="5"/>
      <c r="B789" s="5"/>
      <c r="C789" s="5"/>
      <c r="D789" s="5"/>
      <c r="E789" s="6"/>
      <c r="F789" s="6"/>
      <c r="G789" s="6"/>
      <c r="H789" s="7"/>
      <c r="I789" s="8"/>
      <c r="J789" s="8"/>
      <c r="K789" s="8"/>
      <c r="L789" s="8"/>
      <c r="M789" s="8"/>
      <c r="N789" s="5"/>
      <c r="O789" s="5"/>
      <c r="P789" s="5"/>
      <c r="Q789" s="5"/>
      <c r="R789" s="5"/>
      <c r="S789" s="5"/>
      <c r="T789" s="5"/>
      <c r="U789" s="5"/>
    </row>
    <row r="790" spans="1:21" ht="19.5" customHeight="1" x14ac:dyDescent="0.3">
      <c r="A790" s="5"/>
      <c r="B790" s="5"/>
      <c r="C790" s="5"/>
      <c r="D790" s="5"/>
      <c r="E790" s="6"/>
      <c r="F790" s="6"/>
      <c r="G790" s="6"/>
      <c r="H790" s="7"/>
      <c r="I790" s="8"/>
      <c r="J790" s="8"/>
      <c r="K790" s="8"/>
      <c r="L790" s="8"/>
      <c r="M790" s="8"/>
      <c r="N790" s="5"/>
      <c r="O790" s="5"/>
      <c r="P790" s="5"/>
      <c r="Q790" s="5"/>
      <c r="R790" s="5"/>
      <c r="S790" s="5"/>
      <c r="T790" s="5"/>
      <c r="U790" s="5"/>
    </row>
    <row r="791" spans="1:21" ht="19.5" customHeight="1" x14ac:dyDescent="0.3">
      <c r="A791" s="5"/>
      <c r="B791" s="5"/>
      <c r="C791" s="5"/>
      <c r="D791" s="5"/>
      <c r="E791" s="6"/>
      <c r="F791" s="6"/>
      <c r="G791" s="6"/>
      <c r="H791" s="7"/>
      <c r="I791" s="8"/>
      <c r="J791" s="8"/>
      <c r="K791" s="8"/>
      <c r="L791" s="8"/>
      <c r="M791" s="8"/>
      <c r="N791" s="5"/>
      <c r="O791" s="5"/>
      <c r="P791" s="5"/>
      <c r="Q791" s="5"/>
      <c r="R791" s="5"/>
      <c r="S791" s="5"/>
      <c r="T791" s="5"/>
      <c r="U791" s="5"/>
    </row>
    <row r="792" spans="1:21" ht="19.5" customHeight="1" x14ac:dyDescent="0.3">
      <c r="A792" s="5"/>
      <c r="B792" s="5"/>
      <c r="C792" s="5"/>
      <c r="D792" s="5"/>
      <c r="E792" s="6"/>
      <c r="F792" s="6"/>
      <c r="G792" s="6"/>
      <c r="H792" s="7"/>
      <c r="I792" s="8"/>
      <c r="J792" s="8"/>
      <c r="K792" s="8"/>
      <c r="L792" s="8"/>
      <c r="M792" s="8"/>
      <c r="N792" s="5"/>
      <c r="O792" s="5"/>
      <c r="P792" s="5"/>
      <c r="Q792" s="5"/>
      <c r="R792" s="5"/>
      <c r="S792" s="5"/>
      <c r="T792" s="5"/>
      <c r="U792" s="5"/>
    </row>
    <row r="793" spans="1:21" ht="19.5" customHeight="1" x14ac:dyDescent="0.3">
      <c r="A793" s="5"/>
      <c r="B793" s="5"/>
      <c r="C793" s="5"/>
      <c r="D793" s="5"/>
      <c r="E793" s="6"/>
      <c r="F793" s="6"/>
      <c r="G793" s="6"/>
      <c r="H793" s="7"/>
      <c r="I793" s="8"/>
      <c r="J793" s="8"/>
      <c r="K793" s="8"/>
      <c r="L793" s="8"/>
      <c r="M793" s="8"/>
      <c r="N793" s="5"/>
      <c r="O793" s="5"/>
      <c r="P793" s="5"/>
      <c r="Q793" s="5"/>
      <c r="R793" s="5"/>
      <c r="S793" s="5"/>
      <c r="T793" s="5"/>
      <c r="U793" s="5"/>
    </row>
    <row r="794" spans="1:21" ht="19.5" customHeight="1" x14ac:dyDescent="0.3">
      <c r="A794" s="5"/>
      <c r="B794" s="5"/>
      <c r="C794" s="5"/>
      <c r="D794" s="5"/>
      <c r="E794" s="6"/>
      <c r="F794" s="6"/>
      <c r="G794" s="6"/>
      <c r="H794" s="7"/>
      <c r="I794" s="8"/>
      <c r="J794" s="8"/>
      <c r="K794" s="8"/>
      <c r="L794" s="8"/>
      <c r="M794" s="8"/>
      <c r="N794" s="5"/>
      <c r="O794" s="5"/>
      <c r="P794" s="5"/>
      <c r="Q794" s="5"/>
      <c r="R794" s="5"/>
      <c r="S794" s="5"/>
      <c r="T794" s="5"/>
      <c r="U794" s="5"/>
    </row>
    <row r="795" spans="1:21" ht="19.5" customHeight="1" x14ac:dyDescent="0.3">
      <c r="A795" s="5"/>
      <c r="B795" s="5"/>
      <c r="C795" s="5"/>
      <c r="D795" s="5"/>
      <c r="E795" s="6"/>
      <c r="F795" s="6"/>
      <c r="G795" s="6"/>
      <c r="H795" s="7"/>
      <c r="I795" s="8"/>
      <c r="J795" s="8"/>
      <c r="K795" s="8"/>
      <c r="L795" s="8"/>
      <c r="M795" s="8"/>
      <c r="N795" s="5"/>
      <c r="O795" s="5"/>
      <c r="P795" s="5"/>
      <c r="Q795" s="5"/>
      <c r="R795" s="5"/>
      <c r="S795" s="5"/>
      <c r="T795" s="5"/>
      <c r="U795" s="5"/>
    </row>
    <row r="796" spans="1:21" ht="19.5" customHeight="1" x14ac:dyDescent="0.3">
      <c r="A796" s="5"/>
      <c r="B796" s="5"/>
      <c r="C796" s="5"/>
      <c r="D796" s="5"/>
      <c r="E796" s="6"/>
      <c r="F796" s="6"/>
      <c r="G796" s="6"/>
      <c r="H796" s="7"/>
      <c r="I796" s="8"/>
      <c r="J796" s="8"/>
      <c r="K796" s="8"/>
      <c r="L796" s="8"/>
      <c r="M796" s="8"/>
      <c r="N796" s="5"/>
      <c r="O796" s="5"/>
      <c r="P796" s="5"/>
      <c r="Q796" s="5"/>
      <c r="R796" s="5"/>
      <c r="S796" s="5"/>
      <c r="T796" s="5"/>
      <c r="U796" s="5"/>
    </row>
    <row r="797" spans="1:21" ht="19.5" customHeight="1" x14ac:dyDescent="0.3">
      <c r="A797" s="5"/>
      <c r="B797" s="5"/>
      <c r="C797" s="5"/>
      <c r="D797" s="5"/>
      <c r="E797" s="6"/>
      <c r="F797" s="6"/>
      <c r="G797" s="6"/>
      <c r="H797" s="7"/>
      <c r="I797" s="8"/>
      <c r="J797" s="8"/>
      <c r="K797" s="8"/>
      <c r="L797" s="8"/>
      <c r="M797" s="8"/>
      <c r="N797" s="5"/>
      <c r="O797" s="5"/>
      <c r="P797" s="5"/>
      <c r="Q797" s="5"/>
      <c r="R797" s="5"/>
      <c r="S797" s="5"/>
      <c r="T797" s="5"/>
      <c r="U797" s="5"/>
    </row>
    <row r="798" spans="1:21" ht="19.5" customHeight="1" x14ac:dyDescent="0.3">
      <c r="A798" s="5"/>
      <c r="B798" s="5"/>
      <c r="C798" s="5"/>
      <c r="D798" s="5"/>
      <c r="E798" s="6"/>
      <c r="F798" s="6"/>
      <c r="G798" s="6"/>
      <c r="H798" s="7"/>
      <c r="I798" s="8"/>
      <c r="J798" s="8"/>
      <c r="K798" s="8"/>
      <c r="L798" s="8"/>
      <c r="M798" s="8"/>
      <c r="N798" s="5"/>
      <c r="O798" s="5"/>
      <c r="P798" s="5"/>
      <c r="Q798" s="5"/>
      <c r="R798" s="5"/>
      <c r="S798" s="5"/>
      <c r="T798" s="5"/>
      <c r="U798" s="5"/>
    </row>
    <row r="799" spans="1:21" ht="19.5" customHeight="1" x14ac:dyDescent="0.3">
      <c r="A799" s="5"/>
      <c r="B799" s="5"/>
      <c r="C799" s="5"/>
      <c r="D799" s="5"/>
      <c r="E799" s="6"/>
      <c r="F799" s="6"/>
      <c r="G799" s="6"/>
      <c r="H799" s="7"/>
      <c r="I799" s="8"/>
      <c r="J799" s="8"/>
      <c r="K799" s="8"/>
      <c r="L799" s="8"/>
      <c r="M799" s="8"/>
      <c r="N799" s="5"/>
      <c r="O799" s="5"/>
      <c r="P799" s="5"/>
      <c r="Q799" s="5"/>
      <c r="R799" s="5"/>
      <c r="S799" s="5"/>
      <c r="T799" s="5"/>
      <c r="U799" s="5"/>
    </row>
    <row r="800" spans="1:21" ht="19.5" customHeight="1" x14ac:dyDescent="0.3">
      <c r="A800" s="5"/>
      <c r="B800" s="5"/>
      <c r="C800" s="5"/>
      <c r="D800" s="5"/>
      <c r="E800" s="6"/>
      <c r="F800" s="6"/>
      <c r="G800" s="6"/>
      <c r="H800" s="7"/>
      <c r="I800" s="8"/>
      <c r="J800" s="8"/>
      <c r="K800" s="8"/>
      <c r="L800" s="8"/>
      <c r="M800" s="8"/>
      <c r="N800" s="5"/>
      <c r="O800" s="5"/>
      <c r="P800" s="5"/>
      <c r="Q800" s="5"/>
      <c r="R800" s="5"/>
      <c r="S800" s="5"/>
      <c r="T800" s="5"/>
      <c r="U800" s="5"/>
    </row>
    <row r="801" spans="1:21" ht="19.5" customHeight="1" x14ac:dyDescent="0.3">
      <c r="A801" s="5"/>
      <c r="B801" s="5"/>
      <c r="C801" s="5"/>
      <c r="D801" s="5"/>
      <c r="E801" s="6"/>
      <c r="F801" s="6"/>
      <c r="G801" s="6"/>
      <c r="H801" s="7"/>
      <c r="I801" s="8"/>
      <c r="J801" s="8"/>
      <c r="K801" s="8"/>
      <c r="L801" s="8"/>
      <c r="M801" s="8"/>
      <c r="N801" s="5"/>
      <c r="O801" s="5"/>
      <c r="P801" s="5"/>
      <c r="Q801" s="5"/>
      <c r="R801" s="5"/>
      <c r="S801" s="5"/>
      <c r="T801" s="5"/>
      <c r="U801" s="5"/>
    </row>
    <row r="802" spans="1:21" ht="19.5" customHeight="1" x14ac:dyDescent="0.3">
      <c r="A802" s="5"/>
      <c r="B802" s="5"/>
      <c r="C802" s="5"/>
      <c r="D802" s="5"/>
      <c r="E802" s="6"/>
      <c r="F802" s="6"/>
      <c r="G802" s="6"/>
      <c r="H802" s="7"/>
      <c r="I802" s="8"/>
      <c r="J802" s="8"/>
      <c r="K802" s="8"/>
      <c r="L802" s="8"/>
      <c r="M802" s="8"/>
      <c r="N802" s="5"/>
      <c r="O802" s="5"/>
      <c r="P802" s="5"/>
      <c r="Q802" s="5"/>
      <c r="R802" s="5"/>
      <c r="S802" s="5"/>
      <c r="T802" s="5"/>
      <c r="U802" s="5"/>
    </row>
    <row r="803" spans="1:21" ht="19.5" customHeight="1" x14ac:dyDescent="0.3">
      <c r="A803" s="5"/>
      <c r="B803" s="5"/>
      <c r="C803" s="5"/>
      <c r="D803" s="5"/>
      <c r="E803" s="6"/>
      <c r="F803" s="6"/>
      <c r="G803" s="6"/>
      <c r="H803" s="7"/>
      <c r="I803" s="8"/>
      <c r="J803" s="8"/>
      <c r="K803" s="8"/>
      <c r="L803" s="8"/>
      <c r="M803" s="8"/>
      <c r="N803" s="5"/>
      <c r="O803" s="5"/>
      <c r="P803" s="5"/>
      <c r="Q803" s="5"/>
      <c r="R803" s="5"/>
      <c r="S803" s="5"/>
      <c r="T803" s="5"/>
      <c r="U803" s="5"/>
    </row>
    <row r="804" spans="1:21" ht="19.5" customHeight="1" x14ac:dyDescent="0.3">
      <c r="A804" s="5"/>
      <c r="B804" s="5"/>
      <c r="C804" s="5"/>
      <c r="D804" s="5"/>
      <c r="E804" s="6"/>
      <c r="F804" s="6"/>
      <c r="G804" s="6"/>
      <c r="H804" s="7"/>
      <c r="I804" s="8"/>
      <c r="J804" s="8"/>
      <c r="K804" s="8"/>
      <c r="L804" s="8"/>
      <c r="M804" s="8"/>
      <c r="N804" s="5"/>
      <c r="O804" s="5"/>
      <c r="P804" s="5"/>
      <c r="Q804" s="5"/>
      <c r="R804" s="5"/>
      <c r="S804" s="5"/>
      <c r="T804" s="5"/>
      <c r="U804" s="5"/>
    </row>
    <row r="805" spans="1:21" ht="19.5" customHeight="1" x14ac:dyDescent="0.3">
      <c r="A805" s="5"/>
      <c r="B805" s="5"/>
      <c r="C805" s="5"/>
      <c r="D805" s="5"/>
      <c r="E805" s="6"/>
      <c r="F805" s="6"/>
      <c r="G805" s="6"/>
      <c r="H805" s="7"/>
      <c r="I805" s="8"/>
      <c r="J805" s="8"/>
      <c r="K805" s="8"/>
      <c r="L805" s="8"/>
      <c r="M805" s="8"/>
      <c r="N805" s="5"/>
      <c r="O805" s="5"/>
      <c r="P805" s="5"/>
      <c r="Q805" s="5"/>
      <c r="R805" s="5"/>
      <c r="S805" s="5"/>
      <c r="T805" s="5"/>
      <c r="U805" s="5"/>
    </row>
    <row r="806" spans="1:21" ht="19.5" customHeight="1" x14ac:dyDescent="0.3">
      <c r="A806" s="5"/>
      <c r="B806" s="5"/>
      <c r="C806" s="5"/>
      <c r="D806" s="5"/>
      <c r="E806" s="6"/>
      <c r="F806" s="6"/>
      <c r="G806" s="6"/>
      <c r="H806" s="7"/>
      <c r="I806" s="8"/>
      <c r="J806" s="8"/>
      <c r="K806" s="8"/>
      <c r="L806" s="8"/>
      <c r="M806" s="8"/>
      <c r="N806" s="5"/>
      <c r="O806" s="5"/>
      <c r="P806" s="5"/>
      <c r="Q806" s="5"/>
      <c r="R806" s="5"/>
      <c r="S806" s="5"/>
      <c r="T806" s="5"/>
      <c r="U806" s="5"/>
    </row>
    <row r="807" spans="1:21" ht="19.5" customHeight="1" x14ac:dyDescent="0.3">
      <c r="A807" s="5"/>
      <c r="B807" s="5"/>
      <c r="C807" s="5"/>
      <c r="D807" s="5"/>
      <c r="E807" s="6"/>
      <c r="F807" s="6"/>
      <c r="G807" s="6"/>
      <c r="H807" s="7"/>
      <c r="I807" s="8"/>
      <c r="J807" s="8"/>
      <c r="K807" s="8"/>
      <c r="L807" s="8"/>
      <c r="M807" s="8"/>
      <c r="N807" s="5"/>
      <c r="O807" s="5"/>
      <c r="P807" s="5"/>
      <c r="Q807" s="5"/>
      <c r="R807" s="5"/>
      <c r="S807" s="5"/>
      <c r="T807" s="5"/>
      <c r="U807" s="5"/>
    </row>
    <row r="808" spans="1:21" ht="19.5" customHeight="1" x14ac:dyDescent="0.3">
      <c r="A808" s="5"/>
      <c r="B808" s="5"/>
      <c r="C808" s="5"/>
      <c r="D808" s="5"/>
      <c r="E808" s="6"/>
      <c r="F808" s="6"/>
      <c r="G808" s="6"/>
      <c r="H808" s="7"/>
      <c r="I808" s="8"/>
      <c r="J808" s="8"/>
      <c r="K808" s="8"/>
      <c r="L808" s="8"/>
      <c r="M808" s="8"/>
      <c r="N808" s="5"/>
      <c r="O808" s="5"/>
      <c r="P808" s="5"/>
      <c r="Q808" s="5"/>
      <c r="R808" s="5"/>
      <c r="S808" s="5"/>
      <c r="T808" s="5"/>
      <c r="U808" s="5"/>
    </row>
    <row r="809" spans="1:21" ht="19.5" customHeight="1" x14ac:dyDescent="0.3">
      <c r="A809" s="5"/>
      <c r="B809" s="5"/>
      <c r="C809" s="5"/>
      <c r="D809" s="5"/>
      <c r="E809" s="6"/>
      <c r="F809" s="6"/>
      <c r="G809" s="6"/>
      <c r="H809" s="7"/>
      <c r="I809" s="8"/>
      <c r="J809" s="8"/>
      <c r="K809" s="8"/>
      <c r="L809" s="8"/>
      <c r="M809" s="8"/>
      <c r="N809" s="5"/>
      <c r="O809" s="5"/>
      <c r="P809" s="5"/>
      <c r="Q809" s="5"/>
      <c r="R809" s="5"/>
      <c r="S809" s="5"/>
      <c r="T809" s="5"/>
      <c r="U809" s="5"/>
    </row>
    <row r="810" spans="1:21" ht="19.5" customHeight="1" x14ac:dyDescent="0.3">
      <c r="A810" s="5"/>
      <c r="B810" s="5"/>
      <c r="C810" s="5"/>
      <c r="D810" s="5"/>
      <c r="E810" s="6"/>
      <c r="F810" s="6"/>
      <c r="G810" s="6"/>
      <c r="H810" s="7"/>
      <c r="I810" s="8"/>
      <c r="J810" s="8"/>
      <c r="K810" s="8"/>
      <c r="L810" s="8"/>
      <c r="M810" s="8"/>
      <c r="N810" s="5"/>
      <c r="O810" s="5"/>
      <c r="P810" s="5"/>
      <c r="Q810" s="5"/>
      <c r="R810" s="5"/>
      <c r="S810" s="5"/>
      <c r="T810" s="5"/>
      <c r="U810" s="5"/>
    </row>
    <row r="811" spans="1:21" ht="19.5" customHeight="1" x14ac:dyDescent="0.3">
      <c r="A811" s="5"/>
      <c r="B811" s="5"/>
      <c r="C811" s="5"/>
      <c r="D811" s="5"/>
      <c r="E811" s="6"/>
      <c r="F811" s="6"/>
      <c r="G811" s="6"/>
      <c r="H811" s="7"/>
      <c r="I811" s="8"/>
      <c r="J811" s="8"/>
      <c r="K811" s="8"/>
      <c r="L811" s="8"/>
      <c r="M811" s="8"/>
      <c r="N811" s="5"/>
      <c r="O811" s="5"/>
      <c r="P811" s="5"/>
      <c r="Q811" s="5"/>
      <c r="R811" s="5"/>
      <c r="S811" s="5"/>
      <c r="T811" s="5"/>
      <c r="U811" s="5"/>
    </row>
    <row r="812" spans="1:21" ht="19.5" customHeight="1" x14ac:dyDescent="0.3">
      <c r="A812" s="5"/>
      <c r="B812" s="5"/>
      <c r="C812" s="5"/>
      <c r="D812" s="5"/>
      <c r="E812" s="6"/>
      <c r="F812" s="6"/>
      <c r="G812" s="6"/>
      <c r="H812" s="7"/>
      <c r="I812" s="8"/>
      <c r="J812" s="8"/>
      <c r="K812" s="8"/>
      <c r="L812" s="8"/>
      <c r="M812" s="8"/>
      <c r="N812" s="5"/>
      <c r="O812" s="5"/>
      <c r="P812" s="5"/>
      <c r="Q812" s="5"/>
      <c r="R812" s="5"/>
      <c r="S812" s="5"/>
      <c r="T812" s="5"/>
      <c r="U812" s="5"/>
    </row>
    <row r="813" spans="1:21" ht="19.5" customHeight="1" x14ac:dyDescent="0.3">
      <c r="A813" s="5"/>
      <c r="B813" s="5"/>
      <c r="C813" s="5"/>
      <c r="D813" s="5"/>
      <c r="E813" s="6"/>
      <c r="F813" s="6"/>
      <c r="G813" s="6"/>
      <c r="H813" s="7"/>
      <c r="I813" s="8"/>
      <c r="J813" s="8"/>
      <c r="K813" s="8"/>
      <c r="L813" s="8"/>
      <c r="M813" s="8"/>
      <c r="N813" s="5"/>
      <c r="O813" s="5"/>
      <c r="P813" s="5"/>
      <c r="Q813" s="5"/>
      <c r="R813" s="5"/>
      <c r="S813" s="5"/>
      <c r="T813" s="5"/>
      <c r="U813" s="5"/>
    </row>
    <row r="814" spans="1:21" ht="19.5" customHeight="1" x14ac:dyDescent="0.3">
      <c r="A814" s="5"/>
      <c r="B814" s="5"/>
      <c r="C814" s="5"/>
      <c r="D814" s="5"/>
      <c r="E814" s="6"/>
      <c r="F814" s="6"/>
      <c r="G814" s="6"/>
      <c r="H814" s="7"/>
      <c r="I814" s="8"/>
      <c r="J814" s="8"/>
      <c r="K814" s="8"/>
      <c r="L814" s="8"/>
      <c r="M814" s="8"/>
      <c r="N814" s="5"/>
      <c r="O814" s="5"/>
      <c r="P814" s="5"/>
      <c r="Q814" s="5"/>
      <c r="R814" s="5"/>
      <c r="S814" s="5"/>
      <c r="T814" s="5"/>
      <c r="U814" s="5"/>
    </row>
    <row r="815" spans="1:21" ht="19.5" customHeight="1" x14ac:dyDescent="0.3">
      <c r="A815" s="5"/>
      <c r="B815" s="5"/>
      <c r="C815" s="5"/>
      <c r="D815" s="5"/>
      <c r="E815" s="6"/>
      <c r="F815" s="6"/>
      <c r="G815" s="6"/>
      <c r="H815" s="7"/>
      <c r="I815" s="8"/>
      <c r="J815" s="8"/>
      <c r="K815" s="8"/>
      <c r="L815" s="8"/>
      <c r="M815" s="8"/>
      <c r="N815" s="5"/>
      <c r="O815" s="5"/>
      <c r="P815" s="5"/>
      <c r="Q815" s="5"/>
      <c r="R815" s="5"/>
      <c r="S815" s="5"/>
      <c r="T815" s="5"/>
      <c r="U815" s="5"/>
    </row>
    <row r="816" spans="1:21" ht="19.5" customHeight="1" x14ac:dyDescent="0.3">
      <c r="A816" s="5"/>
      <c r="B816" s="5"/>
      <c r="C816" s="5"/>
      <c r="D816" s="5"/>
      <c r="E816" s="6"/>
      <c r="F816" s="6"/>
      <c r="G816" s="6"/>
      <c r="H816" s="7"/>
      <c r="I816" s="8"/>
      <c r="J816" s="8"/>
      <c r="K816" s="8"/>
      <c r="L816" s="8"/>
      <c r="M816" s="8"/>
      <c r="N816" s="5"/>
      <c r="O816" s="5"/>
      <c r="P816" s="5"/>
      <c r="Q816" s="5"/>
      <c r="R816" s="5"/>
      <c r="S816" s="5"/>
      <c r="T816" s="5"/>
      <c r="U816" s="5"/>
    </row>
    <row r="817" spans="1:21" ht="19.5" customHeight="1" x14ac:dyDescent="0.3">
      <c r="A817" s="5"/>
      <c r="B817" s="5"/>
      <c r="C817" s="5"/>
      <c r="D817" s="5"/>
      <c r="E817" s="6"/>
      <c r="F817" s="6"/>
      <c r="G817" s="6"/>
      <c r="H817" s="7"/>
      <c r="I817" s="8"/>
      <c r="J817" s="8"/>
      <c r="K817" s="8"/>
      <c r="L817" s="8"/>
      <c r="M817" s="8"/>
      <c r="N817" s="5"/>
      <c r="O817" s="5"/>
      <c r="P817" s="5"/>
      <c r="Q817" s="5"/>
      <c r="R817" s="5"/>
      <c r="S817" s="5"/>
      <c r="T817" s="5"/>
      <c r="U817" s="5"/>
    </row>
    <row r="818" spans="1:21" ht="19.5" customHeight="1" x14ac:dyDescent="0.3">
      <c r="A818" s="5"/>
      <c r="B818" s="5"/>
      <c r="C818" s="5"/>
      <c r="D818" s="5"/>
      <c r="E818" s="6"/>
      <c r="F818" s="6"/>
      <c r="G818" s="6"/>
      <c r="H818" s="7"/>
      <c r="I818" s="8"/>
      <c r="J818" s="8"/>
      <c r="K818" s="8"/>
      <c r="L818" s="8"/>
      <c r="M818" s="8"/>
      <c r="N818" s="5"/>
      <c r="O818" s="5"/>
      <c r="P818" s="5"/>
      <c r="Q818" s="5"/>
      <c r="R818" s="5"/>
      <c r="S818" s="5"/>
      <c r="T818" s="5"/>
      <c r="U818" s="5"/>
    </row>
    <row r="819" spans="1:21" ht="19.5" customHeight="1" x14ac:dyDescent="0.3">
      <c r="A819" s="5"/>
      <c r="B819" s="5"/>
      <c r="C819" s="5"/>
      <c r="D819" s="5"/>
      <c r="E819" s="6"/>
      <c r="F819" s="6"/>
      <c r="G819" s="6"/>
      <c r="H819" s="7"/>
      <c r="I819" s="8"/>
      <c r="J819" s="8"/>
      <c r="K819" s="8"/>
      <c r="L819" s="8"/>
      <c r="M819" s="8"/>
      <c r="N819" s="5"/>
      <c r="O819" s="5"/>
      <c r="P819" s="5"/>
      <c r="Q819" s="5"/>
      <c r="R819" s="5"/>
      <c r="S819" s="5"/>
      <c r="T819" s="5"/>
      <c r="U819" s="5"/>
    </row>
    <row r="820" spans="1:21" ht="19.5" customHeight="1" x14ac:dyDescent="0.3">
      <c r="A820" s="5"/>
      <c r="B820" s="5"/>
      <c r="C820" s="5"/>
      <c r="D820" s="5"/>
      <c r="E820" s="6"/>
      <c r="F820" s="6"/>
      <c r="G820" s="6"/>
      <c r="H820" s="7"/>
      <c r="I820" s="8"/>
      <c r="J820" s="8"/>
      <c r="K820" s="8"/>
      <c r="L820" s="8"/>
      <c r="M820" s="8"/>
      <c r="N820" s="5"/>
      <c r="O820" s="5"/>
      <c r="P820" s="5"/>
      <c r="Q820" s="5"/>
      <c r="R820" s="5"/>
      <c r="S820" s="5"/>
      <c r="T820" s="5"/>
      <c r="U820" s="5"/>
    </row>
    <row r="821" spans="1:21" ht="19.5" customHeight="1" x14ac:dyDescent="0.3">
      <c r="A821" s="5"/>
      <c r="B821" s="5"/>
      <c r="C821" s="5"/>
      <c r="D821" s="5"/>
      <c r="E821" s="6"/>
      <c r="F821" s="6"/>
      <c r="G821" s="6"/>
      <c r="H821" s="7"/>
      <c r="I821" s="8"/>
      <c r="J821" s="8"/>
      <c r="K821" s="8"/>
      <c r="L821" s="8"/>
      <c r="M821" s="8"/>
      <c r="N821" s="5"/>
      <c r="O821" s="5"/>
      <c r="P821" s="5"/>
      <c r="Q821" s="5"/>
      <c r="R821" s="5"/>
      <c r="S821" s="5"/>
      <c r="T821" s="5"/>
      <c r="U821" s="5"/>
    </row>
    <row r="822" spans="1:21" ht="19.5" customHeight="1" x14ac:dyDescent="0.3">
      <c r="A822" s="5"/>
      <c r="B822" s="5"/>
      <c r="C822" s="5"/>
      <c r="D822" s="5"/>
      <c r="E822" s="6"/>
      <c r="F822" s="6"/>
      <c r="G822" s="6"/>
      <c r="H822" s="7"/>
      <c r="I822" s="8"/>
      <c r="J822" s="8"/>
      <c r="K822" s="8"/>
      <c r="L822" s="8"/>
      <c r="M822" s="8"/>
      <c r="N822" s="5"/>
      <c r="O822" s="5"/>
      <c r="P822" s="5"/>
      <c r="Q822" s="5"/>
      <c r="R822" s="5"/>
      <c r="S822" s="5"/>
      <c r="T822" s="5"/>
      <c r="U822" s="5"/>
    </row>
    <row r="823" spans="1:21" ht="19.5" customHeight="1" x14ac:dyDescent="0.3">
      <c r="A823" s="5"/>
      <c r="B823" s="5"/>
      <c r="C823" s="5"/>
      <c r="D823" s="5"/>
      <c r="E823" s="6"/>
      <c r="F823" s="6"/>
      <c r="G823" s="6"/>
      <c r="H823" s="7"/>
      <c r="I823" s="8"/>
      <c r="J823" s="8"/>
      <c r="K823" s="8"/>
      <c r="L823" s="8"/>
      <c r="M823" s="8"/>
      <c r="N823" s="5"/>
      <c r="O823" s="5"/>
      <c r="P823" s="5"/>
      <c r="Q823" s="5"/>
      <c r="R823" s="5"/>
      <c r="S823" s="5"/>
      <c r="T823" s="5"/>
      <c r="U823" s="5"/>
    </row>
    <row r="824" spans="1:21" ht="19.5" customHeight="1" x14ac:dyDescent="0.3">
      <c r="A824" s="5"/>
      <c r="B824" s="5"/>
      <c r="C824" s="5"/>
      <c r="D824" s="5"/>
      <c r="E824" s="6"/>
      <c r="F824" s="6"/>
      <c r="G824" s="6"/>
      <c r="H824" s="7"/>
      <c r="I824" s="8"/>
      <c r="J824" s="8"/>
      <c r="K824" s="8"/>
      <c r="L824" s="8"/>
      <c r="M824" s="8"/>
      <c r="N824" s="5"/>
      <c r="O824" s="5"/>
      <c r="P824" s="5"/>
      <c r="Q824" s="5"/>
      <c r="R824" s="5"/>
      <c r="S824" s="5"/>
      <c r="T824" s="5"/>
      <c r="U824" s="5"/>
    </row>
    <row r="825" spans="1:21" ht="19.5" customHeight="1" x14ac:dyDescent="0.3">
      <c r="A825" s="5"/>
      <c r="B825" s="5"/>
      <c r="C825" s="5"/>
      <c r="D825" s="5"/>
      <c r="E825" s="6"/>
      <c r="F825" s="6"/>
      <c r="G825" s="6"/>
      <c r="H825" s="7"/>
      <c r="I825" s="8"/>
      <c r="J825" s="8"/>
      <c r="K825" s="8"/>
      <c r="L825" s="8"/>
      <c r="M825" s="8"/>
      <c r="N825" s="5"/>
      <c r="O825" s="5"/>
      <c r="P825" s="5"/>
      <c r="Q825" s="5"/>
      <c r="R825" s="5"/>
      <c r="S825" s="5"/>
      <c r="T825" s="5"/>
      <c r="U825" s="5"/>
    </row>
    <row r="826" spans="1:21" ht="19.5" customHeight="1" x14ac:dyDescent="0.3">
      <c r="A826" s="5"/>
      <c r="B826" s="5"/>
      <c r="C826" s="5"/>
      <c r="D826" s="5"/>
      <c r="E826" s="6"/>
      <c r="F826" s="6"/>
      <c r="G826" s="6"/>
      <c r="H826" s="7"/>
      <c r="I826" s="8"/>
      <c r="J826" s="8"/>
      <c r="K826" s="8"/>
      <c r="L826" s="8"/>
      <c r="M826" s="8"/>
      <c r="N826" s="5"/>
      <c r="O826" s="5"/>
      <c r="P826" s="5"/>
      <c r="Q826" s="5"/>
      <c r="R826" s="5"/>
      <c r="S826" s="5"/>
      <c r="T826" s="5"/>
      <c r="U826" s="5"/>
    </row>
    <row r="827" spans="1:21" ht="19.5" customHeight="1" x14ac:dyDescent="0.3">
      <c r="A827" s="5"/>
      <c r="B827" s="5"/>
      <c r="C827" s="5"/>
      <c r="D827" s="5"/>
      <c r="E827" s="6"/>
      <c r="F827" s="6"/>
      <c r="G827" s="6"/>
      <c r="H827" s="7"/>
      <c r="I827" s="8"/>
      <c r="J827" s="8"/>
      <c r="K827" s="8"/>
      <c r="L827" s="8"/>
      <c r="M827" s="8"/>
      <c r="N827" s="5"/>
      <c r="O827" s="5"/>
      <c r="P827" s="5"/>
      <c r="Q827" s="5"/>
      <c r="R827" s="5"/>
      <c r="S827" s="5"/>
      <c r="T827" s="5"/>
      <c r="U827" s="5"/>
    </row>
    <row r="828" spans="1:21" ht="19.5" customHeight="1" x14ac:dyDescent="0.3">
      <c r="A828" s="5"/>
      <c r="B828" s="5"/>
      <c r="C828" s="5"/>
      <c r="D828" s="5"/>
      <c r="E828" s="6"/>
      <c r="F828" s="6"/>
      <c r="G828" s="6"/>
      <c r="H828" s="7"/>
      <c r="I828" s="8"/>
      <c r="J828" s="8"/>
      <c r="K828" s="8"/>
      <c r="L828" s="8"/>
      <c r="M828" s="8"/>
      <c r="N828" s="5"/>
      <c r="O828" s="5"/>
      <c r="P828" s="5"/>
      <c r="Q828" s="5"/>
      <c r="R828" s="5"/>
      <c r="S828" s="5"/>
      <c r="T828" s="5"/>
      <c r="U828" s="5"/>
    </row>
    <row r="829" spans="1:21" ht="19.5" customHeight="1" x14ac:dyDescent="0.3">
      <c r="A829" s="5"/>
      <c r="B829" s="5"/>
      <c r="C829" s="5"/>
      <c r="D829" s="5"/>
      <c r="E829" s="6"/>
      <c r="F829" s="6"/>
      <c r="G829" s="6"/>
      <c r="H829" s="7"/>
      <c r="I829" s="8"/>
      <c r="J829" s="8"/>
      <c r="K829" s="8"/>
      <c r="L829" s="8"/>
      <c r="M829" s="8"/>
      <c r="N829" s="5"/>
      <c r="O829" s="5"/>
      <c r="P829" s="5"/>
      <c r="Q829" s="5"/>
      <c r="R829" s="5"/>
      <c r="S829" s="5"/>
      <c r="T829" s="5"/>
      <c r="U829" s="5"/>
    </row>
    <row r="830" spans="1:21" ht="19.5" customHeight="1" x14ac:dyDescent="0.3">
      <c r="A830" s="5"/>
      <c r="B830" s="5"/>
      <c r="C830" s="5"/>
      <c r="D830" s="5"/>
      <c r="E830" s="6"/>
      <c r="F830" s="6"/>
      <c r="G830" s="6"/>
      <c r="H830" s="7"/>
      <c r="I830" s="8"/>
      <c r="J830" s="8"/>
      <c r="K830" s="8"/>
      <c r="L830" s="8"/>
      <c r="M830" s="8"/>
      <c r="N830" s="5"/>
      <c r="O830" s="5"/>
      <c r="P830" s="5"/>
      <c r="Q830" s="5"/>
      <c r="R830" s="5"/>
      <c r="S830" s="5"/>
      <c r="T830" s="5"/>
      <c r="U830" s="5"/>
    </row>
    <row r="831" spans="1:21" ht="19.5" customHeight="1" x14ac:dyDescent="0.3">
      <c r="A831" s="5"/>
      <c r="B831" s="5"/>
      <c r="C831" s="5"/>
      <c r="D831" s="5"/>
      <c r="E831" s="6"/>
      <c r="F831" s="6"/>
      <c r="G831" s="6"/>
      <c r="H831" s="7"/>
      <c r="I831" s="8"/>
      <c r="J831" s="8"/>
      <c r="K831" s="8"/>
      <c r="L831" s="8"/>
      <c r="M831" s="8"/>
      <c r="N831" s="5"/>
      <c r="O831" s="5"/>
      <c r="P831" s="5"/>
      <c r="Q831" s="5"/>
      <c r="R831" s="5"/>
      <c r="S831" s="5"/>
      <c r="T831" s="5"/>
      <c r="U831" s="5"/>
    </row>
    <row r="832" spans="1:21" ht="19.5" customHeight="1" x14ac:dyDescent="0.3">
      <c r="A832" s="5"/>
      <c r="B832" s="5"/>
      <c r="C832" s="5"/>
      <c r="D832" s="5"/>
      <c r="E832" s="6"/>
      <c r="F832" s="6"/>
      <c r="G832" s="6"/>
      <c r="H832" s="7"/>
      <c r="I832" s="8"/>
      <c r="J832" s="8"/>
      <c r="K832" s="8"/>
      <c r="L832" s="8"/>
      <c r="M832" s="8"/>
      <c r="N832" s="5"/>
      <c r="O832" s="5"/>
      <c r="P832" s="5"/>
      <c r="Q832" s="5"/>
      <c r="R832" s="5"/>
      <c r="S832" s="5"/>
      <c r="T832" s="5"/>
      <c r="U832" s="5"/>
    </row>
    <row r="833" spans="1:21" ht="19.5" customHeight="1" x14ac:dyDescent="0.3">
      <c r="A833" s="5"/>
      <c r="B833" s="5"/>
      <c r="C833" s="5"/>
      <c r="D833" s="5"/>
      <c r="E833" s="6"/>
      <c r="F833" s="6"/>
      <c r="G833" s="6"/>
      <c r="H833" s="7"/>
      <c r="I833" s="8"/>
      <c r="J833" s="8"/>
      <c r="K833" s="8"/>
      <c r="L833" s="8"/>
      <c r="M833" s="8"/>
      <c r="N833" s="5"/>
      <c r="O833" s="5"/>
      <c r="P833" s="5"/>
      <c r="Q833" s="5"/>
      <c r="R833" s="5"/>
      <c r="S833" s="5"/>
      <c r="T833" s="5"/>
      <c r="U833" s="5"/>
    </row>
    <row r="834" spans="1:21" ht="19.5" customHeight="1" x14ac:dyDescent="0.3">
      <c r="A834" s="5"/>
      <c r="B834" s="5"/>
      <c r="C834" s="5"/>
      <c r="D834" s="5"/>
      <c r="E834" s="6"/>
      <c r="F834" s="6"/>
      <c r="G834" s="6"/>
      <c r="H834" s="7"/>
      <c r="I834" s="8"/>
      <c r="J834" s="8"/>
      <c r="K834" s="8"/>
      <c r="L834" s="8"/>
      <c r="M834" s="8"/>
      <c r="N834" s="5"/>
      <c r="O834" s="5"/>
      <c r="P834" s="5"/>
      <c r="Q834" s="5"/>
      <c r="R834" s="5"/>
      <c r="S834" s="5"/>
      <c r="T834" s="5"/>
      <c r="U834" s="5"/>
    </row>
    <row r="835" spans="1:21" ht="19.5" customHeight="1" x14ac:dyDescent="0.3">
      <c r="A835" s="5"/>
      <c r="B835" s="5"/>
      <c r="C835" s="5"/>
      <c r="D835" s="5"/>
      <c r="E835" s="6"/>
      <c r="F835" s="6"/>
      <c r="G835" s="6"/>
      <c r="H835" s="7"/>
      <c r="I835" s="8"/>
      <c r="J835" s="8"/>
      <c r="K835" s="8"/>
      <c r="L835" s="8"/>
      <c r="M835" s="8"/>
      <c r="N835" s="5"/>
      <c r="O835" s="5"/>
      <c r="P835" s="5"/>
      <c r="Q835" s="5"/>
      <c r="R835" s="5"/>
      <c r="S835" s="5"/>
      <c r="T835" s="5"/>
      <c r="U835" s="5"/>
    </row>
    <row r="836" spans="1:21" ht="19.5" customHeight="1" x14ac:dyDescent="0.3">
      <c r="A836" s="5"/>
      <c r="B836" s="5"/>
      <c r="C836" s="5"/>
      <c r="D836" s="5"/>
      <c r="E836" s="6"/>
      <c r="F836" s="6"/>
      <c r="G836" s="6"/>
      <c r="H836" s="7"/>
      <c r="I836" s="8"/>
      <c r="J836" s="8"/>
      <c r="K836" s="8"/>
      <c r="L836" s="8"/>
      <c r="M836" s="8"/>
      <c r="N836" s="5"/>
      <c r="O836" s="5"/>
      <c r="P836" s="5"/>
      <c r="Q836" s="5"/>
      <c r="R836" s="5"/>
      <c r="S836" s="5"/>
      <c r="T836" s="5"/>
      <c r="U836" s="5"/>
    </row>
    <row r="837" spans="1:21" ht="19.5" customHeight="1" x14ac:dyDescent="0.3">
      <c r="A837" s="5"/>
      <c r="B837" s="5"/>
      <c r="C837" s="5"/>
      <c r="D837" s="5"/>
      <c r="E837" s="6"/>
      <c r="F837" s="6"/>
      <c r="G837" s="6"/>
      <c r="H837" s="7"/>
      <c r="I837" s="8"/>
      <c r="J837" s="8"/>
      <c r="K837" s="8"/>
      <c r="L837" s="8"/>
      <c r="M837" s="8"/>
      <c r="N837" s="5"/>
      <c r="O837" s="5"/>
      <c r="P837" s="5"/>
      <c r="Q837" s="5"/>
      <c r="R837" s="5"/>
      <c r="S837" s="5"/>
      <c r="T837" s="5"/>
      <c r="U837" s="5"/>
    </row>
    <row r="838" spans="1:21" ht="19.5" customHeight="1" x14ac:dyDescent="0.3">
      <c r="A838" s="5"/>
      <c r="B838" s="5"/>
      <c r="C838" s="5"/>
      <c r="D838" s="5"/>
      <c r="E838" s="6"/>
      <c r="F838" s="6"/>
      <c r="G838" s="6"/>
      <c r="H838" s="7"/>
      <c r="I838" s="8"/>
      <c r="J838" s="8"/>
      <c r="K838" s="8"/>
      <c r="L838" s="8"/>
      <c r="M838" s="8"/>
      <c r="N838" s="5"/>
      <c r="O838" s="5"/>
      <c r="P838" s="5"/>
      <c r="Q838" s="5"/>
      <c r="R838" s="5"/>
      <c r="S838" s="5"/>
      <c r="T838" s="5"/>
      <c r="U838" s="5"/>
    </row>
    <row r="839" spans="1:21" ht="19.5" customHeight="1" x14ac:dyDescent="0.3">
      <c r="A839" s="5"/>
      <c r="B839" s="5"/>
      <c r="C839" s="5"/>
      <c r="D839" s="5"/>
      <c r="E839" s="6"/>
      <c r="F839" s="6"/>
      <c r="G839" s="6"/>
      <c r="H839" s="7"/>
      <c r="I839" s="8"/>
      <c r="J839" s="8"/>
      <c r="K839" s="8"/>
      <c r="L839" s="8"/>
      <c r="M839" s="8"/>
      <c r="N839" s="5"/>
      <c r="O839" s="5"/>
      <c r="P839" s="5"/>
      <c r="Q839" s="5"/>
      <c r="R839" s="5"/>
      <c r="S839" s="5"/>
      <c r="T839" s="5"/>
      <c r="U839" s="5"/>
    </row>
    <row r="840" spans="1:21" ht="19.5" customHeight="1" x14ac:dyDescent="0.3">
      <c r="A840" s="5"/>
      <c r="B840" s="5"/>
      <c r="C840" s="5"/>
      <c r="D840" s="5"/>
      <c r="E840" s="6"/>
      <c r="F840" s="6"/>
      <c r="G840" s="6"/>
      <c r="H840" s="7"/>
      <c r="I840" s="8"/>
      <c r="J840" s="8"/>
      <c r="K840" s="8"/>
      <c r="L840" s="8"/>
      <c r="M840" s="8"/>
      <c r="N840" s="5"/>
      <c r="O840" s="5"/>
      <c r="P840" s="5"/>
      <c r="Q840" s="5"/>
      <c r="R840" s="5"/>
      <c r="S840" s="5"/>
      <c r="T840" s="5"/>
      <c r="U840" s="5"/>
    </row>
    <row r="841" spans="1:21" ht="19.5" customHeight="1" x14ac:dyDescent="0.3">
      <c r="A841" s="5"/>
      <c r="B841" s="5"/>
      <c r="C841" s="5"/>
      <c r="D841" s="5"/>
      <c r="E841" s="6"/>
      <c r="F841" s="6"/>
      <c r="G841" s="6"/>
      <c r="H841" s="7"/>
      <c r="I841" s="8"/>
      <c r="J841" s="8"/>
      <c r="K841" s="8"/>
      <c r="L841" s="8"/>
      <c r="M841" s="8"/>
      <c r="N841" s="5"/>
      <c r="O841" s="5"/>
      <c r="P841" s="5"/>
      <c r="Q841" s="5"/>
      <c r="R841" s="5"/>
      <c r="S841" s="5"/>
      <c r="T841" s="5"/>
      <c r="U841" s="5"/>
    </row>
    <row r="842" spans="1:21" ht="19.5" customHeight="1" x14ac:dyDescent="0.3">
      <c r="A842" s="5"/>
      <c r="B842" s="5"/>
      <c r="C842" s="5"/>
      <c r="D842" s="5"/>
      <c r="E842" s="6"/>
      <c r="F842" s="6"/>
      <c r="G842" s="6"/>
      <c r="H842" s="7"/>
      <c r="I842" s="8"/>
      <c r="J842" s="8"/>
      <c r="K842" s="8"/>
      <c r="L842" s="8"/>
      <c r="M842" s="8"/>
      <c r="N842" s="5"/>
      <c r="O842" s="5"/>
      <c r="P842" s="5"/>
      <c r="Q842" s="5"/>
      <c r="R842" s="5"/>
      <c r="S842" s="5"/>
      <c r="T842" s="5"/>
      <c r="U842" s="5"/>
    </row>
    <row r="843" spans="1:21" ht="19.5" customHeight="1" x14ac:dyDescent="0.3">
      <c r="A843" s="5"/>
      <c r="B843" s="5"/>
      <c r="C843" s="5"/>
      <c r="D843" s="5"/>
      <c r="E843" s="6"/>
      <c r="F843" s="6"/>
      <c r="G843" s="6"/>
      <c r="H843" s="7"/>
      <c r="I843" s="8"/>
      <c r="J843" s="8"/>
      <c r="K843" s="8"/>
      <c r="L843" s="8"/>
      <c r="M843" s="8"/>
      <c r="N843" s="5"/>
      <c r="O843" s="5"/>
      <c r="P843" s="5"/>
      <c r="Q843" s="5"/>
      <c r="R843" s="5"/>
      <c r="S843" s="5"/>
      <c r="T843" s="5"/>
      <c r="U843" s="5"/>
    </row>
    <row r="844" spans="1:21" ht="19.5" customHeight="1" x14ac:dyDescent="0.3">
      <c r="A844" s="5"/>
      <c r="B844" s="5"/>
      <c r="C844" s="5"/>
      <c r="D844" s="5"/>
      <c r="E844" s="6"/>
      <c r="F844" s="6"/>
      <c r="G844" s="6"/>
      <c r="H844" s="7"/>
      <c r="I844" s="8"/>
      <c r="J844" s="8"/>
      <c r="K844" s="8"/>
      <c r="L844" s="8"/>
      <c r="M844" s="8"/>
      <c r="N844" s="5"/>
      <c r="O844" s="5"/>
      <c r="P844" s="5"/>
      <c r="Q844" s="5"/>
      <c r="R844" s="5"/>
      <c r="S844" s="5"/>
      <c r="T844" s="5"/>
      <c r="U844" s="5"/>
    </row>
    <row r="845" spans="1:21" ht="19.5" customHeight="1" x14ac:dyDescent="0.3">
      <c r="A845" s="5"/>
      <c r="B845" s="5"/>
      <c r="C845" s="5"/>
      <c r="D845" s="5"/>
      <c r="E845" s="6"/>
      <c r="F845" s="6"/>
      <c r="G845" s="6"/>
      <c r="H845" s="7"/>
      <c r="I845" s="8"/>
      <c r="J845" s="8"/>
      <c r="K845" s="8"/>
      <c r="L845" s="8"/>
      <c r="M845" s="8"/>
      <c r="N845" s="5"/>
      <c r="O845" s="5"/>
      <c r="P845" s="5"/>
      <c r="Q845" s="5"/>
      <c r="R845" s="5"/>
      <c r="S845" s="5"/>
      <c r="T845" s="5"/>
      <c r="U845" s="5"/>
    </row>
    <row r="846" spans="1:21" ht="19.5" customHeight="1" x14ac:dyDescent="0.3">
      <c r="A846" s="5"/>
      <c r="B846" s="5"/>
      <c r="C846" s="5"/>
      <c r="D846" s="5"/>
      <c r="E846" s="6"/>
      <c r="F846" s="6"/>
      <c r="G846" s="6"/>
      <c r="H846" s="7"/>
      <c r="I846" s="8"/>
      <c r="J846" s="8"/>
      <c r="K846" s="8"/>
      <c r="L846" s="8"/>
      <c r="M846" s="8"/>
      <c r="N846" s="5"/>
      <c r="O846" s="5"/>
      <c r="P846" s="5"/>
      <c r="Q846" s="5"/>
      <c r="R846" s="5"/>
      <c r="S846" s="5"/>
      <c r="T846" s="5"/>
      <c r="U846" s="5"/>
    </row>
    <row r="847" spans="1:21" ht="19.5" customHeight="1" x14ac:dyDescent="0.3">
      <c r="A847" s="5"/>
      <c r="B847" s="5"/>
      <c r="C847" s="5"/>
      <c r="D847" s="5"/>
      <c r="E847" s="6"/>
      <c r="F847" s="6"/>
      <c r="G847" s="6"/>
      <c r="H847" s="7"/>
      <c r="I847" s="8"/>
      <c r="J847" s="8"/>
      <c r="K847" s="8"/>
      <c r="L847" s="8"/>
      <c r="M847" s="8"/>
      <c r="N847" s="5"/>
      <c r="O847" s="5"/>
      <c r="P847" s="5"/>
      <c r="Q847" s="5"/>
      <c r="R847" s="5"/>
      <c r="S847" s="5"/>
      <c r="T847" s="5"/>
      <c r="U847" s="5"/>
    </row>
    <row r="848" spans="1:21" ht="19.5" customHeight="1" x14ac:dyDescent="0.3">
      <c r="A848" s="5"/>
      <c r="B848" s="5"/>
      <c r="C848" s="5"/>
      <c r="D848" s="5"/>
      <c r="E848" s="6"/>
      <c r="F848" s="6"/>
      <c r="G848" s="6"/>
      <c r="H848" s="7"/>
      <c r="I848" s="8"/>
      <c r="J848" s="8"/>
      <c r="K848" s="8"/>
      <c r="L848" s="8"/>
      <c r="M848" s="8"/>
      <c r="N848" s="5"/>
      <c r="O848" s="5"/>
      <c r="P848" s="5"/>
      <c r="Q848" s="5"/>
      <c r="R848" s="5"/>
      <c r="S848" s="5"/>
      <c r="T848" s="5"/>
      <c r="U848" s="5"/>
    </row>
    <row r="849" spans="1:21" ht="19.5" customHeight="1" x14ac:dyDescent="0.3">
      <c r="A849" s="5"/>
      <c r="B849" s="5"/>
      <c r="C849" s="5"/>
      <c r="D849" s="5"/>
      <c r="E849" s="6"/>
      <c r="F849" s="6"/>
      <c r="G849" s="6"/>
      <c r="H849" s="7"/>
      <c r="I849" s="8"/>
      <c r="J849" s="8"/>
      <c r="K849" s="8"/>
      <c r="L849" s="8"/>
      <c r="M849" s="8"/>
      <c r="N849" s="5"/>
      <c r="O849" s="5"/>
      <c r="P849" s="5"/>
      <c r="Q849" s="5"/>
      <c r="R849" s="5"/>
      <c r="S849" s="5"/>
      <c r="T849" s="5"/>
      <c r="U849" s="5"/>
    </row>
    <row r="850" spans="1:21" ht="19.5" customHeight="1" x14ac:dyDescent="0.3">
      <c r="A850" s="5"/>
      <c r="B850" s="5"/>
      <c r="C850" s="5"/>
      <c r="D850" s="5"/>
      <c r="E850" s="6"/>
      <c r="F850" s="6"/>
      <c r="G850" s="6"/>
      <c r="H850" s="7"/>
      <c r="I850" s="8"/>
      <c r="J850" s="8"/>
      <c r="K850" s="8"/>
      <c r="L850" s="8"/>
      <c r="M850" s="8"/>
      <c r="N850" s="5"/>
      <c r="O850" s="5"/>
      <c r="P850" s="5"/>
      <c r="Q850" s="5"/>
      <c r="R850" s="5"/>
      <c r="S850" s="5"/>
      <c r="T850" s="5"/>
      <c r="U850" s="5"/>
    </row>
    <row r="851" spans="1:21" ht="19.5" customHeight="1" x14ac:dyDescent="0.3">
      <c r="A851" s="5"/>
      <c r="B851" s="5"/>
      <c r="C851" s="5"/>
      <c r="D851" s="5"/>
      <c r="E851" s="6"/>
      <c r="F851" s="6"/>
      <c r="G851" s="6"/>
      <c r="H851" s="7"/>
      <c r="I851" s="8"/>
      <c r="J851" s="8"/>
      <c r="K851" s="8"/>
      <c r="L851" s="8"/>
      <c r="M851" s="8"/>
      <c r="N851" s="5"/>
      <c r="O851" s="5"/>
      <c r="P851" s="5"/>
      <c r="Q851" s="5"/>
      <c r="R851" s="5"/>
      <c r="S851" s="5"/>
      <c r="T851" s="5"/>
      <c r="U851" s="5"/>
    </row>
    <row r="852" spans="1:21" ht="19.5" customHeight="1" x14ac:dyDescent="0.3">
      <c r="A852" s="5"/>
      <c r="B852" s="5"/>
      <c r="C852" s="5"/>
      <c r="D852" s="5"/>
      <c r="E852" s="6"/>
      <c r="F852" s="6"/>
      <c r="G852" s="6"/>
      <c r="H852" s="7"/>
      <c r="I852" s="8"/>
      <c r="J852" s="8"/>
      <c r="K852" s="8"/>
      <c r="L852" s="8"/>
      <c r="M852" s="8"/>
      <c r="N852" s="5"/>
      <c r="O852" s="5"/>
      <c r="P852" s="5"/>
      <c r="Q852" s="5"/>
      <c r="R852" s="5"/>
      <c r="S852" s="5"/>
      <c r="T852" s="5"/>
      <c r="U852" s="5"/>
    </row>
    <row r="853" spans="1:21" ht="19.5" customHeight="1" x14ac:dyDescent="0.3">
      <c r="A853" s="5"/>
      <c r="B853" s="5"/>
      <c r="C853" s="5"/>
      <c r="D853" s="5"/>
      <c r="E853" s="6"/>
      <c r="F853" s="6"/>
      <c r="G853" s="6"/>
      <c r="H853" s="7"/>
      <c r="I853" s="8"/>
      <c r="J853" s="8"/>
      <c r="K853" s="8"/>
      <c r="L853" s="8"/>
      <c r="M853" s="8"/>
      <c r="N853" s="5"/>
      <c r="O853" s="5"/>
      <c r="P853" s="5"/>
      <c r="Q853" s="5"/>
      <c r="R853" s="5"/>
      <c r="S853" s="5"/>
      <c r="T853" s="5"/>
      <c r="U853" s="5"/>
    </row>
    <row r="854" spans="1:21" ht="19.5" customHeight="1" x14ac:dyDescent="0.3">
      <c r="A854" s="5"/>
      <c r="B854" s="5"/>
      <c r="C854" s="5"/>
      <c r="D854" s="5"/>
      <c r="E854" s="6"/>
      <c r="F854" s="6"/>
      <c r="G854" s="6"/>
      <c r="H854" s="7"/>
      <c r="I854" s="8"/>
      <c r="J854" s="8"/>
      <c r="K854" s="8"/>
      <c r="L854" s="8"/>
      <c r="M854" s="8"/>
      <c r="N854" s="5"/>
      <c r="O854" s="5"/>
      <c r="P854" s="5"/>
      <c r="Q854" s="5"/>
      <c r="R854" s="5"/>
      <c r="S854" s="5"/>
      <c r="T854" s="5"/>
      <c r="U854" s="5"/>
    </row>
    <row r="855" spans="1:21" ht="19.5" customHeight="1" x14ac:dyDescent="0.3">
      <c r="A855" s="5"/>
      <c r="B855" s="5"/>
      <c r="C855" s="5"/>
      <c r="D855" s="5"/>
      <c r="E855" s="6"/>
      <c r="F855" s="6"/>
      <c r="G855" s="6"/>
      <c r="H855" s="7"/>
      <c r="I855" s="8"/>
      <c r="J855" s="8"/>
      <c r="K855" s="8"/>
      <c r="L855" s="8"/>
      <c r="M855" s="8"/>
      <c r="N855" s="5"/>
      <c r="O855" s="5"/>
      <c r="P855" s="5"/>
      <c r="Q855" s="5"/>
      <c r="R855" s="5"/>
      <c r="S855" s="5"/>
      <c r="T855" s="5"/>
      <c r="U855" s="5"/>
    </row>
    <row r="856" spans="1:21" ht="19.5" customHeight="1" x14ac:dyDescent="0.3">
      <c r="A856" s="5"/>
      <c r="B856" s="5"/>
      <c r="C856" s="5"/>
      <c r="D856" s="5"/>
      <c r="E856" s="6"/>
      <c r="F856" s="6"/>
      <c r="G856" s="6"/>
      <c r="H856" s="7"/>
      <c r="I856" s="8"/>
      <c r="J856" s="8"/>
      <c r="K856" s="8"/>
      <c r="L856" s="8"/>
      <c r="M856" s="8"/>
      <c r="N856" s="5"/>
      <c r="O856" s="5"/>
      <c r="P856" s="5"/>
      <c r="Q856" s="5"/>
      <c r="R856" s="5"/>
      <c r="S856" s="5"/>
      <c r="T856" s="5"/>
      <c r="U856" s="5"/>
    </row>
    <row r="857" spans="1:21" ht="19.5" customHeight="1" x14ac:dyDescent="0.3">
      <c r="A857" s="5"/>
      <c r="B857" s="5"/>
      <c r="C857" s="5"/>
      <c r="D857" s="5"/>
      <c r="E857" s="6"/>
      <c r="F857" s="6"/>
      <c r="G857" s="6"/>
      <c r="H857" s="7"/>
      <c r="I857" s="8"/>
      <c r="J857" s="8"/>
      <c r="K857" s="8"/>
      <c r="L857" s="8"/>
      <c r="M857" s="8"/>
      <c r="N857" s="5"/>
      <c r="O857" s="5"/>
      <c r="P857" s="5"/>
      <c r="Q857" s="5"/>
      <c r="R857" s="5"/>
      <c r="S857" s="5"/>
      <c r="T857" s="5"/>
      <c r="U857" s="5"/>
    </row>
    <row r="858" spans="1:21" ht="19.5" customHeight="1" x14ac:dyDescent="0.3">
      <c r="A858" s="5"/>
      <c r="B858" s="5"/>
      <c r="C858" s="5"/>
      <c r="D858" s="5"/>
      <c r="E858" s="6"/>
      <c r="F858" s="6"/>
      <c r="G858" s="6"/>
      <c r="H858" s="7"/>
      <c r="I858" s="8"/>
      <c r="J858" s="8"/>
      <c r="K858" s="8"/>
      <c r="L858" s="8"/>
      <c r="M858" s="8"/>
      <c r="N858" s="5"/>
      <c r="O858" s="5"/>
      <c r="P858" s="5"/>
      <c r="Q858" s="5"/>
      <c r="R858" s="5"/>
      <c r="S858" s="5"/>
      <c r="T858" s="5"/>
      <c r="U858" s="5"/>
    </row>
    <row r="859" spans="1:21" ht="19.5" customHeight="1" x14ac:dyDescent="0.3">
      <c r="A859" s="5"/>
      <c r="B859" s="5"/>
      <c r="C859" s="5"/>
      <c r="D859" s="5"/>
      <c r="E859" s="6"/>
      <c r="F859" s="6"/>
      <c r="G859" s="6"/>
      <c r="H859" s="7"/>
      <c r="I859" s="8"/>
      <c r="J859" s="8"/>
      <c r="K859" s="8"/>
      <c r="L859" s="8"/>
      <c r="M859" s="8"/>
      <c r="N859" s="5"/>
      <c r="O859" s="5"/>
      <c r="P859" s="5"/>
      <c r="Q859" s="5"/>
      <c r="R859" s="5"/>
      <c r="S859" s="5"/>
      <c r="T859" s="5"/>
      <c r="U859" s="5"/>
    </row>
    <row r="860" spans="1:21" ht="19.5" customHeight="1" x14ac:dyDescent="0.3">
      <c r="A860" s="5"/>
      <c r="B860" s="5"/>
      <c r="C860" s="5"/>
      <c r="D860" s="5"/>
      <c r="E860" s="6"/>
      <c r="F860" s="6"/>
      <c r="G860" s="6"/>
      <c r="H860" s="7"/>
      <c r="I860" s="8"/>
      <c r="J860" s="8"/>
      <c r="K860" s="8"/>
      <c r="L860" s="8"/>
      <c r="M860" s="8"/>
      <c r="N860" s="5"/>
      <c r="O860" s="5"/>
      <c r="P860" s="5"/>
      <c r="Q860" s="5"/>
      <c r="R860" s="5"/>
      <c r="S860" s="5"/>
      <c r="T860" s="5"/>
      <c r="U860" s="5"/>
    </row>
    <row r="861" spans="1:21" ht="19.5" customHeight="1" x14ac:dyDescent="0.3">
      <c r="A861" s="5"/>
      <c r="B861" s="5"/>
      <c r="C861" s="5"/>
      <c r="D861" s="5"/>
      <c r="E861" s="6"/>
      <c r="F861" s="6"/>
      <c r="G861" s="6"/>
      <c r="H861" s="7"/>
      <c r="I861" s="8"/>
      <c r="J861" s="8"/>
      <c r="K861" s="8"/>
      <c r="L861" s="8"/>
      <c r="M861" s="8"/>
      <c r="N861" s="5"/>
      <c r="O861" s="5"/>
      <c r="P861" s="5"/>
      <c r="Q861" s="5"/>
      <c r="R861" s="5"/>
      <c r="S861" s="5"/>
      <c r="T861" s="5"/>
      <c r="U861" s="5"/>
    </row>
    <row r="862" spans="1:21" ht="19.5" customHeight="1" x14ac:dyDescent="0.3">
      <c r="A862" s="5"/>
      <c r="B862" s="5"/>
      <c r="C862" s="5"/>
      <c r="D862" s="5"/>
      <c r="E862" s="6"/>
      <c r="F862" s="6"/>
      <c r="G862" s="6"/>
      <c r="H862" s="7"/>
      <c r="I862" s="8"/>
      <c r="J862" s="8"/>
      <c r="K862" s="8"/>
      <c r="L862" s="8"/>
      <c r="M862" s="8"/>
      <c r="N862" s="5"/>
      <c r="O862" s="5"/>
      <c r="P862" s="5"/>
      <c r="Q862" s="5"/>
      <c r="R862" s="5"/>
      <c r="S862" s="5"/>
      <c r="T862" s="5"/>
      <c r="U862" s="5"/>
    </row>
    <row r="863" spans="1:21" ht="19.5" customHeight="1" x14ac:dyDescent="0.3">
      <c r="A863" s="5"/>
      <c r="B863" s="5"/>
      <c r="C863" s="5"/>
      <c r="D863" s="5"/>
      <c r="E863" s="6"/>
      <c r="F863" s="6"/>
      <c r="G863" s="6"/>
      <c r="H863" s="7"/>
      <c r="I863" s="8"/>
      <c r="J863" s="8"/>
      <c r="K863" s="8"/>
      <c r="L863" s="8"/>
      <c r="M863" s="8"/>
      <c r="N863" s="5"/>
      <c r="O863" s="5"/>
      <c r="P863" s="5"/>
      <c r="Q863" s="5"/>
      <c r="R863" s="5"/>
      <c r="S863" s="5"/>
      <c r="T863" s="5"/>
      <c r="U863" s="5"/>
    </row>
    <row r="864" spans="1:21" ht="19.5" customHeight="1" x14ac:dyDescent="0.3">
      <c r="A864" s="5"/>
      <c r="B864" s="5"/>
      <c r="C864" s="5"/>
      <c r="D864" s="5"/>
      <c r="E864" s="6"/>
      <c r="F864" s="6"/>
      <c r="G864" s="6"/>
      <c r="H864" s="7"/>
      <c r="I864" s="8"/>
      <c r="J864" s="8"/>
      <c r="K864" s="8"/>
      <c r="L864" s="8"/>
      <c r="M864" s="8"/>
      <c r="N864" s="5"/>
      <c r="O864" s="5"/>
      <c r="P864" s="5"/>
      <c r="Q864" s="5"/>
      <c r="R864" s="5"/>
      <c r="S864" s="5"/>
      <c r="T864" s="5"/>
      <c r="U864" s="5"/>
    </row>
    <row r="865" spans="1:21" ht="19.5" customHeight="1" x14ac:dyDescent="0.3">
      <c r="A865" s="5"/>
      <c r="B865" s="5"/>
      <c r="C865" s="5"/>
      <c r="D865" s="5"/>
      <c r="E865" s="6"/>
      <c r="F865" s="6"/>
      <c r="G865" s="6"/>
      <c r="H865" s="7"/>
      <c r="I865" s="8"/>
      <c r="J865" s="8"/>
      <c r="K865" s="8"/>
      <c r="L865" s="8"/>
      <c r="M865" s="8"/>
      <c r="N865" s="5"/>
      <c r="O865" s="5"/>
      <c r="P865" s="5"/>
      <c r="Q865" s="5"/>
      <c r="R865" s="5"/>
      <c r="S865" s="5"/>
      <c r="T865" s="5"/>
      <c r="U865" s="5"/>
    </row>
    <row r="866" spans="1:21" ht="19.5" customHeight="1" x14ac:dyDescent="0.3">
      <c r="A866" s="5"/>
      <c r="B866" s="5"/>
      <c r="C866" s="5"/>
      <c r="D866" s="5"/>
      <c r="E866" s="6"/>
      <c r="F866" s="6"/>
      <c r="G866" s="6"/>
      <c r="H866" s="7"/>
      <c r="I866" s="8"/>
      <c r="J866" s="8"/>
      <c r="K866" s="8"/>
      <c r="L866" s="8"/>
      <c r="M866" s="8"/>
      <c r="N866" s="5"/>
      <c r="O866" s="5"/>
      <c r="P866" s="5"/>
      <c r="Q866" s="5"/>
      <c r="R866" s="5"/>
      <c r="S866" s="5"/>
      <c r="T866" s="5"/>
      <c r="U866" s="5"/>
    </row>
    <row r="867" spans="1:21" ht="19.5" customHeight="1" x14ac:dyDescent="0.3">
      <c r="A867" s="5"/>
      <c r="B867" s="5"/>
      <c r="C867" s="5"/>
      <c r="D867" s="5"/>
      <c r="E867" s="6"/>
      <c r="F867" s="6"/>
      <c r="G867" s="6"/>
      <c r="H867" s="7"/>
      <c r="I867" s="8"/>
      <c r="J867" s="8"/>
      <c r="K867" s="8"/>
      <c r="L867" s="8"/>
      <c r="M867" s="8"/>
      <c r="N867" s="5"/>
      <c r="O867" s="5"/>
      <c r="P867" s="5"/>
      <c r="Q867" s="5"/>
      <c r="R867" s="5"/>
      <c r="S867" s="5"/>
      <c r="T867" s="5"/>
      <c r="U867" s="5"/>
    </row>
    <row r="868" spans="1:21" ht="19.5" customHeight="1" x14ac:dyDescent="0.3">
      <c r="A868" s="5"/>
      <c r="B868" s="5"/>
      <c r="C868" s="5"/>
      <c r="D868" s="5"/>
      <c r="E868" s="6"/>
      <c r="F868" s="6"/>
      <c r="G868" s="6"/>
      <c r="H868" s="7"/>
      <c r="I868" s="8"/>
      <c r="J868" s="8"/>
      <c r="K868" s="8"/>
      <c r="L868" s="8"/>
      <c r="M868" s="8"/>
      <c r="N868" s="5"/>
      <c r="O868" s="5"/>
      <c r="P868" s="5"/>
      <c r="Q868" s="5"/>
      <c r="R868" s="5"/>
      <c r="S868" s="5"/>
      <c r="T868" s="5"/>
      <c r="U868" s="5"/>
    </row>
    <row r="869" spans="1:21" ht="19.5" customHeight="1" x14ac:dyDescent="0.3">
      <c r="A869" s="5"/>
      <c r="B869" s="5"/>
      <c r="C869" s="5"/>
      <c r="D869" s="5"/>
      <c r="E869" s="6"/>
      <c r="F869" s="6"/>
      <c r="G869" s="6"/>
      <c r="H869" s="7"/>
      <c r="I869" s="8"/>
      <c r="J869" s="8"/>
      <c r="K869" s="8"/>
      <c r="L869" s="8"/>
      <c r="M869" s="8"/>
      <c r="N869" s="5"/>
      <c r="O869" s="5"/>
      <c r="P869" s="5"/>
      <c r="Q869" s="5"/>
      <c r="R869" s="5"/>
      <c r="S869" s="5"/>
      <c r="T869" s="5"/>
      <c r="U869" s="5"/>
    </row>
    <row r="870" spans="1:21" ht="19.5" customHeight="1" x14ac:dyDescent="0.3">
      <c r="A870" s="5"/>
      <c r="B870" s="5"/>
      <c r="C870" s="5"/>
      <c r="D870" s="5"/>
      <c r="E870" s="6"/>
      <c r="F870" s="6"/>
      <c r="G870" s="6"/>
      <c r="H870" s="7"/>
      <c r="I870" s="8"/>
      <c r="J870" s="8"/>
      <c r="K870" s="8"/>
      <c r="L870" s="8"/>
      <c r="M870" s="8"/>
      <c r="N870" s="5"/>
      <c r="O870" s="5"/>
      <c r="P870" s="5"/>
      <c r="Q870" s="5"/>
      <c r="R870" s="5"/>
      <c r="S870" s="5"/>
      <c r="T870" s="5"/>
      <c r="U870" s="5"/>
    </row>
    <row r="871" spans="1:21" ht="19.5" customHeight="1" x14ac:dyDescent="0.3">
      <c r="A871" s="5"/>
      <c r="B871" s="5"/>
      <c r="C871" s="5"/>
      <c r="D871" s="5"/>
      <c r="E871" s="6"/>
      <c r="F871" s="6"/>
      <c r="G871" s="6"/>
      <c r="H871" s="7"/>
      <c r="I871" s="8"/>
      <c r="J871" s="8"/>
      <c r="K871" s="8"/>
      <c r="L871" s="8"/>
      <c r="M871" s="8"/>
      <c r="N871" s="5"/>
      <c r="O871" s="5"/>
      <c r="P871" s="5"/>
      <c r="Q871" s="5"/>
      <c r="R871" s="5"/>
      <c r="S871" s="5"/>
      <c r="T871" s="5"/>
      <c r="U871" s="5"/>
    </row>
    <row r="872" spans="1:21" ht="19.5" customHeight="1" x14ac:dyDescent="0.3">
      <c r="A872" s="5"/>
      <c r="B872" s="5"/>
      <c r="C872" s="5"/>
      <c r="D872" s="5"/>
      <c r="E872" s="6"/>
      <c r="F872" s="6"/>
      <c r="G872" s="6"/>
      <c r="H872" s="7"/>
      <c r="I872" s="8"/>
      <c r="J872" s="8"/>
      <c r="K872" s="8"/>
      <c r="L872" s="8"/>
      <c r="M872" s="8"/>
      <c r="N872" s="5"/>
      <c r="O872" s="5"/>
      <c r="P872" s="5"/>
      <c r="Q872" s="5"/>
      <c r="R872" s="5"/>
      <c r="S872" s="5"/>
      <c r="T872" s="5"/>
      <c r="U872" s="5"/>
    </row>
    <row r="873" spans="1:21" ht="19.5" customHeight="1" x14ac:dyDescent="0.3">
      <c r="A873" s="5"/>
      <c r="B873" s="5"/>
      <c r="C873" s="5"/>
      <c r="D873" s="5"/>
      <c r="E873" s="6"/>
      <c r="F873" s="6"/>
      <c r="G873" s="6"/>
      <c r="H873" s="7"/>
      <c r="I873" s="8"/>
      <c r="J873" s="8"/>
      <c r="K873" s="8"/>
      <c r="L873" s="8"/>
      <c r="M873" s="8"/>
      <c r="N873" s="5"/>
      <c r="O873" s="5"/>
      <c r="P873" s="5"/>
      <c r="Q873" s="5"/>
      <c r="R873" s="5"/>
      <c r="S873" s="5"/>
      <c r="T873" s="5"/>
      <c r="U873" s="5"/>
    </row>
    <row r="874" spans="1:21" ht="19.5" customHeight="1" x14ac:dyDescent="0.3">
      <c r="A874" s="5"/>
      <c r="B874" s="5"/>
      <c r="C874" s="5"/>
      <c r="D874" s="5"/>
      <c r="E874" s="6"/>
      <c r="F874" s="6"/>
      <c r="G874" s="6"/>
      <c r="H874" s="7"/>
      <c r="I874" s="8"/>
      <c r="J874" s="8"/>
      <c r="K874" s="8"/>
      <c r="L874" s="8"/>
      <c r="M874" s="8"/>
      <c r="N874" s="5"/>
      <c r="O874" s="5"/>
      <c r="P874" s="5"/>
      <c r="Q874" s="5"/>
      <c r="R874" s="5"/>
      <c r="S874" s="5"/>
      <c r="T874" s="5"/>
      <c r="U874" s="5"/>
    </row>
    <row r="875" spans="1:21" ht="19.5" customHeight="1" x14ac:dyDescent="0.3">
      <c r="A875" s="5"/>
      <c r="B875" s="5"/>
      <c r="C875" s="5"/>
      <c r="D875" s="5"/>
      <c r="E875" s="6"/>
      <c r="F875" s="6"/>
      <c r="G875" s="6"/>
      <c r="H875" s="7"/>
      <c r="I875" s="8"/>
      <c r="J875" s="8"/>
      <c r="K875" s="8"/>
      <c r="L875" s="8"/>
      <c r="M875" s="8"/>
      <c r="N875" s="5"/>
      <c r="O875" s="5"/>
      <c r="P875" s="5"/>
      <c r="Q875" s="5"/>
      <c r="R875" s="5"/>
      <c r="S875" s="5"/>
      <c r="T875" s="5"/>
      <c r="U875" s="5"/>
    </row>
    <row r="876" spans="1:21" ht="19.5" customHeight="1" x14ac:dyDescent="0.3">
      <c r="A876" s="5"/>
      <c r="B876" s="5"/>
      <c r="C876" s="5"/>
      <c r="D876" s="5"/>
      <c r="E876" s="6"/>
      <c r="F876" s="6"/>
      <c r="G876" s="6"/>
      <c r="H876" s="7"/>
      <c r="I876" s="8"/>
      <c r="J876" s="8"/>
      <c r="K876" s="8"/>
      <c r="L876" s="8"/>
      <c r="M876" s="8"/>
      <c r="N876" s="5"/>
      <c r="O876" s="5"/>
      <c r="P876" s="5"/>
      <c r="Q876" s="5"/>
      <c r="R876" s="5"/>
      <c r="S876" s="5"/>
      <c r="T876" s="5"/>
      <c r="U876" s="5"/>
    </row>
    <row r="877" spans="1:21" ht="19.5" customHeight="1" x14ac:dyDescent="0.3">
      <c r="A877" s="5"/>
      <c r="B877" s="5"/>
      <c r="C877" s="5"/>
      <c r="D877" s="5"/>
      <c r="E877" s="6"/>
      <c r="F877" s="6"/>
      <c r="G877" s="6"/>
      <c r="H877" s="7"/>
      <c r="I877" s="8"/>
      <c r="J877" s="8"/>
      <c r="K877" s="8"/>
      <c r="L877" s="8"/>
      <c r="M877" s="8"/>
      <c r="N877" s="5"/>
      <c r="O877" s="5"/>
      <c r="P877" s="5"/>
      <c r="Q877" s="5"/>
      <c r="R877" s="5"/>
      <c r="S877" s="5"/>
      <c r="T877" s="5"/>
      <c r="U877" s="5"/>
    </row>
    <row r="878" spans="1:21" ht="19.5" customHeight="1" x14ac:dyDescent="0.3">
      <c r="A878" s="5"/>
      <c r="B878" s="5"/>
      <c r="C878" s="5"/>
      <c r="D878" s="5"/>
      <c r="E878" s="6"/>
      <c r="F878" s="6"/>
      <c r="G878" s="6"/>
      <c r="H878" s="7"/>
      <c r="I878" s="8"/>
      <c r="J878" s="8"/>
      <c r="K878" s="8"/>
      <c r="L878" s="8"/>
      <c r="M878" s="8"/>
      <c r="N878" s="5"/>
      <c r="O878" s="5"/>
      <c r="P878" s="5"/>
      <c r="Q878" s="5"/>
      <c r="R878" s="5"/>
      <c r="S878" s="5"/>
      <c r="T878" s="5"/>
      <c r="U878" s="5"/>
    </row>
    <row r="879" spans="1:21" ht="19.5" customHeight="1" x14ac:dyDescent="0.3">
      <c r="A879" s="5"/>
      <c r="B879" s="5"/>
      <c r="C879" s="5"/>
      <c r="D879" s="5"/>
      <c r="E879" s="6"/>
      <c r="F879" s="6"/>
      <c r="G879" s="6"/>
      <c r="H879" s="7"/>
      <c r="I879" s="8"/>
      <c r="J879" s="8"/>
      <c r="K879" s="8"/>
      <c r="L879" s="8"/>
      <c r="M879" s="8"/>
      <c r="N879" s="5"/>
      <c r="O879" s="5"/>
      <c r="P879" s="5"/>
      <c r="Q879" s="5"/>
      <c r="R879" s="5"/>
      <c r="S879" s="5"/>
      <c r="T879" s="5"/>
      <c r="U879" s="5"/>
    </row>
    <row r="880" spans="1:21" ht="19.5" customHeight="1" x14ac:dyDescent="0.3">
      <c r="A880" s="5"/>
      <c r="B880" s="5"/>
      <c r="C880" s="5"/>
      <c r="D880" s="5"/>
      <c r="E880" s="6"/>
      <c r="F880" s="6"/>
      <c r="G880" s="6"/>
      <c r="H880" s="7"/>
      <c r="I880" s="8"/>
      <c r="J880" s="8"/>
      <c r="K880" s="8"/>
      <c r="L880" s="8"/>
      <c r="M880" s="8"/>
      <c r="N880" s="5"/>
      <c r="O880" s="5"/>
      <c r="P880" s="5"/>
      <c r="Q880" s="5"/>
      <c r="R880" s="5"/>
      <c r="S880" s="5"/>
      <c r="T880" s="5"/>
      <c r="U880" s="5"/>
    </row>
    <row r="881" spans="1:21" ht="19.5" customHeight="1" x14ac:dyDescent="0.3">
      <c r="A881" s="5"/>
      <c r="B881" s="5"/>
      <c r="C881" s="5"/>
      <c r="D881" s="5"/>
      <c r="E881" s="6"/>
      <c r="F881" s="6"/>
      <c r="G881" s="6"/>
      <c r="H881" s="7"/>
      <c r="I881" s="8"/>
      <c r="J881" s="8"/>
      <c r="K881" s="8"/>
      <c r="L881" s="8"/>
      <c r="M881" s="8"/>
      <c r="N881" s="5"/>
      <c r="O881" s="5"/>
      <c r="P881" s="5"/>
      <c r="Q881" s="5"/>
      <c r="R881" s="5"/>
      <c r="S881" s="5"/>
      <c r="T881" s="5"/>
      <c r="U881" s="5"/>
    </row>
    <row r="882" spans="1:21" ht="19.5" customHeight="1" x14ac:dyDescent="0.3">
      <c r="A882" s="5"/>
      <c r="B882" s="5"/>
      <c r="C882" s="5"/>
      <c r="D882" s="5"/>
      <c r="E882" s="6"/>
      <c r="F882" s="6"/>
      <c r="G882" s="6"/>
      <c r="H882" s="7"/>
      <c r="I882" s="8"/>
      <c r="J882" s="8"/>
      <c r="K882" s="8"/>
      <c r="L882" s="8"/>
      <c r="M882" s="8"/>
      <c r="N882" s="5"/>
      <c r="O882" s="5"/>
      <c r="P882" s="5"/>
      <c r="Q882" s="5"/>
      <c r="R882" s="5"/>
      <c r="S882" s="5"/>
      <c r="T882" s="5"/>
      <c r="U882" s="5"/>
    </row>
    <row r="883" spans="1:21" ht="19.5" customHeight="1" x14ac:dyDescent="0.3">
      <c r="A883" s="5"/>
      <c r="B883" s="5"/>
      <c r="C883" s="5"/>
      <c r="D883" s="5"/>
      <c r="E883" s="6"/>
      <c r="F883" s="6"/>
      <c r="G883" s="6"/>
      <c r="H883" s="7"/>
      <c r="I883" s="8"/>
      <c r="J883" s="8"/>
      <c r="K883" s="8"/>
      <c r="L883" s="8"/>
      <c r="M883" s="8"/>
      <c r="N883" s="5"/>
      <c r="O883" s="5"/>
      <c r="P883" s="5"/>
      <c r="Q883" s="5"/>
      <c r="R883" s="5"/>
      <c r="S883" s="5"/>
      <c r="T883" s="5"/>
      <c r="U883" s="5"/>
    </row>
    <row r="884" spans="1:21" ht="19.5" customHeight="1" x14ac:dyDescent="0.3">
      <c r="A884" s="5"/>
      <c r="B884" s="5"/>
      <c r="C884" s="5"/>
      <c r="D884" s="5"/>
      <c r="E884" s="6"/>
      <c r="F884" s="6"/>
      <c r="G884" s="6"/>
      <c r="H884" s="7"/>
      <c r="I884" s="8"/>
      <c r="J884" s="8"/>
      <c r="K884" s="8"/>
      <c r="L884" s="8"/>
      <c r="M884" s="8"/>
      <c r="N884" s="5"/>
      <c r="O884" s="5"/>
      <c r="P884" s="5"/>
      <c r="Q884" s="5"/>
      <c r="R884" s="5"/>
      <c r="S884" s="5"/>
      <c r="T884" s="5"/>
      <c r="U884" s="5"/>
    </row>
    <row r="885" spans="1:21" ht="19.5" customHeight="1" x14ac:dyDescent="0.3">
      <c r="A885" s="5"/>
      <c r="B885" s="5"/>
      <c r="C885" s="5"/>
      <c r="D885" s="5"/>
      <c r="E885" s="6"/>
      <c r="F885" s="6"/>
      <c r="G885" s="6"/>
      <c r="H885" s="7"/>
      <c r="I885" s="8"/>
      <c r="J885" s="8"/>
      <c r="K885" s="8"/>
      <c r="L885" s="8"/>
      <c r="M885" s="8"/>
      <c r="N885" s="5"/>
      <c r="O885" s="5"/>
      <c r="P885" s="5"/>
      <c r="Q885" s="5"/>
      <c r="R885" s="5"/>
      <c r="S885" s="5"/>
      <c r="T885" s="5"/>
      <c r="U885" s="5"/>
    </row>
    <row r="886" spans="1:21" ht="19.5" customHeight="1" x14ac:dyDescent="0.3">
      <c r="A886" s="5"/>
      <c r="B886" s="5"/>
      <c r="C886" s="5"/>
      <c r="D886" s="5"/>
      <c r="E886" s="6"/>
      <c r="F886" s="6"/>
      <c r="G886" s="6"/>
      <c r="H886" s="7"/>
      <c r="I886" s="8"/>
      <c r="J886" s="8"/>
      <c r="K886" s="8"/>
      <c r="L886" s="8"/>
      <c r="M886" s="8"/>
      <c r="N886" s="5"/>
      <c r="O886" s="5"/>
      <c r="P886" s="5"/>
      <c r="Q886" s="5"/>
      <c r="R886" s="5"/>
      <c r="S886" s="5"/>
      <c r="T886" s="5"/>
      <c r="U886" s="5"/>
    </row>
    <row r="887" spans="1:21" ht="19.5" customHeight="1" x14ac:dyDescent="0.3">
      <c r="A887" s="5"/>
      <c r="B887" s="5"/>
      <c r="C887" s="5"/>
      <c r="D887" s="5"/>
      <c r="E887" s="6"/>
      <c r="F887" s="6"/>
      <c r="G887" s="6"/>
      <c r="H887" s="7"/>
      <c r="I887" s="8"/>
      <c r="J887" s="8"/>
      <c r="K887" s="8"/>
      <c r="L887" s="8"/>
      <c r="M887" s="8"/>
      <c r="N887" s="5"/>
      <c r="O887" s="5"/>
      <c r="P887" s="5"/>
      <c r="Q887" s="5"/>
      <c r="R887" s="5"/>
      <c r="S887" s="5"/>
      <c r="T887" s="5"/>
      <c r="U887" s="5"/>
    </row>
    <row r="888" spans="1:21" ht="19.5" customHeight="1" x14ac:dyDescent="0.3">
      <c r="A888" s="5"/>
      <c r="B888" s="5"/>
      <c r="C888" s="5"/>
      <c r="D888" s="5"/>
      <c r="E888" s="6"/>
      <c r="F888" s="6"/>
      <c r="G888" s="6"/>
      <c r="H888" s="7"/>
      <c r="I888" s="8"/>
      <c r="J888" s="8"/>
      <c r="K888" s="8"/>
      <c r="L888" s="8"/>
      <c r="M888" s="8"/>
      <c r="N888" s="5"/>
      <c r="O888" s="5"/>
      <c r="P888" s="5"/>
      <c r="Q888" s="5"/>
      <c r="R888" s="5"/>
      <c r="S888" s="5"/>
      <c r="T888" s="5"/>
      <c r="U888" s="5"/>
    </row>
    <row r="889" spans="1:21" ht="19.5" customHeight="1" x14ac:dyDescent="0.3">
      <c r="A889" s="5"/>
      <c r="B889" s="5"/>
      <c r="C889" s="5"/>
      <c r="D889" s="5"/>
      <c r="E889" s="6"/>
      <c r="F889" s="6"/>
      <c r="G889" s="6"/>
      <c r="H889" s="7"/>
      <c r="I889" s="8"/>
      <c r="J889" s="8"/>
      <c r="K889" s="8"/>
      <c r="L889" s="8"/>
      <c r="M889" s="8"/>
      <c r="N889" s="5"/>
      <c r="O889" s="5"/>
      <c r="P889" s="5"/>
      <c r="Q889" s="5"/>
      <c r="R889" s="5"/>
      <c r="S889" s="5"/>
      <c r="T889" s="5"/>
      <c r="U889" s="5"/>
    </row>
    <row r="890" spans="1:21" ht="19.5" customHeight="1" x14ac:dyDescent="0.3">
      <c r="A890" s="5"/>
      <c r="B890" s="5"/>
      <c r="C890" s="5"/>
      <c r="D890" s="5"/>
      <c r="E890" s="6"/>
      <c r="F890" s="6"/>
      <c r="G890" s="6"/>
      <c r="H890" s="7"/>
      <c r="I890" s="8"/>
      <c r="J890" s="8"/>
      <c r="K890" s="8"/>
      <c r="L890" s="8"/>
      <c r="M890" s="8"/>
      <c r="N890" s="5"/>
      <c r="O890" s="5"/>
      <c r="P890" s="5"/>
      <c r="Q890" s="5"/>
      <c r="R890" s="5"/>
      <c r="S890" s="5"/>
      <c r="T890" s="5"/>
      <c r="U890" s="5"/>
    </row>
    <row r="891" spans="1:21" ht="19.5" customHeight="1" x14ac:dyDescent="0.3">
      <c r="A891" s="5"/>
      <c r="B891" s="5"/>
      <c r="C891" s="5"/>
      <c r="D891" s="5"/>
      <c r="E891" s="6"/>
      <c r="F891" s="6"/>
      <c r="G891" s="6"/>
      <c r="H891" s="7"/>
      <c r="I891" s="8"/>
      <c r="J891" s="8"/>
      <c r="K891" s="8"/>
      <c r="L891" s="8"/>
      <c r="M891" s="8"/>
      <c r="N891" s="5"/>
      <c r="O891" s="5"/>
      <c r="P891" s="5"/>
      <c r="Q891" s="5"/>
      <c r="R891" s="5"/>
      <c r="S891" s="5"/>
      <c r="T891" s="5"/>
      <c r="U891" s="5"/>
    </row>
    <row r="892" spans="1:21" ht="19.5" customHeight="1" x14ac:dyDescent="0.3">
      <c r="A892" s="5"/>
      <c r="B892" s="5"/>
      <c r="C892" s="5"/>
      <c r="D892" s="5"/>
      <c r="E892" s="6"/>
      <c r="F892" s="6"/>
      <c r="G892" s="6"/>
      <c r="H892" s="7"/>
      <c r="I892" s="8"/>
      <c r="J892" s="8"/>
      <c r="K892" s="8"/>
      <c r="L892" s="8"/>
      <c r="M892" s="8"/>
      <c r="N892" s="5"/>
      <c r="O892" s="5"/>
      <c r="P892" s="5"/>
      <c r="Q892" s="5"/>
      <c r="R892" s="5"/>
      <c r="S892" s="5"/>
      <c r="T892" s="5"/>
      <c r="U892" s="5"/>
    </row>
    <row r="893" spans="1:21" ht="19.5" customHeight="1" x14ac:dyDescent="0.3">
      <c r="A893" s="5"/>
      <c r="B893" s="5"/>
      <c r="C893" s="5"/>
      <c r="D893" s="5"/>
      <c r="E893" s="6"/>
      <c r="F893" s="6"/>
      <c r="G893" s="6"/>
      <c r="H893" s="7"/>
      <c r="I893" s="8"/>
      <c r="J893" s="8"/>
      <c r="K893" s="8"/>
      <c r="L893" s="8"/>
      <c r="M893" s="8"/>
      <c r="N893" s="5"/>
      <c r="O893" s="5"/>
      <c r="P893" s="5"/>
      <c r="Q893" s="5"/>
      <c r="R893" s="5"/>
      <c r="S893" s="5"/>
      <c r="T893" s="5"/>
      <c r="U893" s="5"/>
    </row>
    <row r="894" spans="1:21" ht="19.5" customHeight="1" x14ac:dyDescent="0.3">
      <c r="A894" s="5"/>
      <c r="B894" s="5"/>
      <c r="C894" s="5"/>
      <c r="D894" s="5"/>
      <c r="E894" s="6"/>
      <c r="F894" s="6"/>
      <c r="G894" s="6"/>
      <c r="H894" s="7"/>
      <c r="I894" s="8"/>
      <c r="J894" s="8"/>
      <c r="K894" s="8"/>
      <c r="L894" s="8"/>
      <c r="M894" s="8"/>
      <c r="N894" s="5"/>
      <c r="O894" s="5"/>
      <c r="P894" s="5"/>
      <c r="Q894" s="5"/>
      <c r="R894" s="5"/>
      <c r="S894" s="5"/>
      <c r="T894" s="5"/>
      <c r="U894" s="5"/>
    </row>
    <row r="895" spans="1:21" ht="19.5" customHeight="1" x14ac:dyDescent="0.3">
      <c r="A895" s="5"/>
      <c r="B895" s="5"/>
      <c r="C895" s="5"/>
      <c r="D895" s="5"/>
      <c r="E895" s="6"/>
      <c r="F895" s="6"/>
      <c r="G895" s="6"/>
      <c r="H895" s="7"/>
      <c r="I895" s="8"/>
      <c r="J895" s="8"/>
      <c r="K895" s="8"/>
      <c r="L895" s="8"/>
      <c r="M895" s="8"/>
      <c r="N895" s="5"/>
      <c r="O895" s="5"/>
      <c r="P895" s="5"/>
      <c r="Q895" s="5"/>
      <c r="R895" s="5"/>
      <c r="S895" s="5"/>
      <c r="T895" s="5"/>
      <c r="U895" s="5"/>
    </row>
    <row r="896" spans="1:21" ht="19.5" customHeight="1" x14ac:dyDescent="0.3">
      <c r="A896" s="5"/>
      <c r="B896" s="5"/>
      <c r="C896" s="5"/>
      <c r="D896" s="5"/>
      <c r="E896" s="6"/>
      <c r="F896" s="6"/>
      <c r="G896" s="6"/>
      <c r="H896" s="7"/>
      <c r="I896" s="8"/>
      <c r="J896" s="8"/>
      <c r="K896" s="8"/>
      <c r="L896" s="8"/>
      <c r="M896" s="8"/>
      <c r="N896" s="5"/>
      <c r="O896" s="5"/>
      <c r="P896" s="5"/>
      <c r="Q896" s="5"/>
      <c r="R896" s="5"/>
      <c r="S896" s="5"/>
      <c r="T896" s="5"/>
      <c r="U896" s="5"/>
    </row>
    <row r="897" spans="1:21" ht="19.5" customHeight="1" x14ac:dyDescent="0.3">
      <c r="A897" s="5"/>
      <c r="B897" s="5"/>
      <c r="C897" s="5"/>
      <c r="D897" s="5"/>
      <c r="E897" s="6"/>
      <c r="F897" s="6"/>
      <c r="G897" s="6"/>
      <c r="H897" s="7"/>
      <c r="I897" s="8"/>
      <c r="J897" s="8"/>
      <c r="K897" s="8"/>
      <c r="L897" s="8"/>
      <c r="M897" s="8"/>
      <c r="N897" s="5"/>
      <c r="O897" s="5"/>
      <c r="P897" s="5"/>
      <c r="Q897" s="5"/>
      <c r="R897" s="5"/>
      <c r="S897" s="5"/>
      <c r="T897" s="5"/>
      <c r="U897" s="5"/>
    </row>
    <row r="898" spans="1:21" ht="19.5" customHeight="1" x14ac:dyDescent="0.3">
      <c r="A898" s="5"/>
      <c r="B898" s="5"/>
      <c r="C898" s="5"/>
      <c r="D898" s="5"/>
      <c r="E898" s="6"/>
      <c r="F898" s="6"/>
      <c r="G898" s="6"/>
      <c r="H898" s="7"/>
      <c r="I898" s="8"/>
      <c r="J898" s="8"/>
      <c r="K898" s="8"/>
      <c r="L898" s="8"/>
      <c r="M898" s="8"/>
      <c r="N898" s="5"/>
      <c r="O898" s="5"/>
      <c r="P898" s="5"/>
      <c r="Q898" s="5"/>
      <c r="R898" s="5"/>
      <c r="S898" s="5"/>
      <c r="T898" s="5"/>
      <c r="U898" s="5"/>
    </row>
    <row r="899" spans="1:21" ht="19.5" customHeight="1" x14ac:dyDescent="0.3">
      <c r="A899" s="5"/>
      <c r="B899" s="5"/>
      <c r="C899" s="5"/>
      <c r="D899" s="5"/>
      <c r="E899" s="6"/>
      <c r="F899" s="6"/>
      <c r="G899" s="6"/>
      <c r="H899" s="7"/>
      <c r="I899" s="8"/>
      <c r="J899" s="8"/>
      <c r="K899" s="8"/>
      <c r="L899" s="8"/>
      <c r="M899" s="8"/>
      <c r="N899" s="5"/>
      <c r="O899" s="5"/>
      <c r="P899" s="5"/>
      <c r="Q899" s="5"/>
      <c r="R899" s="5"/>
      <c r="S899" s="5"/>
      <c r="T899" s="5"/>
      <c r="U899" s="5"/>
    </row>
    <row r="900" spans="1:21" ht="19.5" customHeight="1" x14ac:dyDescent="0.3">
      <c r="A900" s="5"/>
      <c r="B900" s="5"/>
      <c r="C900" s="5"/>
      <c r="D900" s="5"/>
      <c r="E900" s="6"/>
      <c r="F900" s="6"/>
      <c r="G900" s="6"/>
      <c r="H900" s="7"/>
      <c r="I900" s="8"/>
      <c r="J900" s="8"/>
      <c r="K900" s="8"/>
      <c r="L900" s="8"/>
      <c r="M900" s="8"/>
      <c r="N900" s="5"/>
      <c r="O900" s="5"/>
      <c r="P900" s="5"/>
      <c r="Q900" s="5"/>
      <c r="R900" s="5"/>
      <c r="S900" s="5"/>
      <c r="T900" s="5"/>
      <c r="U900" s="5"/>
    </row>
    <row r="901" spans="1:21" ht="19.5" customHeight="1" x14ac:dyDescent="0.3">
      <c r="A901" s="5"/>
      <c r="B901" s="5"/>
      <c r="C901" s="5"/>
      <c r="D901" s="5"/>
      <c r="E901" s="6"/>
      <c r="F901" s="6"/>
      <c r="G901" s="6"/>
      <c r="H901" s="7"/>
      <c r="I901" s="8"/>
      <c r="J901" s="8"/>
      <c r="K901" s="8"/>
      <c r="L901" s="8"/>
      <c r="M901" s="8"/>
      <c r="N901" s="5"/>
      <c r="O901" s="5"/>
      <c r="P901" s="5"/>
      <c r="Q901" s="5"/>
      <c r="R901" s="5"/>
      <c r="S901" s="5"/>
      <c r="T901" s="5"/>
      <c r="U901" s="5"/>
    </row>
    <row r="902" spans="1:21" ht="19.5" customHeight="1" x14ac:dyDescent="0.3">
      <c r="A902" s="5"/>
      <c r="B902" s="5"/>
      <c r="C902" s="5"/>
      <c r="D902" s="5"/>
      <c r="E902" s="6"/>
      <c r="F902" s="6"/>
      <c r="G902" s="6"/>
      <c r="H902" s="7"/>
      <c r="I902" s="8"/>
      <c r="J902" s="8"/>
      <c r="K902" s="8"/>
      <c r="L902" s="8"/>
      <c r="M902" s="8"/>
      <c r="N902" s="5"/>
      <c r="O902" s="5"/>
      <c r="P902" s="5"/>
      <c r="Q902" s="5"/>
      <c r="R902" s="5"/>
      <c r="S902" s="5"/>
      <c r="T902" s="5"/>
      <c r="U902" s="5"/>
    </row>
    <row r="903" spans="1:21" ht="19.5" customHeight="1" x14ac:dyDescent="0.3">
      <c r="A903" s="5"/>
      <c r="B903" s="5"/>
      <c r="C903" s="5"/>
      <c r="D903" s="5"/>
      <c r="E903" s="6"/>
      <c r="F903" s="6"/>
      <c r="G903" s="6"/>
      <c r="H903" s="7"/>
      <c r="I903" s="8"/>
      <c r="J903" s="8"/>
      <c r="K903" s="8"/>
      <c r="L903" s="8"/>
      <c r="M903" s="8"/>
      <c r="N903" s="5"/>
      <c r="O903" s="5"/>
      <c r="P903" s="5"/>
      <c r="Q903" s="5"/>
      <c r="R903" s="5"/>
      <c r="S903" s="5"/>
      <c r="T903" s="5"/>
      <c r="U903" s="5"/>
    </row>
    <row r="904" spans="1:21" ht="19.5" customHeight="1" x14ac:dyDescent="0.3">
      <c r="A904" s="5"/>
      <c r="B904" s="5"/>
      <c r="C904" s="5"/>
      <c r="D904" s="5"/>
      <c r="E904" s="6"/>
      <c r="F904" s="6"/>
      <c r="G904" s="6"/>
      <c r="H904" s="7"/>
      <c r="I904" s="8"/>
      <c r="J904" s="8"/>
      <c r="K904" s="8"/>
      <c r="L904" s="8"/>
      <c r="M904" s="8"/>
      <c r="N904" s="5"/>
      <c r="O904" s="5"/>
      <c r="P904" s="5"/>
      <c r="Q904" s="5"/>
      <c r="R904" s="5"/>
      <c r="S904" s="5"/>
      <c r="T904" s="5"/>
      <c r="U904" s="5"/>
    </row>
    <row r="905" spans="1:21" ht="19.5" customHeight="1" x14ac:dyDescent="0.3">
      <c r="A905" s="5"/>
      <c r="B905" s="5"/>
      <c r="C905" s="5"/>
      <c r="D905" s="5"/>
      <c r="E905" s="6"/>
      <c r="F905" s="6"/>
      <c r="G905" s="6"/>
      <c r="H905" s="7"/>
      <c r="I905" s="8"/>
      <c r="J905" s="8"/>
      <c r="K905" s="8"/>
      <c r="L905" s="8"/>
      <c r="M905" s="8"/>
      <c r="N905" s="5"/>
      <c r="O905" s="5"/>
      <c r="P905" s="5"/>
      <c r="Q905" s="5"/>
      <c r="R905" s="5"/>
      <c r="S905" s="5"/>
      <c r="T905" s="5"/>
      <c r="U905" s="5"/>
    </row>
    <row r="906" spans="1:21" ht="19.5" customHeight="1" x14ac:dyDescent="0.3">
      <c r="A906" s="5"/>
      <c r="B906" s="5"/>
      <c r="C906" s="5"/>
      <c r="D906" s="5"/>
      <c r="E906" s="6"/>
      <c r="F906" s="6"/>
      <c r="G906" s="6"/>
      <c r="H906" s="7"/>
      <c r="I906" s="8"/>
      <c r="J906" s="8"/>
      <c r="K906" s="8"/>
      <c r="L906" s="8"/>
      <c r="M906" s="8"/>
      <c r="N906" s="5"/>
      <c r="O906" s="5"/>
      <c r="P906" s="5"/>
      <c r="Q906" s="5"/>
      <c r="R906" s="5"/>
      <c r="S906" s="5"/>
      <c r="T906" s="5"/>
      <c r="U906" s="5"/>
    </row>
    <row r="907" spans="1:21" ht="19.5" customHeight="1" x14ac:dyDescent="0.3">
      <c r="A907" s="5"/>
      <c r="B907" s="5"/>
      <c r="C907" s="5"/>
      <c r="D907" s="5"/>
      <c r="E907" s="6"/>
      <c r="F907" s="6"/>
      <c r="G907" s="6"/>
      <c r="H907" s="7"/>
      <c r="I907" s="8"/>
      <c r="J907" s="8"/>
      <c r="K907" s="8"/>
      <c r="L907" s="8"/>
      <c r="M907" s="8"/>
      <c r="N907" s="5"/>
      <c r="O907" s="5"/>
      <c r="P907" s="5"/>
      <c r="Q907" s="5"/>
      <c r="R907" s="5"/>
      <c r="S907" s="5"/>
      <c r="T907" s="5"/>
      <c r="U907" s="5"/>
    </row>
    <row r="908" spans="1:21" ht="19.5" customHeight="1" x14ac:dyDescent="0.3">
      <c r="A908" s="5"/>
      <c r="B908" s="5"/>
      <c r="C908" s="5"/>
      <c r="D908" s="5"/>
      <c r="E908" s="6"/>
      <c r="F908" s="6"/>
      <c r="G908" s="6"/>
      <c r="H908" s="7"/>
      <c r="I908" s="8"/>
      <c r="J908" s="8"/>
      <c r="K908" s="8"/>
      <c r="L908" s="8"/>
      <c r="M908" s="8"/>
      <c r="N908" s="5"/>
      <c r="O908" s="5"/>
      <c r="P908" s="5"/>
      <c r="Q908" s="5"/>
      <c r="R908" s="5"/>
      <c r="S908" s="5"/>
      <c r="T908" s="5"/>
      <c r="U908" s="5"/>
    </row>
    <row r="909" spans="1:21" ht="19.5" customHeight="1" x14ac:dyDescent="0.3">
      <c r="A909" s="5"/>
      <c r="B909" s="5"/>
      <c r="C909" s="5"/>
      <c r="D909" s="5"/>
      <c r="E909" s="6"/>
      <c r="F909" s="6"/>
      <c r="G909" s="6"/>
      <c r="H909" s="7"/>
      <c r="I909" s="8"/>
      <c r="J909" s="8"/>
      <c r="K909" s="8"/>
      <c r="L909" s="8"/>
      <c r="M909" s="8"/>
      <c r="N909" s="5"/>
      <c r="O909" s="5"/>
      <c r="P909" s="5"/>
      <c r="Q909" s="5"/>
      <c r="R909" s="5"/>
      <c r="S909" s="5"/>
      <c r="T909" s="5"/>
      <c r="U909" s="5"/>
    </row>
    <row r="910" spans="1:21" ht="19.5" customHeight="1" x14ac:dyDescent="0.3">
      <c r="A910" s="5"/>
      <c r="B910" s="5"/>
      <c r="C910" s="5"/>
      <c r="D910" s="5"/>
      <c r="E910" s="6"/>
      <c r="F910" s="6"/>
      <c r="G910" s="6"/>
      <c r="H910" s="7"/>
      <c r="I910" s="8"/>
      <c r="J910" s="8"/>
      <c r="K910" s="8"/>
      <c r="L910" s="8"/>
      <c r="M910" s="8"/>
      <c r="N910" s="5"/>
      <c r="O910" s="5"/>
      <c r="P910" s="5"/>
      <c r="Q910" s="5"/>
      <c r="R910" s="5"/>
      <c r="S910" s="5"/>
      <c r="T910" s="5"/>
      <c r="U910" s="5"/>
    </row>
    <row r="911" spans="1:21" ht="19.5" customHeight="1" x14ac:dyDescent="0.3">
      <c r="A911" s="5"/>
      <c r="B911" s="5"/>
      <c r="C911" s="5"/>
      <c r="D911" s="5"/>
      <c r="E911" s="6"/>
      <c r="F911" s="6"/>
      <c r="G911" s="6"/>
      <c r="H911" s="7"/>
      <c r="I911" s="8"/>
      <c r="J911" s="8"/>
      <c r="K911" s="8"/>
      <c r="L911" s="8"/>
      <c r="M911" s="8"/>
      <c r="N911" s="5"/>
      <c r="O911" s="5"/>
      <c r="P911" s="5"/>
      <c r="Q911" s="5"/>
      <c r="R911" s="5"/>
      <c r="S911" s="5"/>
      <c r="T911" s="5"/>
      <c r="U911" s="5"/>
    </row>
    <row r="912" spans="1:21" ht="19.5" customHeight="1" x14ac:dyDescent="0.3">
      <c r="A912" s="5"/>
      <c r="B912" s="5"/>
      <c r="C912" s="5"/>
      <c r="D912" s="5"/>
      <c r="E912" s="6"/>
      <c r="F912" s="6"/>
      <c r="G912" s="6"/>
      <c r="H912" s="7"/>
      <c r="I912" s="8"/>
      <c r="J912" s="8"/>
      <c r="K912" s="8"/>
      <c r="L912" s="8"/>
      <c r="M912" s="8"/>
      <c r="N912" s="5"/>
      <c r="O912" s="5"/>
      <c r="P912" s="5"/>
      <c r="Q912" s="5"/>
      <c r="R912" s="5"/>
      <c r="S912" s="5"/>
      <c r="T912" s="5"/>
      <c r="U912" s="5"/>
    </row>
    <row r="913" spans="1:21" ht="19.5" customHeight="1" x14ac:dyDescent="0.3">
      <c r="A913" s="5"/>
      <c r="B913" s="5"/>
      <c r="C913" s="5"/>
      <c r="D913" s="5"/>
      <c r="E913" s="6"/>
      <c r="F913" s="6"/>
      <c r="G913" s="6"/>
      <c r="H913" s="7"/>
      <c r="I913" s="8"/>
      <c r="J913" s="8"/>
      <c r="K913" s="8"/>
      <c r="L913" s="8"/>
      <c r="M913" s="8"/>
      <c r="N913" s="5"/>
      <c r="O913" s="5"/>
      <c r="P913" s="5"/>
      <c r="Q913" s="5"/>
      <c r="R913" s="5"/>
      <c r="S913" s="5"/>
      <c r="T913" s="5"/>
      <c r="U913" s="5"/>
    </row>
    <row r="914" spans="1:21" ht="19.5" customHeight="1" x14ac:dyDescent="0.3">
      <c r="A914" s="5"/>
      <c r="B914" s="5"/>
      <c r="C914" s="5"/>
      <c r="D914" s="5"/>
      <c r="E914" s="6"/>
      <c r="F914" s="6"/>
      <c r="G914" s="6"/>
      <c r="H914" s="7"/>
      <c r="I914" s="8"/>
      <c r="J914" s="8"/>
      <c r="K914" s="8"/>
      <c r="L914" s="8"/>
      <c r="M914" s="8"/>
      <c r="N914" s="5"/>
      <c r="O914" s="5"/>
      <c r="P914" s="5"/>
      <c r="Q914" s="5"/>
      <c r="R914" s="5"/>
      <c r="S914" s="5"/>
      <c r="T914" s="5"/>
      <c r="U914" s="5"/>
    </row>
    <row r="915" spans="1:21" ht="19.5" customHeight="1" x14ac:dyDescent="0.3">
      <c r="A915" s="5"/>
      <c r="B915" s="5"/>
      <c r="C915" s="5"/>
      <c r="D915" s="5"/>
      <c r="E915" s="6"/>
      <c r="F915" s="6"/>
      <c r="G915" s="6"/>
      <c r="H915" s="7"/>
      <c r="I915" s="8"/>
      <c r="J915" s="8"/>
      <c r="K915" s="8"/>
      <c r="L915" s="8"/>
      <c r="M915" s="8"/>
      <c r="N915" s="5"/>
      <c r="O915" s="5"/>
      <c r="P915" s="5"/>
      <c r="Q915" s="5"/>
      <c r="R915" s="5"/>
      <c r="S915" s="5"/>
      <c r="T915" s="5"/>
      <c r="U915" s="5"/>
    </row>
    <row r="916" spans="1:21" ht="19.5" customHeight="1" x14ac:dyDescent="0.3">
      <c r="A916" s="5"/>
      <c r="B916" s="5"/>
      <c r="C916" s="5"/>
      <c r="D916" s="5"/>
      <c r="E916" s="6"/>
      <c r="F916" s="6"/>
      <c r="G916" s="6"/>
      <c r="H916" s="7"/>
      <c r="I916" s="8"/>
      <c r="J916" s="8"/>
      <c r="K916" s="8"/>
      <c r="L916" s="8"/>
      <c r="M916" s="8"/>
      <c r="N916" s="5"/>
      <c r="O916" s="5"/>
      <c r="P916" s="5"/>
      <c r="Q916" s="5"/>
      <c r="R916" s="5"/>
      <c r="S916" s="5"/>
      <c r="T916" s="5"/>
      <c r="U916" s="5"/>
    </row>
    <row r="917" spans="1:21" ht="19.5" customHeight="1" x14ac:dyDescent="0.3">
      <c r="A917" s="5"/>
      <c r="B917" s="5"/>
      <c r="C917" s="5"/>
      <c r="D917" s="5"/>
      <c r="E917" s="6"/>
      <c r="F917" s="6"/>
      <c r="G917" s="6"/>
      <c r="H917" s="7"/>
      <c r="I917" s="8"/>
      <c r="J917" s="8"/>
      <c r="K917" s="8"/>
      <c r="L917" s="8"/>
      <c r="M917" s="8"/>
      <c r="N917" s="5"/>
      <c r="O917" s="5"/>
      <c r="P917" s="5"/>
      <c r="Q917" s="5"/>
      <c r="R917" s="5"/>
      <c r="S917" s="5"/>
      <c r="T917" s="5"/>
      <c r="U917" s="5"/>
    </row>
    <row r="918" spans="1:21" ht="19.5" customHeight="1" x14ac:dyDescent="0.3">
      <c r="A918" s="5"/>
      <c r="B918" s="5"/>
      <c r="C918" s="5"/>
      <c r="D918" s="5"/>
      <c r="E918" s="6"/>
      <c r="F918" s="6"/>
      <c r="G918" s="6"/>
      <c r="H918" s="7"/>
      <c r="I918" s="8"/>
      <c r="J918" s="8"/>
      <c r="K918" s="8"/>
      <c r="L918" s="8"/>
      <c r="M918" s="8"/>
      <c r="N918" s="5"/>
      <c r="O918" s="5"/>
      <c r="P918" s="5"/>
      <c r="Q918" s="5"/>
      <c r="R918" s="5"/>
      <c r="S918" s="5"/>
      <c r="T918" s="5"/>
      <c r="U918" s="5"/>
    </row>
    <row r="919" spans="1:21" ht="19.5" customHeight="1" x14ac:dyDescent="0.3">
      <c r="A919" s="5"/>
      <c r="B919" s="5"/>
      <c r="C919" s="5"/>
      <c r="D919" s="5"/>
      <c r="E919" s="6"/>
      <c r="F919" s="6"/>
      <c r="G919" s="6"/>
      <c r="H919" s="7"/>
      <c r="I919" s="8"/>
      <c r="J919" s="8"/>
      <c r="K919" s="8"/>
      <c r="L919" s="8"/>
      <c r="M919" s="8"/>
      <c r="N919" s="5"/>
      <c r="O919" s="5"/>
      <c r="P919" s="5"/>
      <c r="Q919" s="5"/>
      <c r="R919" s="5"/>
      <c r="S919" s="5"/>
      <c r="T919" s="5"/>
      <c r="U919" s="5"/>
    </row>
    <row r="920" spans="1:21" ht="19.5" customHeight="1" x14ac:dyDescent="0.3">
      <c r="A920" s="5"/>
      <c r="B920" s="5"/>
      <c r="C920" s="5"/>
      <c r="D920" s="5"/>
      <c r="E920" s="6"/>
      <c r="F920" s="6"/>
      <c r="G920" s="6"/>
      <c r="H920" s="7"/>
      <c r="I920" s="8"/>
      <c r="J920" s="8"/>
      <c r="K920" s="8"/>
      <c r="L920" s="8"/>
      <c r="M920" s="8"/>
      <c r="N920" s="5"/>
      <c r="O920" s="5"/>
      <c r="P920" s="5"/>
      <c r="Q920" s="5"/>
      <c r="R920" s="5"/>
      <c r="S920" s="5"/>
      <c r="T920" s="5"/>
      <c r="U920" s="5"/>
    </row>
    <row r="921" spans="1:21" ht="19.5" customHeight="1" x14ac:dyDescent="0.3">
      <c r="A921" s="5"/>
      <c r="B921" s="5"/>
      <c r="C921" s="5"/>
      <c r="D921" s="5"/>
      <c r="E921" s="6"/>
      <c r="F921" s="6"/>
      <c r="G921" s="6"/>
      <c r="H921" s="7"/>
      <c r="I921" s="8"/>
      <c r="J921" s="8"/>
      <c r="K921" s="8"/>
      <c r="L921" s="8"/>
      <c r="M921" s="8"/>
      <c r="N921" s="5"/>
      <c r="O921" s="5"/>
      <c r="P921" s="5"/>
      <c r="Q921" s="5"/>
      <c r="R921" s="5"/>
      <c r="S921" s="5"/>
      <c r="T921" s="5"/>
      <c r="U921" s="5"/>
    </row>
    <row r="922" spans="1:21" ht="19.5" customHeight="1" x14ac:dyDescent="0.3">
      <c r="A922" s="5"/>
      <c r="B922" s="5"/>
      <c r="C922" s="5"/>
      <c r="D922" s="5"/>
      <c r="E922" s="6"/>
      <c r="F922" s="6"/>
      <c r="G922" s="6"/>
      <c r="H922" s="7"/>
      <c r="I922" s="8"/>
      <c r="J922" s="8"/>
      <c r="K922" s="8"/>
      <c r="L922" s="8"/>
      <c r="M922" s="8"/>
      <c r="N922" s="5"/>
      <c r="O922" s="5"/>
      <c r="P922" s="5"/>
      <c r="Q922" s="5"/>
      <c r="R922" s="5"/>
      <c r="S922" s="5"/>
      <c r="T922" s="5"/>
      <c r="U922" s="5"/>
    </row>
    <row r="923" spans="1:21" ht="19.5" customHeight="1" x14ac:dyDescent="0.3">
      <c r="A923" s="5"/>
      <c r="B923" s="5"/>
      <c r="C923" s="5"/>
      <c r="D923" s="5"/>
      <c r="E923" s="6"/>
      <c r="F923" s="6"/>
      <c r="G923" s="6"/>
      <c r="H923" s="7"/>
      <c r="I923" s="8"/>
      <c r="J923" s="8"/>
      <c r="K923" s="8"/>
      <c r="L923" s="8"/>
      <c r="M923" s="8"/>
      <c r="N923" s="5"/>
      <c r="O923" s="5"/>
      <c r="P923" s="5"/>
      <c r="Q923" s="5"/>
      <c r="R923" s="5"/>
      <c r="S923" s="5"/>
      <c r="T923" s="5"/>
      <c r="U923" s="5"/>
    </row>
    <row r="924" spans="1:21" ht="19.5" customHeight="1" x14ac:dyDescent="0.3">
      <c r="A924" s="5"/>
      <c r="B924" s="5"/>
      <c r="C924" s="5"/>
      <c r="D924" s="5"/>
      <c r="E924" s="6"/>
      <c r="F924" s="6"/>
      <c r="G924" s="6"/>
      <c r="H924" s="7"/>
      <c r="I924" s="8"/>
      <c r="J924" s="8"/>
      <c r="K924" s="8"/>
      <c r="L924" s="8"/>
      <c r="M924" s="8"/>
      <c r="N924" s="5"/>
      <c r="O924" s="5"/>
      <c r="P924" s="5"/>
      <c r="Q924" s="5"/>
      <c r="R924" s="5"/>
      <c r="S924" s="5"/>
      <c r="T924" s="5"/>
      <c r="U924" s="5"/>
    </row>
    <row r="925" spans="1:21" ht="19.5" customHeight="1" x14ac:dyDescent="0.3">
      <c r="A925" s="5"/>
      <c r="B925" s="5"/>
      <c r="C925" s="5"/>
      <c r="D925" s="5"/>
      <c r="E925" s="6"/>
      <c r="F925" s="6"/>
      <c r="G925" s="6"/>
      <c r="H925" s="7"/>
      <c r="I925" s="8"/>
      <c r="J925" s="8"/>
      <c r="K925" s="8"/>
      <c r="L925" s="8"/>
      <c r="M925" s="8"/>
      <c r="N925" s="5"/>
      <c r="O925" s="5"/>
      <c r="P925" s="5"/>
      <c r="Q925" s="5"/>
      <c r="R925" s="5"/>
      <c r="S925" s="5"/>
      <c r="T925" s="5"/>
      <c r="U925" s="5"/>
    </row>
    <row r="926" spans="1:21" ht="19.5" customHeight="1" x14ac:dyDescent="0.3">
      <c r="A926" s="5"/>
      <c r="B926" s="5"/>
      <c r="C926" s="5"/>
      <c r="D926" s="5"/>
      <c r="E926" s="6"/>
      <c r="F926" s="6"/>
      <c r="G926" s="6"/>
      <c r="H926" s="7"/>
      <c r="I926" s="8"/>
      <c r="J926" s="8"/>
      <c r="K926" s="8"/>
      <c r="L926" s="8"/>
      <c r="M926" s="8"/>
      <c r="N926" s="5"/>
      <c r="O926" s="5"/>
      <c r="P926" s="5"/>
      <c r="Q926" s="5"/>
      <c r="R926" s="5"/>
      <c r="S926" s="5"/>
      <c r="T926" s="5"/>
      <c r="U926" s="5"/>
    </row>
    <row r="927" spans="1:21" ht="19.5" customHeight="1" x14ac:dyDescent="0.3">
      <c r="A927" s="5"/>
      <c r="B927" s="5"/>
      <c r="C927" s="5"/>
      <c r="D927" s="5"/>
      <c r="E927" s="6"/>
      <c r="F927" s="6"/>
      <c r="G927" s="6"/>
      <c r="H927" s="7"/>
      <c r="I927" s="8"/>
      <c r="J927" s="8"/>
      <c r="K927" s="8"/>
      <c r="L927" s="8"/>
      <c r="M927" s="8"/>
      <c r="N927" s="5"/>
      <c r="O927" s="5"/>
      <c r="P927" s="5"/>
      <c r="Q927" s="5"/>
      <c r="R927" s="5"/>
      <c r="S927" s="5"/>
      <c r="T927" s="5"/>
      <c r="U927" s="5"/>
    </row>
    <row r="928" spans="1:21" ht="19.5" customHeight="1" x14ac:dyDescent="0.3">
      <c r="A928" s="5"/>
      <c r="B928" s="5"/>
      <c r="C928" s="5"/>
      <c r="D928" s="5"/>
      <c r="E928" s="6"/>
      <c r="F928" s="6"/>
      <c r="G928" s="6"/>
      <c r="H928" s="7"/>
      <c r="I928" s="8"/>
      <c r="J928" s="8"/>
      <c r="K928" s="8"/>
      <c r="L928" s="8"/>
      <c r="M928" s="8"/>
      <c r="N928" s="5"/>
      <c r="O928" s="5"/>
      <c r="P928" s="5"/>
      <c r="Q928" s="5"/>
      <c r="R928" s="5"/>
      <c r="S928" s="5"/>
      <c r="T928" s="5"/>
      <c r="U928" s="5"/>
    </row>
    <row r="929" spans="1:21" ht="19.5" customHeight="1" x14ac:dyDescent="0.3">
      <c r="A929" s="5"/>
      <c r="B929" s="5"/>
      <c r="C929" s="5"/>
      <c r="D929" s="5"/>
      <c r="E929" s="6"/>
      <c r="F929" s="6"/>
      <c r="G929" s="6"/>
      <c r="H929" s="7"/>
      <c r="I929" s="8"/>
      <c r="J929" s="8"/>
      <c r="K929" s="8"/>
      <c r="L929" s="8"/>
      <c r="M929" s="8"/>
      <c r="N929" s="5"/>
      <c r="O929" s="5"/>
      <c r="P929" s="5"/>
      <c r="Q929" s="5"/>
      <c r="R929" s="5"/>
      <c r="S929" s="5"/>
      <c r="T929" s="5"/>
      <c r="U929" s="5"/>
    </row>
    <row r="930" spans="1:21" ht="19.5" customHeight="1" x14ac:dyDescent="0.3">
      <c r="A930" s="5"/>
      <c r="B930" s="5"/>
      <c r="C930" s="5"/>
      <c r="D930" s="5"/>
      <c r="E930" s="6"/>
      <c r="F930" s="6"/>
      <c r="G930" s="6"/>
      <c r="H930" s="7"/>
      <c r="I930" s="8"/>
      <c r="J930" s="8"/>
      <c r="K930" s="8"/>
      <c r="L930" s="8"/>
      <c r="M930" s="8"/>
      <c r="N930" s="5"/>
      <c r="O930" s="5"/>
      <c r="P930" s="5"/>
      <c r="Q930" s="5"/>
      <c r="R930" s="5"/>
      <c r="S930" s="5"/>
      <c r="T930" s="5"/>
      <c r="U930" s="5"/>
    </row>
    <row r="931" spans="1:21" ht="19.5" customHeight="1" x14ac:dyDescent="0.3">
      <c r="A931" s="5"/>
      <c r="B931" s="5"/>
      <c r="C931" s="5"/>
      <c r="D931" s="5"/>
      <c r="E931" s="6"/>
      <c r="F931" s="6"/>
      <c r="G931" s="6"/>
      <c r="H931" s="7"/>
      <c r="I931" s="8"/>
      <c r="J931" s="8"/>
      <c r="K931" s="8"/>
      <c r="L931" s="8"/>
      <c r="M931" s="8"/>
      <c r="N931" s="5"/>
      <c r="O931" s="5"/>
      <c r="P931" s="5"/>
      <c r="Q931" s="5"/>
      <c r="R931" s="5"/>
      <c r="S931" s="5"/>
      <c r="T931" s="5"/>
      <c r="U931" s="5"/>
    </row>
    <row r="932" spans="1:21" ht="19.5" customHeight="1" x14ac:dyDescent="0.3">
      <c r="A932" s="5"/>
      <c r="B932" s="5"/>
      <c r="C932" s="5"/>
      <c r="D932" s="5"/>
      <c r="E932" s="6"/>
      <c r="F932" s="6"/>
      <c r="G932" s="6"/>
      <c r="H932" s="7"/>
      <c r="I932" s="8"/>
      <c r="J932" s="8"/>
      <c r="K932" s="8"/>
      <c r="L932" s="8"/>
      <c r="M932" s="8"/>
      <c r="N932" s="5"/>
      <c r="O932" s="5"/>
      <c r="P932" s="5"/>
      <c r="Q932" s="5"/>
      <c r="R932" s="5"/>
      <c r="S932" s="5"/>
      <c r="T932" s="5"/>
      <c r="U932" s="5"/>
    </row>
    <row r="933" spans="1:21" ht="19.5" customHeight="1" x14ac:dyDescent="0.3">
      <c r="A933" s="5"/>
      <c r="B933" s="5"/>
      <c r="C933" s="5"/>
      <c r="D933" s="5"/>
      <c r="E933" s="6"/>
      <c r="F933" s="6"/>
      <c r="G933" s="6"/>
      <c r="H933" s="7"/>
      <c r="I933" s="8"/>
      <c r="J933" s="8"/>
      <c r="K933" s="8"/>
      <c r="L933" s="8"/>
      <c r="M933" s="8"/>
      <c r="N933" s="5"/>
      <c r="O933" s="5"/>
      <c r="P933" s="5"/>
      <c r="Q933" s="5"/>
      <c r="R933" s="5"/>
      <c r="S933" s="5"/>
      <c r="T933" s="5"/>
      <c r="U933" s="5"/>
    </row>
    <row r="934" spans="1:21" ht="19.5" customHeight="1" x14ac:dyDescent="0.3">
      <c r="A934" s="5"/>
      <c r="B934" s="5"/>
      <c r="C934" s="5"/>
      <c r="D934" s="5"/>
      <c r="E934" s="6"/>
      <c r="F934" s="6"/>
      <c r="G934" s="6"/>
      <c r="H934" s="7"/>
      <c r="I934" s="8"/>
      <c r="J934" s="8"/>
      <c r="K934" s="8"/>
      <c r="L934" s="8"/>
      <c r="M934" s="8"/>
      <c r="N934" s="5"/>
      <c r="O934" s="5"/>
      <c r="P934" s="5"/>
      <c r="Q934" s="5"/>
      <c r="R934" s="5"/>
      <c r="S934" s="5"/>
      <c r="T934" s="5"/>
      <c r="U934" s="5"/>
    </row>
    <row r="935" spans="1:21" ht="19.5" customHeight="1" x14ac:dyDescent="0.3">
      <c r="A935" s="5"/>
      <c r="B935" s="5"/>
      <c r="C935" s="5"/>
      <c r="D935" s="5"/>
      <c r="E935" s="6"/>
      <c r="F935" s="6"/>
      <c r="G935" s="6"/>
      <c r="H935" s="7"/>
      <c r="I935" s="8"/>
      <c r="J935" s="8"/>
      <c r="K935" s="8"/>
      <c r="L935" s="8"/>
      <c r="M935" s="8"/>
      <c r="N935" s="5"/>
      <c r="O935" s="5"/>
      <c r="P935" s="5"/>
      <c r="Q935" s="5"/>
      <c r="R935" s="5"/>
      <c r="S935" s="5"/>
      <c r="T935" s="5"/>
      <c r="U935" s="5"/>
    </row>
    <row r="936" spans="1:21" ht="19.5" customHeight="1" x14ac:dyDescent="0.3">
      <c r="A936" s="5"/>
      <c r="B936" s="5"/>
      <c r="C936" s="5"/>
      <c r="D936" s="5"/>
      <c r="E936" s="6"/>
      <c r="F936" s="6"/>
      <c r="G936" s="6"/>
      <c r="H936" s="7"/>
      <c r="I936" s="8"/>
      <c r="J936" s="8"/>
      <c r="K936" s="8"/>
      <c r="L936" s="8"/>
      <c r="M936" s="8"/>
      <c r="N936" s="5"/>
      <c r="O936" s="5"/>
      <c r="P936" s="5"/>
      <c r="Q936" s="5"/>
      <c r="R936" s="5"/>
      <c r="S936" s="5"/>
      <c r="T936" s="5"/>
      <c r="U936" s="5"/>
    </row>
    <row r="937" spans="1:21" ht="19.5" customHeight="1" x14ac:dyDescent="0.3">
      <c r="A937" s="5"/>
      <c r="B937" s="5"/>
      <c r="C937" s="5"/>
      <c r="D937" s="5"/>
      <c r="E937" s="6"/>
      <c r="F937" s="6"/>
      <c r="G937" s="6"/>
      <c r="H937" s="7"/>
      <c r="I937" s="8"/>
      <c r="J937" s="8"/>
      <c r="K937" s="8"/>
      <c r="L937" s="8"/>
      <c r="M937" s="8"/>
      <c r="N937" s="5"/>
      <c r="O937" s="5"/>
      <c r="P937" s="5"/>
      <c r="Q937" s="5"/>
      <c r="R937" s="5"/>
      <c r="S937" s="5"/>
      <c r="T937" s="5"/>
      <c r="U937" s="5"/>
    </row>
    <row r="938" spans="1:21" ht="19.5" customHeight="1" x14ac:dyDescent="0.3">
      <c r="A938" s="5"/>
      <c r="B938" s="5"/>
      <c r="C938" s="5"/>
      <c r="D938" s="5"/>
      <c r="E938" s="6"/>
      <c r="F938" s="6"/>
      <c r="G938" s="6"/>
      <c r="H938" s="7"/>
      <c r="I938" s="8"/>
      <c r="J938" s="8"/>
      <c r="K938" s="8"/>
      <c r="L938" s="8"/>
      <c r="M938" s="8"/>
      <c r="N938" s="5"/>
      <c r="O938" s="5"/>
      <c r="P938" s="5"/>
      <c r="Q938" s="5"/>
      <c r="R938" s="5"/>
      <c r="S938" s="5"/>
      <c r="T938" s="5"/>
      <c r="U938" s="5"/>
    </row>
    <row r="939" spans="1:21" ht="19.5" customHeight="1" x14ac:dyDescent="0.3">
      <c r="A939" s="5"/>
      <c r="B939" s="5"/>
      <c r="C939" s="5"/>
      <c r="D939" s="5"/>
      <c r="E939" s="6"/>
      <c r="F939" s="6"/>
      <c r="G939" s="6"/>
      <c r="H939" s="7"/>
      <c r="I939" s="8"/>
      <c r="J939" s="8"/>
      <c r="K939" s="8"/>
      <c r="L939" s="8"/>
      <c r="M939" s="8"/>
      <c r="N939" s="5"/>
      <c r="O939" s="5"/>
      <c r="P939" s="5"/>
      <c r="Q939" s="5"/>
      <c r="R939" s="5"/>
      <c r="S939" s="5"/>
      <c r="T939" s="5"/>
      <c r="U939" s="5"/>
    </row>
    <row r="940" spans="1:21" ht="19.5" customHeight="1" x14ac:dyDescent="0.3">
      <c r="A940" s="5"/>
      <c r="B940" s="5"/>
      <c r="C940" s="5"/>
      <c r="D940" s="5"/>
      <c r="E940" s="6"/>
      <c r="F940" s="6"/>
      <c r="G940" s="6"/>
      <c r="H940" s="7"/>
      <c r="I940" s="8"/>
      <c r="J940" s="8"/>
      <c r="K940" s="8"/>
      <c r="L940" s="8"/>
      <c r="M940" s="8"/>
      <c r="N940" s="5"/>
      <c r="O940" s="5"/>
      <c r="P940" s="5"/>
      <c r="Q940" s="5"/>
      <c r="R940" s="5"/>
      <c r="S940" s="5"/>
      <c r="T940" s="5"/>
      <c r="U940" s="5"/>
    </row>
    <row r="941" spans="1:21" ht="19.5" customHeight="1" x14ac:dyDescent="0.3">
      <c r="A941" s="5"/>
      <c r="B941" s="5"/>
      <c r="C941" s="5"/>
      <c r="D941" s="5"/>
      <c r="E941" s="6"/>
      <c r="F941" s="6"/>
      <c r="G941" s="6"/>
      <c r="H941" s="7"/>
      <c r="I941" s="8"/>
      <c r="J941" s="8"/>
      <c r="K941" s="8"/>
      <c r="L941" s="8"/>
      <c r="M941" s="8"/>
      <c r="N941" s="5"/>
      <c r="O941" s="5"/>
      <c r="P941" s="5"/>
      <c r="Q941" s="5"/>
      <c r="R941" s="5"/>
      <c r="S941" s="5"/>
      <c r="T941" s="5"/>
      <c r="U941" s="5"/>
    </row>
    <row r="942" spans="1:21" ht="19.5" customHeight="1" x14ac:dyDescent="0.3">
      <c r="A942" s="5"/>
      <c r="B942" s="5"/>
      <c r="C942" s="5"/>
      <c r="D942" s="5"/>
      <c r="E942" s="6"/>
      <c r="F942" s="6"/>
      <c r="G942" s="6"/>
      <c r="H942" s="7"/>
      <c r="I942" s="8"/>
      <c r="J942" s="8"/>
      <c r="K942" s="8"/>
      <c r="L942" s="8"/>
      <c r="M942" s="8"/>
      <c r="N942" s="5"/>
      <c r="O942" s="5"/>
      <c r="P942" s="5"/>
      <c r="Q942" s="5"/>
      <c r="R942" s="5"/>
      <c r="S942" s="5"/>
      <c r="T942" s="5"/>
      <c r="U942" s="5"/>
    </row>
    <row r="943" spans="1:21" ht="19.5" customHeight="1" x14ac:dyDescent="0.3">
      <c r="A943" s="5"/>
      <c r="B943" s="5"/>
      <c r="C943" s="5"/>
      <c r="D943" s="5"/>
      <c r="E943" s="6"/>
      <c r="F943" s="6"/>
      <c r="G943" s="6"/>
      <c r="H943" s="7"/>
      <c r="I943" s="8"/>
      <c r="J943" s="8"/>
      <c r="K943" s="8"/>
      <c r="L943" s="8"/>
      <c r="M943" s="8"/>
      <c r="N943" s="5"/>
      <c r="O943" s="5"/>
      <c r="P943" s="5"/>
      <c r="Q943" s="5"/>
      <c r="R943" s="5"/>
      <c r="S943" s="5"/>
      <c r="T943" s="5"/>
      <c r="U943" s="5"/>
    </row>
    <row r="944" spans="1:21" ht="19.5" customHeight="1" x14ac:dyDescent="0.3">
      <c r="A944" s="5"/>
      <c r="B944" s="5"/>
      <c r="C944" s="5"/>
      <c r="D944" s="5"/>
      <c r="E944" s="6"/>
      <c r="F944" s="6"/>
      <c r="G944" s="6"/>
      <c r="H944" s="7"/>
      <c r="I944" s="8"/>
      <c r="J944" s="8"/>
      <c r="K944" s="8"/>
      <c r="L944" s="8"/>
      <c r="M944" s="8"/>
      <c r="N944" s="5"/>
      <c r="O944" s="5"/>
      <c r="P944" s="5"/>
      <c r="Q944" s="5"/>
      <c r="R944" s="5"/>
      <c r="S944" s="5"/>
      <c r="T944" s="5"/>
      <c r="U944" s="5"/>
    </row>
    <row r="945" spans="1:21" ht="19.5" customHeight="1" x14ac:dyDescent="0.3">
      <c r="A945" s="5"/>
      <c r="B945" s="5"/>
      <c r="C945" s="5"/>
      <c r="D945" s="5"/>
      <c r="E945" s="6"/>
      <c r="F945" s="6"/>
      <c r="G945" s="6"/>
      <c r="H945" s="7"/>
      <c r="I945" s="8"/>
      <c r="J945" s="8"/>
      <c r="K945" s="8"/>
      <c r="L945" s="8"/>
      <c r="M945" s="8"/>
      <c r="N945" s="5"/>
      <c r="O945" s="5"/>
      <c r="P945" s="5"/>
      <c r="Q945" s="5"/>
      <c r="R945" s="5"/>
      <c r="S945" s="5"/>
      <c r="T945" s="5"/>
      <c r="U945" s="5"/>
    </row>
    <row r="946" spans="1:21" ht="19.5" customHeight="1" x14ac:dyDescent="0.3">
      <c r="A946" s="5"/>
      <c r="B946" s="5"/>
      <c r="C946" s="5"/>
      <c r="D946" s="5"/>
      <c r="E946" s="6"/>
      <c r="F946" s="6"/>
      <c r="G946" s="6"/>
      <c r="H946" s="7"/>
      <c r="I946" s="8"/>
      <c r="J946" s="8"/>
      <c r="K946" s="8"/>
      <c r="L946" s="8"/>
      <c r="M946" s="8"/>
      <c r="N946" s="5"/>
      <c r="O946" s="5"/>
      <c r="P946" s="5"/>
      <c r="Q946" s="5"/>
      <c r="R946" s="5"/>
      <c r="S946" s="5"/>
      <c r="T946" s="5"/>
      <c r="U946" s="5"/>
    </row>
    <row r="947" spans="1:21" ht="19.5" customHeight="1" x14ac:dyDescent="0.3">
      <c r="A947" s="5"/>
      <c r="B947" s="5"/>
      <c r="C947" s="5"/>
      <c r="D947" s="5"/>
      <c r="E947" s="6"/>
      <c r="F947" s="6"/>
      <c r="G947" s="6"/>
      <c r="H947" s="7"/>
      <c r="I947" s="8"/>
      <c r="J947" s="8"/>
      <c r="K947" s="8"/>
      <c r="L947" s="8"/>
      <c r="M947" s="8"/>
      <c r="N947" s="5"/>
      <c r="O947" s="5"/>
      <c r="P947" s="5"/>
      <c r="Q947" s="5"/>
      <c r="R947" s="5"/>
      <c r="S947" s="5"/>
      <c r="T947" s="5"/>
      <c r="U947" s="5"/>
    </row>
    <row r="948" spans="1:21" ht="19.5" customHeight="1" x14ac:dyDescent="0.3">
      <c r="A948" s="5"/>
      <c r="B948" s="5"/>
      <c r="C948" s="5"/>
      <c r="D948" s="5"/>
      <c r="E948" s="6"/>
      <c r="F948" s="6"/>
      <c r="G948" s="6"/>
      <c r="H948" s="7"/>
      <c r="I948" s="8"/>
      <c r="J948" s="8"/>
      <c r="K948" s="8"/>
      <c r="L948" s="8"/>
      <c r="M948" s="8"/>
      <c r="N948" s="5"/>
      <c r="O948" s="5"/>
      <c r="P948" s="5"/>
      <c r="Q948" s="5"/>
      <c r="R948" s="5"/>
      <c r="S948" s="5"/>
      <c r="T948" s="5"/>
      <c r="U948" s="5"/>
    </row>
    <row r="949" spans="1:21" ht="19.5" customHeight="1" x14ac:dyDescent="0.3">
      <c r="A949" s="5"/>
      <c r="B949" s="5"/>
      <c r="C949" s="5"/>
      <c r="D949" s="5"/>
      <c r="E949" s="6"/>
      <c r="F949" s="6"/>
      <c r="G949" s="6"/>
      <c r="H949" s="7"/>
      <c r="I949" s="8"/>
      <c r="J949" s="8"/>
      <c r="K949" s="8"/>
      <c r="L949" s="8"/>
      <c r="M949" s="8"/>
      <c r="N949" s="5"/>
      <c r="O949" s="5"/>
      <c r="P949" s="5"/>
      <c r="Q949" s="5"/>
      <c r="R949" s="5"/>
      <c r="S949" s="5"/>
      <c r="T949" s="5"/>
      <c r="U949" s="5"/>
    </row>
    <row r="950" spans="1:21" ht="19.5" customHeight="1" x14ac:dyDescent="0.3">
      <c r="A950" s="5"/>
      <c r="B950" s="5"/>
      <c r="C950" s="5"/>
      <c r="D950" s="5"/>
      <c r="E950" s="6"/>
      <c r="F950" s="6"/>
      <c r="G950" s="6"/>
      <c r="H950" s="7"/>
      <c r="I950" s="8"/>
      <c r="J950" s="8"/>
      <c r="K950" s="8"/>
      <c r="L950" s="8"/>
      <c r="M950" s="8"/>
      <c r="N950" s="5"/>
      <c r="O950" s="5"/>
      <c r="P950" s="5"/>
      <c r="Q950" s="5"/>
      <c r="R950" s="5"/>
      <c r="S950" s="5"/>
      <c r="T950" s="5"/>
      <c r="U950" s="5"/>
    </row>
    <row r="951" spans="1:21" ht="19.5" customHeight="1" x14ac:dyDescent="0.3">
      <c r="A951" s="5"/>
      <c r="B951" s="5"/>
      <c r="C951" s="5"/>
      <c r="D951" s="5"/>
      <c r="E951" s="6"/>
      <c r="F951" s="6"/>
      <c r="G951" s="6"/>
      <c r="H951" s="7"/>
      <c r="I951" s="8"/>
      <c r="J951" s="8"/>
      <c r="K951" s="8"/>
      <c r="L951" s="8"/>
      <c r="M951" s="8"/>
      <c r="N951" s="5"/>
      <c r="O951" s="5"/>
      <c r="P951" s="5"/>
      <c r="Q951" s="5"/>
      <c r="R951" s="5"/>
      <c r="S951" s="5"/>
      <c r="T951" s="5"/>
      <c r="U951" s="5"/>
    </row>
    <row r="952" spans="1:21" ht="19.5" customHeight="1" x14ac:dyDescent="0.3">
      <c r="A952" s="5"/>
      <c r="B952" s="5"/>
      <c r="C952" s="5"/>
      <c r="D952" s="5"/>
      <c r="E952" s="6"/>
      <c r="F952" s="6"/>
      <c r="G952" s="6"/>
      <c r="H952" s="7"/>
      <c r="I952" s="8"/>
      <c r="J952" s="8"/>
      <c r="K952" s="8"/>
      <c r="L952" s="8"/>
      <c r="M952" s="8"/>
      <c r="N952" s="5"/>
      <c r="O952" s="5"/>
      <c r="P952" s="5"/>
      <c r="Q952" s="5"/>
      <c r="R952" s="5"/>
      <c r="S952" s="5"/>
      <c r="T952" s="5"/>
      <c r="U952" s="5"/>
    </row>
    <row r="953" spans="1:21" ht="19.5" customHeight="1" x14ac:dyDescent="0.3">
      <c r="A953" s="5"/>
      <c r="B953" s="5"/>
      <c r="C953" s="5"/>
      <c r="D953" s="5"/>
      <c r="E953" s="6"/>
      <c r="F953" s="6"/>
      <c r="G953" s="6"/>
      <c r="H953" s="7"/>
      <c r="I953" s="8"/>
      <c r="J953" s="8"/>
      <c r="K953" s="8"/>
      <c r="L953" s="8"/>
      <c r="M953" s="8"/>
      <c r="N953" s="5"/>
      <c r="O953" s="5"/>
      <c r="P953" s="5"/>
      <c r="Q953" s="5"/>
      <c r="R953" s="5"/>
      <c r="S953" s="5"/>
      <c r="T953" s="5"/>
      <c r="U953" s="5"/>
    </row>
    <row r="954" spans="1:21" ht="19.5" customHeight="1" x14ac:dyDescent="0.3">
      <c r="A954" s="5"/>
      <c r="B954" s="5"/>
      <c r="C954" s="5"/>
      <c r="D954" s="5"/>
      <c r="E954" s="6"/>
      <c r="F954" s="6"/>
      <c r="G954" s="6"/>
      <c r="H954" s="7"/>
      <c r="I954" s="8"/>
      <c r="J954" s="8"/>
      <c r="K954" s="8"/>
      <c r="L954" s="8"/>
      <c r="M954" s="8"/>
      <c r="N954" s="5"/>
      <c r="O954" s="5"/>
      <c r="P954" s="5"/>
      <c r="Q954" s="5"/>
      <c r="R954" s="5"/>
      <c r="S954" s="5"/>
      <c r="T954" s="5"/>
      <c r="U954" s="5"/>
    </row>
    <row r="955" spans="1:21" ht="19.5" customHeight="1" x14ac:dyDescent="0.3">
      <c r="A955" s="5"/>
      <c r="B955" s="5"/>
      <c r="C955" s="5"/>
      <c r="D955" s="5"/>
      <c r="E955" s="6"/>
      <c r="F955" s="6"/>
      <c r="G955" s="6"/>
      <c r="H955" s="7"/>
      <c r="I955" s="8"/>
      <c r="J955" s="8"/>
      <c r="K955" s="8"/>
      <c r="L955" s="8"/>
      <c r="M955" s="8"/>
      <c r="N955" s="5"/>
      <c r="O955" s="5"/>
      <c r="P955" s="5"/>
      <c r="Q955" s="5"/>
      <c r="R955" s="5"/>
      <c r="S955" s="5"/>
      <c r="T955" s="5"/>
      <c r="U955" s="5"/>
    </row>
    <row r="956" spans="1:21" ht="19.5" customHeight="1" x14ac:dyDescent="0.3">
      <c r="A956" s="5"/>
      <c r="B956" s="5"/>
      <c r="C956" s="5"/>
      <c r="D956" s="5"/>
      <c r="E956" s="6"/>
      <c r="F956" s="6"/>
      <c r="G956" s="6"/>
      <c r="H956" s="7"/>
      <c r="I956" s="8"/>
      <c r="J956" s="8"/>
      <c r="K956" s="8"/>
      <c r="L956" s="8"/>
      <c r="M956" s="8"/>
      <c r="N956" s="5"/>
      <c r="O956" s="5"/>
      <c r="P956" s="5"/>
      <c r="Q956" s="5"/>
      <c r="R956" s="5"/>
      <c r="S956" s="5"/>
      <c r="T956" s="5"/>
      <c r="U956" s="5"/>
    </row>
    <row r="957" spans="1:21" ht="19.5" customHeight="1" x14ac:dyDescent="0.3">
      <c r="A957" s="5"/>
      <c r="B957" s="5"/>
      <c r="C957" s="5"/>
      <c r="D957" s="5"/>
      <c r="E957" s="6"/>
      <c r="F957" s="6"/>
      <c r="G957" s="6"/>
      <c r="H957" s="7"/>
      <c r="I957" s="8"/>
      <c r="J957" s="8"/>
      <c r="K957" s="8"/>
      <c r="L957" s="8"/>
      <c r="M957" s="8"/>
      <c r="N957" s="5"/>
      <c r="O957" s="5"/>
      <c r="P957" s="5"/>
      <c r="Q957" s="5"/>
      <c r="R957" s="5"/>
      <c r="S957" s="5"/>
      <c r="T957" s="5"/>
      <c r="U957" s="5"/>
    </row>
    <row r="958" spans="1:21" ht="19.5" customHeight="1" x14ac:dyDescent="0.3">
      <c r="A958" s="5"/>
      <c r="B958" s="5"/>
      <c r="C958" s="5"/>
      <c r="D958" s="5"/>
      <c r="E958" s="6"/>
      <c r="F958" s="6"/>
      <c r="G958" s="6"/>
      <c r="H958" s="7"/>
      <c r="I958" s="8"/>
      <c r="J958" s="8"/>
      <c r="K958" s="8"/>
      <c r="L958" s="8"/>
      <c r="M958" s="8"/>
      <c r="N958" s="5"/>
      <c r="O958" s="5"/>
      <c r="P958" s="5"/>
      <c r="Q958" s="5"/>
      <c r="R958" s="5"/>
      <c r="S958" s="5"/>
      <c r="T958" s="5"/>
      <c r="U958" s="5"/>
    </row>
    <row r="959" spans="1:21" ht="19.5" customHeight="1" x14ac:dyDescent="0.3">
      <c r="A959" s="5"/>
      <c r="B959" s="5"/>
      <c r="C959" s="5"/>
      <c r="D959" s="5"/>
      <c r="E959" s="6"/>
      <c r="F959" s="6"/>
      <c r="G959" s="6"/>
      <c r="H959" s="7"/>
      <c r="I959" s="8"/>
      <c r="J959" s="8"/>
      <c r="K959" s="8"/>
      <c r="L959" s="8"/>
      <c r="M959" s="8"/>
      <c r="N959" s="5"/>
      <c r="O959" s="5"/>
      <c r="P959" s="5"/>
      <c r="Q959" s="5"/>
      <c r="R959" s="5"/>
      <c r="S959" s="5"/>
      <c r="T959" s="5"/>
      <c r="U959" s="5"/>
    </row>
    <row r="960" spans="1:21" ht="19.5" customHeight="1" x14ac:dyDescent="0.3">
      <c r="A960" s="5"/>
      <c r="B960" s="5"/>
      <c r="C960" s="5"/>
      <c r="D960" s="5"/>
      <c r="E960" s="6"/>
      <c r="F960" s="6"/>
      <c r="G960" s="6"/>
      <c r="H960" s="7"/>
      <c r="I960" s="8"/>
      <c r="J960" s="8"/>
      <c r="K960" s="8"/>
      <c r="L960" s="8"/>
      <c r="M960" s="8"/>
      <c r="N960" s="5"/>
      <c r="O960" s="5"/>
      <c r="P960" s="5"/>
      <c r="Q960" s="5"/>
      <c r="R960" s="5"/>
      <c r="S960" s="5"/>
      <c r="T960" s="5"/>
      <c r="U960" s="5"/>
    </row>
    <row r="961" spans="1:21" ht="19.5" customHeight="1" x14ac:dyDescent="0.3">
      <c r="A961" s="5"/>
      <c r="B961" s="5"/>
      <c r="C961" s="5"/>
      <c r="D961" s="5"/>
      <c r="E961" s="6"/>
      <c r="F961" s="6"/>
      <c r="G961" s="6"/>
      <c r="H961" s="7"/>
      <c r="I961" s="8"/>
      <c r="J961" s="8"/>
      <c r="K961" s="8"/>
      <c r="L961" s="8"/>
      <c r="M961" s="8"/>
      <c r="N961" s="5"/>
      <c r="O961" s="5"/>
      <c r="P961" s="5"/>
      <c r="Q961" s="5"/>
      <c r="R961" s="5"/>
      <c r="S961" s="5"/>
      <c r="T961" s="5"/>
      <c r="U961" s="5"/>
    </row>
    <row r="962" spans="1:21" ht="19.5" customHeight="1" x14ac:dyDescent="0.3">
      <c r="A962" s="5"/>
      <c r="B962" s="5"/>
      <c r="C962" s="5"/>
      <c r="D962" s="5"/>
      <c r="E962" s="6"/>
      <c r="F962" s="6"/>
      <c r="G962" s="6"/>
      <c r="H962" s="7"/>
      <c r="I962" s="8"/>
      <c r="J962" s="8"/>
      <c r="K962" s="8"/>
      <c r="L962" s="8"/>
      <c r="M962" s="8"/>
      <c r="N962" s="5"/>
      <c r="O962" s="5"/>
      <c r="P962" s="5"/>
      <c r="Q962" s="5"/>
      <c r="R962" s="5"/>
      <c r="S962" s="5"/>
      <c r="T962" s="5"/>
      <c r="U962" s="5"/>
    </row>
    <row r="963" spans="1:21" ht="19.5" customHeight="1" x14ac:dyDescent="0.3">
      <c r="A963" s="5"/>
      <c r="B963" s="5"/>
      <c r="C963" s="5"/>
      <c r="D963" s="5"/>
      <c r="E963" s="6"/>
      <c r="F963" s="6"/>
      <c r="G963" s="6"/>
      <c r="H963" s="7"/>
      <c r="I963" s="8"/>
      <c r="J963" s="8"/>
      <c r="K963" s="8"/>
      <c r="L963" s="8"/>
      <c r="M963" s="8"/>
      <c r="N963" s="5"/>
      <c r="O963" s="5"/>
      <c r="P963" s="5"/>
      <c r="Q963" s="5"/>
      <c r="R963" s="5"/>
      <c r="S963" s="5"/>
      <c r="T963" s="5"/>
      <c r="U963" s="5"/>
    </row>
    <row r="964" spans="1:21" ht="19.5" customHeight="1" x14ac:dyDescent="0.3">
      <c r="A964" s="5"/>
      <c r="B964" s="5"/>
      <c r="C964" s="5"/>
      <c r="D964" s="5"/>
      <c r="E964" s="6"/>
      <c r="F964" s="6"/>
      <c r="G964" s="6"/>
      <c r="H964" s="7"/>
      <c r="I964" s="8"/>
      <c r="J964" s="8"/>
      <c r="K964" s="8"/>
      <c r="L964" s="8"/>
      <c r="M964" s="8"/>
      <c r="N964" s="5"/>
      <c r="O964" s="5"/>
      <c r="P964" s="5"/>
      <c r="Q964" s="5"/>
      <c r="R964" s="5"/>
      <c r="S964" s="5"/>
      <c r="T964" s="5"/>
      <c r="U964" s="5"/>
    </row>
  </sheetData>
  <mergeCells count="4">
    <mergeCell ref="A12:D12"/>
    <mergeCell ref="A13:D13"/>
    <mergeCell ref="A14:D14"/>
    <mergeCell ref="A11:D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0387-F937-496C-AA42-1C063E4749CE}">
  <dimension ref="A1:AH1319"/>
  <sheetViews>
    <sheetView tabSelected="1" zoomScaleNormal="100" workbookViewId="0">
      <selection activeCell="I19" sqref="I19"/>
    </sheetView>
  </sheetViews>
  <sheetFormatPr defaultRowHeight="15" x14ac:dyDescent="0.25"/>
  <cols>
    <col min="9" max="9" width="17.85546875" customWidth="1"/>
    <col min="10" max="10" width="9.140625" customWidth="1"/>
    <col min="15" max="15" width="19.28515625" style="31" bestFit="1" customWidth="1"/>
    <col min="18" max="18" width="6.5703125" customWidth="1"/>
    <col min="19" max="19" width="15.7109375" style="31" bestFit="1" customWidth="1"/>
    <col min="20" max="20" width="12.42578125" style="39" bestFit="1" customWidth="1"/>
    <col min="21" max="21" width="16.140625" customWidth="1"/>
    <col min="22" max="23" width="9.140625" customWidth="1"/>
    <col min="24" max="24" width="9.140625" style="39" customWidth="1"/>
    <col min="25" max="25" width="9.140625" customWidth="1"/>
    <col min="26" max="26" width="15.28515625" style="31" bestFit="1" customWidth="1"/>
    <col min="28" max="28" width="12.5703125" style="3" bestFit="1" customWidth="1"/>
    <col min="29" max="29" width="10.42578125" bestFit="1" customWidth="1"/>
    <col min="30" max="30" width="9.7109375" bestFit="1" customWidth="1"/>
    <col min="31" max="31" width="5.28515625" customWidth="1"/>
    <col min="32" max="32" width="15.7109375" style="3" bestFit="1" customWidth="1"/>
    <col min="33" max="33" width="16" bestFit="1" customWidth="1"/>
  </cols>
  <sheetData>
    <row r="1" spans="1:34" x14ac:dyDescent="0.25">
      <c r="P1" s="31"/>
      <c r="S1" s="32">
        <f>SUM(S2:S1048576)</f>
        <v>182490000</v>
      </c>
      <c r="U1" s="32">
        <f>SUM(U2:U1048576)</f>
        <v>26135001.350000273</v>
      </c>
      <c r="Z1" s="32">
        <f>SUM(Z2:Z1048576)</f>
        <v>153605997.52999997</v>
      </c>
      <c r="AB1" s="32">
        <f>SUM(AB2:AB1048576)</f>
        <v>153605997.52999997</v>
      </c>
      <c r="AF1" s="32">
        <f>SUM(AF2:AF1048576)</f>
        <v>-27092416.157407504</v>
      </c>
      <c r="AG1" s="32">
        <f>SUM(AG2:AG1048576)</f>
        <v>-29801657.77314822</v>
      </c>
    </row>
    <row r="2" spans="1:34" x14ac:dyDescent="0.2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47</v>
      </c>
      <c r="G2" s="1" t="s">
        <v>35</v>
      </c>
      <c r="H2" s="1" t="s">
        <v>36</v>
      </c>
      <c r="I2" s="1" t="s">
        <v>55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2" t="s">
        <v>42</v>
      </c>
      <c r="P2" s="1" t="s">
        <v>52</v>
      </c>
      <c r="Q2" s="1" t="s">
        <v>53</v>
      </c>
      <c r="R2" s="1" t="s">
        <v>43</v>
      </c>
      <c r="S2" s="2" t="s">
        <v>44</v>
      </c>
      <c r="T2" s="46" t="s">
        <v>45</v>
      </c>
      <c r="U2" s="1" t="s">
        <v>56</v>
      </c>
      <c r="V2" s="1" t="s">
        <v>57</v>
      </c>
      <c r="W2" s="1" t="s">
        <v>58</v>
      </c>
      <c r="X2" s="46" t="s">
        <v>59</v>
      </c>
      <c r="Y2" s="1" t="s">
        <v>60</v>
      </c>
      <c r="Z2" s="2" t="s">
        <v>1</v>
      </c>
      <c r="AA2" s="1" t="s">
        <v>46</v>
      </c>
      <c r="AB2" s="44" t="s">
        <v>6</v>
      </c>
      <c r="AC2" s="2" t="s">
        <v>27</v>
      </c>
      <c r="AD2" s="2" t="s">
        <v>7</v>
      </c>
      <c r="AE2" s="2" t="s">
        <v>8</v>
      </c>
      <c r="AF2" s="33" t="s">
        <v>9</v>
      </c>
      <c r="AG2" s="33" t="s">
        <v>10</v>
      </c>
      <c r="AH2" s="2" t="s">
        <v>111</v>
      </c>
    </row>
    <row r="3" spans="1:34" x14ac:dyDescent="0.25">
      <c r="A3" t="s">
        <v>122</v>
      </c>
      <c r="B3" t="s">
        <v>123</v>
      </c>
      <c r="C3" t="s">
        <v>124</v>
      </c>
      <c r="D3" t="s">
        <v>125</v>
      </c>
      <c r="E3" t="s">
        <v>126</v>
      </c>
      <c r="F3" t="s">
        <v>127</v>
      </c>
      <c r="G3" t="s">
        <v>5</v>
      </c>
      <c r="H3" t="s">
        <v>65</v>
      </c>
      <c r="I3" t="s">
        <v>66</v>
      </c>
      <c r="J3" t="s">
        <v>67</v>
      </c>
      <c r="K3" t="s">
        <v>3</v>
      </c>
      <c r="L3" t="s">
        <v>4</v>
      </c>
      <c r="M3" t="s">
        <v>49</v>
      </c>
      <c r="N3" t="s">
        <v>128</v>
      </c>
      <c r="O3" s="31" t="s">
        <v>129</v>
      </c>
      <c r="P3">
        <v>220</v>
      </c>
      <c r="R3">
        <v>2</v>
      </c>
      <c r="S3" s="31">
        <v>150000</v>
      </c>
      <c r="T3" s="39">
        <v>160000</v>
      </c>
      <c r="U3">
        <v>20000</v>
      </c>
      <c r="V3">
        <v>16000</v>
      </c>
      <c r="W3">
        <v>0</v>
      </c>
      <c r="X3" s="39">
        <v>44800</v>
      </c>
      <c r="Y3">
        <v>0</v>
      </c>
      <c r="Z3" s="32">
        <v>124000</v>
      </c>
      <c r="AA3">
        <v>8</v>
      </c>
      <c r="AB3" s="3">
        <f>Z3</f>
        <v>124000</v>
      </c>
      <c r="AC3" t="str">
        <f>IF(AB3-S3&lt;0,"YES","NO")</f>
        <v>YES</v>
      </c>
      <c r="AD3">
        <f>IF(AC3="NO",0,AB3-S3)</f>
        <v>-26000</v>
      </c>
      <c r="AE3" s="43">
        <v>0.08</v>
      </c>
      <c r="AF3" s="3">
        <f>AD3/(1+AE3)</f>
        <v>-24074.074074074073</v>
      </c>
      <c r="AG3" s="45">
        <f>AF3*1.1</f>
        <v>-26481.481481481482</v>
      </c>
    </row>
    <row r="4" spans="1:34" x14ac:dyDescent="0.25">
      <c r="A4" t="s">
        <v>130</v>
      </c>
      <c r="B4" t="s">
        <v>131</v>
      </c>
      <c r="C4" t="s">
        <v>132</v>
      </c>
      <c r="D4" t="s">
        <v>133</v>
      </c>
      <c r="E4" t="s">
        <v>134</v>
      </c>
      <c r="F4" t="s">
        <v>135</v>
      </c>
      <c r="G4" t="s">
        <v>5</v>
      </c>
      <c r="H4" t="s">
        <v>61</v>
      </c>
      <c r="I4" t="s">
        <v>84</v>
      </c>
      <c r="J4" t="s">
        <v>85</v>
      </c>
      <c r="K4" t="s">
        <v>3</v>
      </c>
      <c r="L4" t="s">
        <v>4</v>
      </c>
      <c r="M4" t="s">
        <v>49</v>
      </c>
      <c r="N4" t="s">
        <v>136</v>
      </c>
      <c r="O4" s="31" t="s">
        <v>137</v>
      </c>
      <c r="P4">
        <v>100</v>
      </c>
      <c r="Q4" t="s">
        <v>86</v>
      </c>
      <c r="R4">
        <v>1</v>
      </c>
      <c r="S4" s="31">
        <v>0</v>
      </c>
      <c r="T4" s="39">
        <v>0</v>
      </c>
      <c r="U4">
        <v>0</v>
      </c>
      <c r="V4">
        <v>0</v>
      </c>
      <c r="W4">
        <v>0</v>
      </c>
      <c r="X4" s="39">
        <v>0</v>
      </c>
      <c r="Y4">
        <v>0</v>
      </c>
      <c r="Z4" s="31">
        <v>0</v>
      </c>
      <c r="AA4">
        <v>8</v>
      </c>
      <c r="AB4" s="3">
        <f>Z4</f>
        <v>0</v>
      </c>
      <c r="AC4" t="str">
        <f>IF(AB4-S4&lt;0,"YES","NO")</f>
        <v>NO</v>
      </c>
      <c r="AD4">
        <f>IF(AC4="NO",0,AB4-S4)</f>
        <v>0</v>
      </c>
      <c r="AE4" s="43">
        <v>0.08</v>
      </c>
      <c r="AF4" s="3">
        <f t="shared" ref="AF4:AF5" si="0">AD4/(1+AE4)</f>
        <v>0</v>
      </c>
      <c r="AG4" s="45">
        <f t="shared" ref="AG4:AG5" si="1">AF4*1.1</f>
        <v>0</v>
      </c>
    </row>
    <row r="5" spans="1:34" x14ac:dyDescent="0.25">
      <c r="A5" t="s">
        <v>130</v>
      </c>
      <c r="B5" t="s">
        <v>131</v>
      </c>
      <c r="C5" t="s">
        <v>132</v>
      </c>
      <c r="D5" t="s">
        <v>133</v>
      </c>
      <c r="E5" t="s">
        <v>134</v>
      </c>
      <c r="F5" t="s">
        <v>135</v>
      </c>
      <c r="G5" t="s">
        <v>5</v>
      </c>
      <c r="H5" t="s">
        <v>65</v>
      </c>
      <c r="I5" t="s">
        <v>66</v>
      </c>
      <c r="J5" t="s">
        <v>67</v>
      </c>
      <c r="K5" t="s">
        <v>3</v>
      </c>
      <c r="L5" t="s">
        <v>4</v>
      </c>
      <c r="M5" t="s">
        <v>49</v>
      </c>
      <c r="N5" t="s">
        <v>136</v>
      </c>
      <c r="O5" s="31" t="s">
        <v>137</v>
      </c>
      <c r="P5">
        <v>220</v>
      </c>
      <c r="R5">
        <v>4</v>
      </c>
      <c r="S5" s="31">
        <v>300000</v>
      </c>
      <c r="T5" s="39">
        <v>320000</v>
      </c>
      <c r="U5">
        <v>20000</v>
      </c>
      <c r="V5">
        <v>32000</v>
      </c>
      <c r="W5">
        <v>0</v>
      </c>
      <c r="X5" s="39">
        <v>65561</v>
      </c>
      <c r="Y5">
        <v>0</v>
      </c>
      <c r="Z5" s="32">
        <v>268000</v>
      </c>
      <c r="AA5">
        <v>8</v>
      </c>
      <c r="AB5" s="3">
        <f>Z5</f>
        <v>268000</v>
      </c>
      <c r="AC5" t="str">
        <f>IF(AB5-S5&lt;0,"YES","NO")</f>
        <v>YES</v>
      </c>
      <c r="AD5">
        <f>IF(AC5="NO",0,AB5-S5)</f>
        <v>-32000</v>
      </c>
      <c r="AE5" s="43">
        <v>0.08</v>
      </c>
      <c r="AF5" s="3">
        <f t="shared" si="0"/>
        <v>-29629.629629629628</v>
      </c>
      <c r="AG5" s="45">
        <f t="shared" si="1"/>
        <v>-32592.592592592595</v>
      </c>
    </row>
    <row r="6" spans="1:34" x14ac:dyDescent="0.25">
      <c r="A6" t="s">
        <v>138</v>
      </c>
      <c r="B6" t="s">
        <v>139</v>
      </c>
      <c r="C6" t="s">
        <v>140</v>
      </c>
      <c r="D6" t="s">
        <v>141</v>
      </c>
      <c r="E6" t="s">
        <v>142</v>
      </c>
      <c r="F6" t="s">
        <v>143</v>
      </c>
      <c r="G6" t="s">
        <v>5</v>
      </c>
      <c r="H6" t="s">
        <v>61</v>
      </c>
      <c r="I6" t="s">
        <v>84</v>
      </c>
      <c r="J6" t="s">
        <v>85</v>
      </c>
      <c r="K6" t="s">
        <v>3</v>
      </c>
      <c r="L6" t="s">
        <v>4</v>
      </c>
      <c r="M6" t="s">
        <v>49</v>
      </c>
      <c r="N6" t="s">
        <v>144</v>
      </c>
      <c r="O6" s="31" t="s">
        <v>145</v>
      </c>
      <c r="P6">
        <v>100</v>
      </c>
      <c r="Q6" t="s">
        <v>86</v>
      </c>
      <c r="R6">
        <v>1</v>
      </c>
      <c r="S6" s="31">
        <v>0</v>
      </c>
      <c r="T6" s="39">
        <v>0</v>
      </c>
      <c r="U6">
        <v>0</v>
      </c>
      <c r="V6">
        <v>0</v>
      </c>
      <c r="W6">
        <v>0</v>
      </c>
      <c r="X6" s="39">
        <v>0</v>
      </c>
      <c r="Y6">
        <v>0</v>
      </c>
      <c r="Z6" s="31">
        <v>0</v>
      </c>
      <c r="AA6">
        <v>8</v>
      </c>
      <c r="AB6" s="3">
        <f t="shared" ref="AB6:AB69" si="2">Z6</f>
        <v>0</v>
      </c>
      <c r="AC6" t="str">
        <f>IF(AB6-S6&lt;0,"YES","NO")</f>
        <v>NO</v>
      </c>
      <c r="AD6">
        <f>IF(AC6="NO",0,AB6-S6)</f>
        <v>0</v>
      </c>
      <c r="AE6" s="43">
        <v>0.08</v>
      </c>
      <c r="AF6" s="3">
        <f t="shared" ref="AF6:AF69" si="3">AD6/(1+AE6)</f>
        <v>0</v>
      </c>
      <c r="AG6" s="45">
        <f t="shared" ref="AG6:AG69" si="4">AF6*1.1</f>
        <v>0</v>
      </c>
    </row>
    <row r="7" spans="1:34" x14ac:dyDescent="0.25">
      <c r="A7" t="s">
        <v>138</v>
      </c>
      <c r="B7" t="s">
        <v>139</v>
      </c>
      <c r="C7" t="s">
        <v>140</v>
      </c>
      <c r="D7" t="s">
        <v>141</v>
      </c>
      <c r="E7" t="s">
        <v>142</v>
      </c>
      <c r="F7" t="s">
        <v>143</v>
      </c>
      <c r="G7" t="s">
        <v>5</v>
      </c>
      <c r="H7" t="s">
        <v>65</v>
      </c>
      <c r="I7" t="s">
        <v>66</v>
      </c>
      <c r="J7" t="s">
        <v>67</v>
      </c>
      <c r="K7" t="s">
        <v>3</v>
      </c>
      <c r="L7" t="s">
        <v>4</v>
      </c>
      <c r="M7" t="s">
        <v>49</v>
      </c>
      <c r="N7" t="s">
        <v>144</v>
      </c>
      <c r="O7" s="31" t="s">
        <v>145</v>
      </c>
      <c r="P7">
        <v>220</v>
      </c>
      <c r="R7">
        <v>6</v>
      </c>
      <c r="S7" s="31">
        <v>450000</v>
      </c>
      <c r="T7" s="39">
        <v>480000</v>
      </c>
      <c r="U7">
        <v>75000</v>
      </c>
      <c r="V7">
        <v>48000</v>
      </c>
      <c r="W7">
        <v>0</v>
      </c>
      <c r="X7" s="39">
        <v>135690</v>
      </c>
      <c r="Y7">
        <v>0</v>
      </c>
      <c r="Z7" s="31">
        <v>357000</v>
      </c>
      <c r="AA7">
        <v>8</v>
      </c>
      <c r="AB7" s="3">
        <f t="shared" si="2"/>
        <v>357000</v>
      </c>
      <c r="AC7" t="str">
        <f>IF(AB7-S7&lt;0,"YES","NO")</f>
        <v>YES</v>
      </c>
      <c r="AD7">
        <f>IF(AC7="NO",0,AB7-S7)</f>
        <v>-93000</v>
      </c>
      <c r="AE7" s="43">
        <v>0.08</v>
      </c>
      <c r="AF7" s="3">
        <f t="shared" si="3"/>
        <v>-86111.111111111109</v>
      </c>
      <c r="AG7" s="45">
        <f t="shared" si="4"/>
        <v>-94722.222222222234</v>
      </c>
    </row>
    <row r="8" spans="1:34" x14ac:dyDescent="0.25">
      <c r="A8" t="s">
        <v>146</v>
      </c>
      <c r="B8" t="s">
        <v>147</v>
      </c>
      <c r="C8" t="s">
        <v>148</v>
      </c>
      <c r="D8" t="s">
        <v>149</v>
      </c>
      <c r="E8" t="s">
        <v>150</v>
      </c>
      <c r="F8" t="s">
        <v>151</v>
      </c>
      <c r="G8" t="s">
        <v>5</v>
      </c>
      <c r="H8" t="s">
        <v>65</v>
      </c>
      <c r="I8" t="s">
        <v>66</v>
      </c>
      <c r="J8" t="s">
        <v>67</v>
      </c>
      <c r="K8" t="s">
        <v>3</v>
      </c>
      <c r="L8" t="s">
        <v>4</v>
      </c>
      <c r="M8" t="s">
        <v>49</v>
      </c>
      <c r="N8" t="s">
        <v>152</v>
      </c>
      <c r="O8" s="31" t="s">
        <v>153</v>
      </c>
      <c r="P8">
        <v>220</v>
      </c>
      <c r="R8">
        <v>2</v>
      </c>
      <c r="S8" s="31">
        <v>150000</v>
      </c>
      <c r="T8" s="39">
        <v>160000</v>
      </c>
      <c r="U8">
        <v>20000</v>
      </c>
      <c r="V8">
        <v>16000</v>
      </c>
      <c r="W8">
        <v>0</v>
      </c>
      <c r="X8" s="39">
        <v>44800</v>
      </c>
      <c r="Y8">
        <v>0</v>
      </c>
      <c r="Z8" s="31">
        <v>124000</v>
      </c>
      <c r="AA8">
        <v>8</v>
      </c>
      <c r="AB8" s="3">
        <f t="shared" si="2"/>
        <v>124000</v>
      </c>
      <c r="AC8" t="str">
        <f>IF(AB8-S8&lt;0,"YES","NO")</f>
        <v>YES</v>
      </c>
      <c r="AD8">
        <f>IF(AC8="NO",0,AB8-S8)</f>
        <v>-26000</v>
      </c>
      <c r="AE8" s="43">
        <v>0.08</v>
      </c>
      <c r="AF8" s="3">
        <f t="shared" si="3"/>
        <v>-24074.074074074073</v>
      </c>
      <c r="AG8" s="45">
        <f t="shared" si="4"/>
        <v>-26481.481481481482</v>
      </c>
      <c r="AH8" s="55"/>
    </row>
    <row r="9" spans="1:34" x14ac:dyDescent="0.25">
      <c r="A9" t="s">
        <v>154</v>
      </c>
      <c r="B9" t="s">
        <v>155</v>
      </c>
      <c r="C9" t="s">
        <v>156</v>
      </c>
      <c r="D9" t="s">
        <v>157</v>
      </c>
      <c r="E9" t="s">
        <v>158</v>
      </c>
      <c r="F9" t="s">
        <v>159</v>
      </c>
      <c r="G9" t="s">
        <v>5</v>
      </c>
      <c r="H9" t="s">
        <v>61</v>
      </c>
      <c r="I9" t="s">
        <v>84</v>
      </c>
      <c r="J9" t="s">
        <v>85</v>
      </c>
      <c r="K9" t="s">
        <v>3</v>
      </c>
      <c r="L9" t="s">
        <v>4</v>
      </c>
      <c r="M9" t="s">
        <v>49</v>
      </c>
      <c r="N9" t="s">
        <v>160</v>
      </c>
      <c r="O9" s="31" t="s">
        <v>161</v>
      </c>
      <c r="P9">
        <v>100</v>
      </c>
      <c r="Q9" t="s">
        <v>86</v>
      </c>
      <c r="R9">
        <v>1</v>
      </c>
      <c r="S9" s="31">
        <v>0</v>
      </c>
      <c r="T9" s="39">
        <v>0</v>
      </c>
      <c r="U9">
        <v>0</v>
      </c>
      <c r="V9">
        <v>0</v>
      </c>
      <c r="W9">
        <v>0</v>
      </c>
      <c r="X9" s="39">
        <v>0</v>
      </c>
      <c r="Y9">
        <v>0</v>
      </c>
      <c r="Z9" s="31">
        <v>0</v>
      </c>
      <c r="AA9">
        <v>8</v>
      </c>
      <c r="AB9" s="3">
        <f t="shared" si="2"/>
        <v>0</v>
      </c>
      <c r="AC9" t="str">
        <f>IF(AB9-S9&lt;0,"YES","NO")</f>
        <v>NO</v>
      </c>
      <c r="AD9">
        <f>IF(AC9="NO",0,AB9-S9)</f>
        <v>0</v>
      </c>
      <c r="AE9" s="43">
        <v>0.08</v>
      </c>
      <c r="AF9" s="3">
        <f t="shared" si="3"/>
        <v>0</v>
      </c>
      <c r="AG9" s="45">
        <f t="shared" si="4"/>
        <v>0</v>
      </c>
      <c r="AH9" s="55"/>
    </row>
    <row r="10" spans="1:34" x14ac:dyDescent="0.25">
      <c r="A10" t="s">
        <v>154</v>
      </c>
      <c r="B10" t="s">
        <v>155</v>
      </c>
      <c r="C10" t="s">
        <v>156</v>
      </c>
      <c r="D10" t="s">
        <v>157</v>
      </c>
      <c r="E10" t="s">
        <v>158</v>
      </c>
      <c r="F10" t="s">
        <v>159</v>
      </c>
      <c r="G10" t="s">
        <v>5</v>
      </c>
      <c r="H10" t="s">
        <v>65</v>
      </c>
      <c r="I10" t="s">
        <v>90</v>
      </c>
      <c r="J10" t="s">
        <v>91</v>
      </c>
      <c r="K10" t="s">
        <v>3</v>
      </c>
      <c r="L10" t="s">
        <v>4</v>
      </c>
      <c r="M10" t="s">
        <v>49</v>
      </c>
      <c r="N10" t="s">
        <v>160</v>
      </c>
      <c r="O10" s="31" t="s">
        <v>161</v>
      </c>
      <c r="P10">
        <v>220</v>
      </c>
      <c r="Q10" t="s">
        <v>92</v>
      </c>
      <c r="R10">
        <v>6</v>
      </c>
      <c r="S10" s="31">
        <v>354000</v>
      </c>
      <c r="T10" s="39">
        <v>420000</v>
      </c>
      <c r="U10">
        <v>75000</v>
      </c>
      <c r="V10">
        <v>37000.019999999997</v>
      </c>
      <c r="W10">
        <v>0</v>
      </c>
      <c r="X10" s="39">
        <v>124999.98</v>
      </c>
      <c r="Y10">
        <v>0</v>
      </c>
      <c r="Z10" s="31">
        <v>307999.98</v>
      </c>
      <c r="AA10">
        <v>8</v>
      </c>
      <c r="AB10" s="3">
        <f t="shared" si="2"/>
        <v>307999.98</v>
      </c>
      <c r="AC10" t="str">
        <f>IF(AB10-S10&lt;0,"YES","NO")</f>
        <v>YES</v>
      </c>
      <c r="AD10">
        <f>IF(AC10="NO",0,AB10-S10)</f>
        <v>-46000.020000000019</v>
      </c>
      <c r="AE10" s="43">
        <v>0.08</v>
      </c>
      <c r="AF10" s="3">
        <f t="shared" si="3"/>
        <v>-42592.611111111124</v>
      </c>
      <c r="AG10" s="45">
        <f t="shared" si="4"/>
        <v>-46851.872222222242</v>
      </c>
      <c r="AH10" s="55"/>
    </row>
    <row r="11" spans="1:34" x14ac:dyDescent="0.25">
      <c r="A11" t="s">
        <v>162</v>
      </c>
      <c r="B11" t="s">
        <v>163</v>
      </c>
      <c r="C11" t="s">
        <v>164</v>
      </c>
      <c r="D11" t="s">
        <v>165</v>
      </c>
      <c r="E11" t="s">
        <v>166</v>
      </c>
      <c r="F11" t="s">
        <v>167</v>
      </c>
      <c r="G11" t="s">
        <v>5</v>
      </c>
      <c r="H11" t="s">
        <v>61</v>
      </c>
      <c r="I11" t="s">
        <v>93</v>
      </c>
      <c r="J11" t="s">
        <v>94</v>
      </c>
      <c r="K11" t="s">
        <v>3</v>
      </c>
      <c r="L11" t="s">
        <v>4</v>
      </c>
      <c r="M11" t="s">
        <v>49</v>
      </c>
      <c r="N11" t="s">
        <v>168</v>
      </c>
      <c r="O11" s="31" t="s">
        <v>169</v>
      </c>
      <c r="P11">
        <v>20</v>
      </c>
      <c r="Q11" t="s">
        <v>86</v>
      </c>
      <c r="R11">
        <v>1</v>
      </c>
      <c r="S11" s="31">
        <v>0</v>
      </c>
      <c r="T11" s="39">
        <v>0</v>
      </c>
      <c r="U11">
        <v>0</v>
      </c>
      <c r="V11">
        <v>0</v>
      </c>
      <c r="W11">
        <v>0</v>
      </c>
      <c r="X11" s="39">
        <v>0</v>
      </c>
      <c r="Y11">
        <v>0</v>
      </c>
      <c r="Z11" s="31">
        <v>0</v>
      </c>
      <c r="AA11">
        <v>8</v>
      </c>
      <c r="AB11" s="3">
        <f t="shared" si="2"/>
        <v>0</v>
      </c>
      <c r="AC11" t="str">
        <f>IF(AB11-S11&lt;0,"YES","NO")</f>
        <v>NO</v>
      </c>
      <c r="AD11">
        <f>IF(AC11="NO",0,AB11-S11)</f>
        <v>0</v>
      </c>
      <c r="AE11" s="43">
        <v>0.08</v>
      </c>
      <c r="AF11" s="3">
        <f t="shared" si="3"/>
        <v>0</v>
      </c>
      <c r="AG11" s="45">
        <f t="shared" si="4"/>
        <v>0</v>
      </c>
      <c r="AH11" s="55"/>
    </row>
    <row r="12" spans="1:34" x14ac:dyDescent="0.25">
      <c r="A12" t="s">
        <v>162</v>
      </c>
      <c r="B12" t="s">
        <v>163</v>
      </c>
      <c r="C12" t="s">
        <v>164</v>
      </c>
      <c r="D12" t="s">
        <v>165</v>
      </c>
      <c r="E12" t="s">
        <v>166</v>
      </c>
      <c r="F12" t="s">
        <v>167</v>
      </c>
      <c r="G12" t="s">
        <v>5</v>
      </c>
      <c r="H12" t="s">
        <v>65</v>
      </c>
      <c r="I12" t="s">
        <v>100</v>
      </c>
      <c r="J12" t="s">
        <v>101</v>
      </c>
      <c r="K12" t="s">
        <v>3</v>
      </c>
      <c r="L12" t="s">
        <v>4</v>
      </c>
      <c r="M12" t="s">
        <v>49</v>
      </c>
      <c r="N12" t="s">
        <v>168</v>
      </c>
      <c r="O12" s="31" t="s">
        <v>169</v>
      </c>
      <c r="P12">
        <v>200</v>
      </c>
      <c r="R12">
        <v>6</v>
      </c>
      <c r="S12" s="31">
        <v>432000</v>
      </c>
      <c r="T12" s="39">
        <v>480000</v>
      </c>
      <c r="U12">
        <v>75000</v>
      </c>
      <c r="V12">
        <v>48000</v>
      </c>
      <c r="W12">
        <v>0</v>
      </c>
      <c r="X12" s="39">
        <v>132120</v>
      </c>
      <c r="Y12">
        <v>0</v>
      </c>
      <c r="Z12" s="31">
        <v>357000</v>
      </c>
      <c r="AA12">
        <v>8</v>
      </c>
      <c r="AB12" s="3">
        <f t="shared" si="2"/>
        <v>357000</v>
      </c>
      <c r="AC12" t="str">
        <f>IF(AB12-S12&lt;0,"YES","NO")</f>
        <v>YES</v>
      </c>
      <c r="AD12">
        <f>IF(AC12="NO",0,AB12-S12)</f>
        <v>-75000</v>
      </c>
      <c r="AE12" s="43">
        <v>0.08</v>
      </c>
      <c r="AF12" s="3">
        <f t="shared" si="3"/>
        <v>-69444.444444444438</v>
      </c>
      <c r="AG12" s="45">
        <f t="shared" si="4"/>
        <v>-76388.888888888891</v>
      </c>
      <c r="AH12" s="55"/>
    </row>
    <row r="13" spans="1:34" x14ac:dyDescent="0.25">
      <c r="A13" t="s">
        <v>170</v>
      </c>
      <c r="B13" t="s">
        <v>171</v>
      </c>
      <c r="C13" t="s">
        <v>172</v>
      </c>
      <c r="D13" t="s">
        <v>173</v>
      </c>
      <c r="E13" t="s">
        <v>174</v>
      </c>
      <c r="F13" t="s">
        <v>175</v>
      </c>
      <c r="G13" t="s">
        <v>5</v>
      </c>
      <c r="H13" t="s">
        <v>61</v>
      </c>
      <c r="I13" t="s">
        <v>84</v>
      </c>
      <c r="J13" t="s">
        <v>85</v>
      </c>
      <c r="K13" t="s">
        <v>3</v>
      </c>
      <c r="L13" t="s">
        <v>4</v>
      </c>
      <c r="M13" t="s">
        <v>49</v>
      </c>
      <c r="N13" t="s">
        <v>176</v>
      </c>
      <c r="O13" s="31" t="s">
        <v>177</v>
      </c>
      <c r="P13">
        <v>100</v>
      </c>
      <c r="Q13" t="s">
        <v>86</v>
      </c>
      <c r="R13">
        <v>1</v>
      </c>
      <c r="S13" s="31">
        <v>0</v>
      </c>
      <c r="T13" s="39">
        <v>0</v>
      </c>
      <c r="U13">
        <v>0</v>
      </c>
      <c r="V13">
        <v>0</v>
      </c>
      <c r="W13">
        <v>0</v>
      </c>
      <c r="X13" s="39">
        <v>0</v>
      </c>
      <c r="Y13">
        <v>0</v>
      </c>
      <c r="Z13" s="31">
        <v>0</v>
      </c>
      <c r="AA13">
        <v>8</v>
      </c>
      <c r="AB13" s="3">
        <f t="shared" si="2"/>
        <v>0</v>
      </c>
      <c r="AC13" t="str">
        <f>IF(AB13-S13&lt;0,"YES","NO")</f>
        <v>NO</v>
      </c>
      <c r="AD13">
        <f>IF(AC13="NO",0,AB13-S13)</f>
        <v>0</v>
      </c>
      <c r="AE13" s="43">
        <v>0.08</v>
      </c>
      <c r="AF13" s="3">
        <f t="shared" si="3"/>
        <v>0</v>
      </c>
      <c r="AG13" s="45">
        <f t="shared" si="4"/>
        <v>0</v>
      </c>
      <c r="AH13" s="55"/>
    </row>
    <row r="14" spans="1:34" x14ac:dyDescent="0.25">
      <c r="A14" t="s">
        <v>170</v>
      </c>
      <c r="B14" t="s">
        <v>171</v>
      </c>
      <c r="C14" t="s">
        <v>172</v>
      </c>
      <c r="D14" t="s">
        <v>173</v>
      </c>
      <c r="E14" t="s">
        <v>174</v>
      </c>
      <c r="F14" t="s">
        <v>175</v>
      </c>
      <c r="G14" t="s">
        <v>5</v>
      </c>
      <c r="H14" t="s">
        <v>65</v>
      </c>
      <c r="I14" t="s">
        <v>66</v>
      </c>
      <c r="J14" t="s">
        <v>67</v>
      </c>
      <c r="K14" t="s">
        <v>3</v>
      </c>
      <c r="L14" t="s">
        <v>4</v>
      </c>
      <c r="M14" t="s">
        <v>49</v>
      </c>
      <c r="N14" t="s">
        <v>176</v>
      </c>
      <c r="O14" s="31" t="s">
        <v>177</v>
      </c>
      <c r="P14">
        <v>220</v>
      </c>
      <c r="R14">
        <v>3</v>
      </c>
      <c r="S14" s="31">
        <v>225000</v>
      </c>
      <c r="T14" s="39">
        <v>240000</v>
      </c>
      <c r="U14">
        <v>35000.01</v>
      </c>
      <c r="V14">
        <v>24000</v>
      </c>
      <c r="W14">
        <v>0</v>
      </c>
      <c r="X14" s="39">
        <v>62150.01</v>
      </c>
      <c r="Y14">
        <v>0</v>
      </c>
      <c r="Z14" s="31">
        <v>180999.99</v>
      </c>
      <c r="AA14">
        <v>8</v>
      </c>
      <c r="AB14" s="3">
        <f t="shared" si="2"/>
        <v>180999.99</v>
      </c>
      <c r="AC14" t="str">
        <f>IF(AB14-S14&lt;0,"YES","NO")</f>
        <v>YES</v>
      </c>
      <c r="AD14">
        <f>IF(AC14="NO",0,AB14-S14)</f>
        <v>-44000.010000000009</v>
      </c>
      <c r="AE14" s="43">
        <v>0.08</v>
      </c>
      <c r="AF14" s="3">
        <f t="shared" si="3"/>
        <v>-40740.750000000007</v>
      </c>
      <c r="AG14" s="45">
        <f t="shared" si="4"/>
        <v>-44814.825000000012</v>
      </c>
      <c r="AH14" s="55"/>
    </row>
    <row r="15" spans="1:34" x14ac:dyDescent="0.25">
      <c r="A15" t="s">
        <v>178</v>
      </c>
      <c r="B15" t="s">
        <v>179</v>
      </c>
      <c r="C15" t="s">
        <v>180</v>
      </c>
      <c r="D15" t="s">
        <v>181</v>
      </c>
      <c r="E15" t="s">
        <v>182</v>
      </c>
      <c r="F15" t="s">
        <v>183</v>
      </c>
      <c r="G15" t="s">
        <v>5</v>
      </c>
      <c r="H15" t="s">
        <v>65</v>
      </c>
      <c r="I15" t="s">
        <v>82</v>
      </c>
      <c r="J15" t="s">
        <v>83</v>
      </c>
      <c r="K15" t="s">
        <v>3</v>
      </c>
      <c r="L15" t="s">
        <v>4</v>
      </c>
      <c r="M15" t="s">
        <v>49</v>
      </c>
      <c r="N15" t="s">
        <v>184</v>
      </c>
      <c r="O15" s="31" t="s">
        <v>185</v>
      </c>
      <c r="P15">
        <v>220</v>
      </c>
      <c r="R15">
        <v>2</v>
      </c>
      <c r="S15" s="31">
        <v>150000</v>
      </c>
      <c r="T15" s="39">
        <v>160000</v>
      </c>
      <c r="U15">
        <v>20000</v>
      </c>
      <c r="V15">
        <v>10000</v>
      </c>
      <c r="W15">
        <v>0</v>
      </c>
      <c r="X15" s="39">
        <v>33000</v>
      </c>
      <c r="Y15">
        <v>0</v>
      </c>
      <c r="Z15" s="31">
        <v>130000</v>
      </c>
      <c r="AA15">
        <v>8</v>
      </c>
      <c r="AB15" s="3">
        <f t="shared" si="2"/>
        <v>130000</v>
      </c>
      <c r="AC15" t="str">
        <f>IF(AB15-S15&lt;0,"YES","NO")</f>
        <v>YES</v>
      </c>
      <c r="AD15">
        <f>IF(AC15="NO",0,AB15-S15)</f>
        <v>-20000</v>
      </c>
      <c r="AE15" s="43">
        <v>0.08</v>
      </c>
      <c r="AF15" s="3">
        <f t="shared" si="3"/>
        <v>-18518.518518518518</v>
      </c>
      <c r="AG15" s="45">
        <f t="shared" si="4"/>
        <v>-20370.370370370372</v>
      </c>
      <c r="AH15" s="55"/>
    </row>
    <row r="16" spans="1:34" x14ac:dyDescent="0.25">
      <c r="A16" t="s">
        <v>186</v>
      </c>
      <c r="B16" t="s">
        <v>187</v>
      </c>
      <c r="C16" t="s">
        <v>188</v>
      </c>
      <c r="D16" t="s">
        <v>189</v>
      </c>
      <c r="E16" t="s">
        <v>190</v>
      </c>
      <c r="F16" t="s">
        <v>191</v>
      </c>
      <c r="G16" t="s">
        <v>5</v>
      </c>
      <c r="H16" t="s">
        <v>65</v>
      </c>
      <c r="I16" t="s">
        <v>66</v>
      </c>
      <c r="J16" t="s">
        <v>67</v>
      </c>
      <c r="K16" t="s">
        <v>3</v>
      </c>
      <c r="L16" t="s">
        <v>4</v>
      </c>
      <c r="M16" t="s">
        <v>49</v>
      </c>
      <c r="N16" t="s">
        <v>192</v>
      </c>
      <c r="O16" s="31" t="s">
        <v>193</v>
      </c>
      <c r="P16">
        <v>220</v>
      </c>
      <c r="R16">
        <v>3</v>
      </c>
      <c r="S16" s="31">
        <v>225000</v>
      </c>
      <c r="T16" s="39">
        <v>240000</v>
      </c>
      <c r="U16">
        <v>35000.01</v>
      </c>
      <c r="V16">
        <v>24000</v>
      </c>
      <c r="W16">
        <v>0</v>
      </c>
      <c r="X16" s="39">
        <v>71199.990000000005</v>
      </c>
      <c r="Y16">
        <v>0</v>
      </c>
      <c r="Z16" s="31">
        <v>180999.99</v>
      </c>
      <c r="AA16">
        <v>8</v>
      </c>
      <c r="AB16" s="3">
        <f t="shared" si="2"/>
        <v>180999.99</v>
      </c>
      <c r="AC16" t="str">
        <f>IF(AB16-S16&lt;0,"YES","NO")</f>
        <v>YES</v>
      </c>
      <c r="AD16">
        <f>IF(AC16="NO",0,AB16-S16)</f>
        <v>-44000.010000000009</v>
      </c>
      <c r="AE16" s="43">
        <v>0.08</v>
      </c>
      <c r="AF16" s="3">
        <f t="shared" si="3"/>
        <v>-40740.750000000007</v>
      </c>
      <c r="AG16" s="45">
        <f t="shared" si="4"/>
        <v>-44814.825000000012</v>
      </c>
      <c r="AH16" s="55"/>
    </row>
    <row r="17" spans="1:34" x14ac:dyDescent="0.25">
      <c r="A17" t="s">
        <v>194</v>
      </c>
      <c r="B17" t="s">
        <v>195</v>
      </c>
      <c r="C17" t="s">
        <v>196</v>
      </c>
      <c r="D17" t="s">
        <v>197</v>
      </c>
      <c r="E17" t="s">
        <v>198</v>
      </c>
      <c r="F17" t="s">
        <v>199</v>
      </c>
      <c r="G17" t="s">
        <v>5</v>
      </c>
      <c r="H17" t="s">
        <v>65</v>
      </c>
      <c r="I17" t="s">
        <v>66</v>
      </c>
      <c r="J17" t="s">
        <v>67</v>
      </c>
      <c r="K17" t="s">
        <v>3</v>
      </c>
      <c r="L17" t="s">
        <v>4</v>
      </c>
      <c r="M17" t="s">
        <v>49</v>
      </c>
      <c r="N17" t="s">
        <v>200</v>
      </c>
      <c r="O17" s="31" t="s">
        <v>201</v>
      </c>
      <c r="P17">
        <v>220</v>
      </c>
      <c r="R17">
        <v>2</v>
      </c>
      <c r="S17" s="31">
        <v>150000</v>
      </c>
      <c r="T17" s="39">
        <v>160000</v>
      </c>
      <c r="U17">
        <v>20000</v>
      </c>
      <c r="V17">
        <v>16000</v>
      </c>
      <c r="W17">
        <v>0</v>
      </c>
      <c r="X17" s="39">
        <v>44800</v>
      </c>
      <c r="Y17">
        <v>0</v>
      </c>
      <c r="Z17" s="31">
        <v>124000</v>
      </c>
      <c r="AA17">
        <v>8</v>
      </c>
      <c r="AB17" s="3">
        <f t="shared" si="2"/>
        <v>124000</v>
      </c>
      <c r="AC17" t="str">
        <f>IF(AB17-S17&lt;0,"YES","NO")</f>
        <v>YES</v>
      </c>
      <c r="AD17">
        <f>IF(AC17="NO",0,AB17-S17)</f>
        <v>-26000</v>
      </c>
      <c r="AE17" s="43">
        <v>0.08</v>
      </c>
      <c r="AF17" s="3">
        <f t="shared" si="3"/>
        <v>-24074.074074074073</v>
      </c>
      <c r="AG17" s="45">
        <f t="shared" si="4"/>
        <v>-26481.481481481482</v>
      </c>
      <c r="AH17" s="55"/>
    </row>
    <row r="18" spans="1:34" x14ac:dyDescent="0.25">
      <c r="A18" t="s">
        <v>202</v>
      </c>
      <c r="B18" t="s">
        <v>203</v>
      </c>
      <c r="C18" t="s">
        <v>204</v>
      </c>
      <c r="D18" t="s">
        <v>205</v>
      </c>
      <c r="E18" t="s">
        <v>206</v>
      </c>
      <c r="F18" t="s">
        <v>207</v>
      </c>
      <c r="G18" t="s">
        <v>5</v>
      </c>
      <c r="H18" t="s">
        <v>65</v>
      </c>
      <c r="I18" t="s">
        <v>66</v>
      </c>
      <c r="J18" t="s">
        <v>67</v>
      </c>
      <c r="K18" t="s">
        <v>3</v>
      </c>
      <c r="L18" t="s">
        <v>4</v>
      </c>
      <c r="M18" t="s">
        <v>49</v>
      </c>
      <c r="N18" t="s">
        <v>208</v>
      </c>
      <c r="O18" s="31" t="s">
        <v>209</v>
      </c>
      <c r="P18">
        <v>220</v>
      </c>
      <c r="R18">
        <v>6</v>
      </c>
      <c r="S18" s="31">
        <v>450000</v>
      </c>
      <c r="T18" s="39">
        <v>480000</v>
      </c>
      <c r="U18">
        <v>75000</v>
      </c>
      <c r="V18">
        <v>48000</v>
      </c>
      <c r="W18">
        <v>0</v>
      </c>
      <c r="X18" s="39">
        <v>139260</v>
      </c>
      <c r="Y18">
        <v>0</v>
      </c>
      <c r="Z18" s="31">
        <v>357000</v>
      </c>
      <c r="AA18">
        <v>8</v>
      </c>
      <c r="AB18" s="3">
        <f t="shared" si="2"/>
        <v>357000</v>
      </c>
      <c r="AC18" t="str">
        <f>IF(AB18-S18&lt;0,"YES","NO")</f>
        <v>YES</v>
      </c>
      <c r="AD18">
        <f>IF(AC18="NO",0,AB18-S18)</f>
        <v>-93000</v>
      </c>
      <c r="AE18" s="43">
        <v>0.08</v>
      </c>
      <c r="AF18" s="3">
        <f t="shared" si="3"/>
        <v>-86111.111111111109</v>
      </c>
      <c r="AG18" s="45">
        <f t="shared" si="4"/>
        <v>-94722.222222222234</v>
      </c>
      <c r="AH18" s="55"/>
    </row>
    <row r="19" spans="1:34" x14ac:dyDescent="0.25">
      <c r="A19" t="s">
        <v>210</v>
      </c>
      <c r="B19" t="s">
        <v>211</v>
      </c>
      <c r="C19" t="s">
        <v>212</v>
      </c>
      <c r="D19" t="s">
        <v>213</v>
      </c>
      <c r="E19" t="s">
        <v>214</v>
      </c>
      <c r="F19" t="s">
        <v>215</v>
      </c>
      <c r="G19" t="s">
        <v>5</v>
      </c>
      <c r="H19" t="s">
        <v>65</v>
      </c>
      <c r="I19" t="s">
        <v>71</v>
      </c>
      <c r="J19" t="s">
        <v>72</v>
      </c>
      <c r="K19" t="s">
        <v>3</v>
      </c>
      <c r="L19" t="s">
        <v>4</v>
      </c>
      <c r="M19" t="s">
        <v>49</v>
      </c>
      <c r="N19" t="s">
        <v>216</v>
      </c>
      <c r="O19" s="31" t="s">
        <v>217</v>
      </c>
      <c r="P19">
        <v>220</v>
      </c>
      <c r="Q19" t="s">
        <v>70</v>
      </c>
      <c r="R19">
        <v>3</v>
      </c>
      <c r="S19" s="31">
        <v>177000</v>
      </c>
      <c r="T19" s="39">
        <v>195000</v>
      </c>
      <c r="U19">
        <v>35000.01</v>
      </c>
      <c r="V19">
        <v>19500</v>
      </c>
      <c r="W19">
        <v>0</v>
      </c>
      <c r="X19" s="39">
        <v>63099.99</v>
      </c>
      <c r="Y19">
        <v>0</v>
      </c>
      <c r="Z19" s="31">
        <v>140499.99</v>
      </c>
      <c r="AA19">
        <v>8</v>
      </c>
      <c r="AB19" s="3">
        <f t="shared" si="2"/>
        <v>140499.99</v>
      </c>
      <c r="AC19" t="str">
        <f>IF(AB19-S19&lt;0,"YES","NO")</f>
        <v>YES</v>
      </c>
      <c r="AD19">
        <f>IF(AC19="NO",0,AB19-S19)</f>
        <v>-36500.010000000009</v>
      </c>
      <c r="AE19" s="43">
        <v>0.08</v>
      </c>
      <c r="AF19" s="3">
        <f t="shared" si="3"/>
        <v>-33796.305555555562</v>
      </c>
      <c r="AG19" s="45">
        <f t="shared" si="4"/>
        <v>-37175.936111111121</v>
      </c>
      <c r="AH19" s="55"/>
    </row>
    <row r="20" spans="1:34" x14ac:dyDescent="0.25">
      <c r="A20" t="s">
        <v>218</v>
      </c>
      <c r="B20" t="s">
        <v>219</v>
      </c>
      <c r="C20" t="s">
        <v>220</v>
      </c>
      <c r="D20" t="s">
        <v>221</v>
      </c>
      <c r="E20" t="s">
        <v>222</v>
      </c>
      <c r="F20" t="s">
        <v>223</v>
      </c>
      <c r="G20" t="s">
        <v>5</v>
      </c>
      <c r="H20" t="s">
        <v>61</v>
      </c>
      <c r="I20" t="s">
        <v>93</v>
      </c>
      <c r="J20" t="s">
        <v>94</v>
      </c>
      <c r="K20" t="s">
        <v>3</v>
      </c>
      <c r="L20" t="s">
        <v>4</v>
      </c>
      <c r="M20" t="s">
        <v>49</v>
      </c>
      <c r="N20" t="s">
        <v>224</v>
      </c>
      <c r="O20" s="31" t="s">
        <v>225</v>
      </c>
      <c r="P20">
        <v>20</v>
      </c>
      <c r="Q20" t="s">
        <v>86</v>
      </c>
      <c r="R20">
        <v>1</v>
      </c>
      <c r="S20" s="31">
        <v>0</v>
      </c>
      <c r="T20" s="39">
        <v>0</v>
      </c>
      <c r="U20">
        <v>0</v>
      </c>
      <c r="V20">
        <v>0</v>
      </c>
      <c r="W20">
        <v>0</v>
      </c>
      <c r="X20" s="39">
        <v>0</v>
      </c>
      <c r="Y20">
        <v>0</v>
      </c>
      <c r="Z20" s="31">
        <v>0</v>
      </c>
      <c r="AA20">
        <v>8</v>
      </c>
      <c r="AB20" s="3">
        <f t="shared" si="2"/>
        <v>0</v>
      </c>
      <c r="AC20" t="str">
        <f>IF(AB20-S20&lt;0,"YES","NO")</f>
        <v>NO</v>
      </c>
      <c r="AD20">
        <f>IF(AC20="NO",0,AB20-S20)</f>
        <v>0</v>
      </c>
      <c r="AE20" s="43">
        <v>0.08</v>
      </c>
      <c r="AF20" s="3">
        <f t="shared" si="3"/>
        <v>0</v>
      </c>
      <c r="AG20" s="45">
        <f t="shared" si="4"/>
        <v>0</v>
      </c>
      <c r="AH20" s="55"/>
    </row>
    <row r="21" spans="1:34" x14ac:dyDescent="0.25">
      <c r="A21" t="s">
        <v>218</v>
      </c>
      <c r="B21" t="s">
        <v>219</v>
      </c>
      <c r="C21" t="s">
        <v>220</v>
      </c>
      <c r="D21" t="s">
        <v>221</v>
      </c>
      <c r="E21" t="s">
        <v>222</v>
      </c>
      <c r="F21" t="s">
        <v>223</v>
      </c>
      <c r="G21" t="s">
        <v>5</v>
      </c>
      <c r="H21" t="s">
        <v>65</v>
      </c>
      <c r="I21" t="s">
        <v>100</v>
      </c>
      <c r="J21" t="s">
        <v>101</v>
      </c>
      <c r="K21" t="s">
        <v>3</v>
      </c>
      <c r="L21" t="s">
        <v>4</v>
      </c>
      <c r="M21" t="s">
        <v>49</v>
      </c>
      <c r="N21" t="s">
        <v>224</v>
      </c>
      <c r="O21" s="31" t="s">
        <v>225</v>
      </c>
      <c r="P21">
        <v>200</v>
      </c>
      <c r="R21">
        <v>6</v>
      </c>
      <c r="S21" s="31">
        <v>432000</v>
      </c>
      <c r="T21" s="39">
        <v>480000</v>
      </c>
      <c r="U21">
        <v>75000</v>
      </c>
      <c r="V21">
        <v>48000</v>
      </c>
      <c r="W21">
        <v>0</v>
      </c>
      <c r="X21" s="39">
        <v>135690</v>
      </c>
      <c r="Y21">
        <v>0</v>
      </c>
      <c r="Z21" s="31">
        <v>357000</v>
      </c>
      <c r="AA21">
        <v>8</v>
      </c>
      <c r="AB21" s="3">
        <f t="shared" si="2"/>
        <v>357000</v>
      </c>
      <c r="AC21" t="str">
        <f>IF(AB21-S21&lt;0,"YES","NO")</f>
        <v>YES</v>
      </c>
      <c r="AD21">
        <f>IF(AC21="NO",0,AB21-S21)</f>
        <v>-75000</v>
      </c>
      <c r="AE21" s="43">
        <v>0.08</v>
      </c>
      <c r="AF21" s="3">
        <f t="shared" si="3"/>
        <v>-69444.444444444438</v>
      </c>
      <c r="AG21" s="45">
        <f t="shared" si="4"/>
        <v>-76388.888888888891</v>
      </c>
      <c r="AH21" s="55"/>
    </row>
    <row r="22" spans="1:34" x14ac:dyDescent="0.25">
      <c r="A22" t="s">
        <v>226</v>
      </c>
      <c r="B22" t="s">
        <v>227</v>
      </c>
      <c r="C22" t="s">
        <v>228</v>
      </c>
      <c r="D22" t="s">
        <v>229</v>
      </c>
      <c r="E22" t="s">
        <v>230</v>
      </c>
      <c r="F22" t="s">
        <v>231</v>
      </c>
      <c r="G22" t="s">
        <v>5</v>
      </c>
      <c r="H22" t="s">
        <v>65</v>
      </c>
      <c r="I22" t="s">
        <v>66</v>
      </c>
      <c r="J22" t="s">
        <v>67</v>
      </c>
      <c r="K22" t="s">
        <v>3</v>
      </c>
      <c r="L22" t="s">
        <v>4</v>
      </c>
      <c r="M22" t="s">
        <v>49</v>
      </c>
      <c r="N22" t="s">
        <v>232</v>
      </c>
      <c r="O22" s="31" t="s">
        <v>233</v>
      </c>
      <c r="P22">
        <v>220</v>
      </c>
      <c r="R22">
        <v>6</v>
      </c>
      <c r="S22" s="31">
        <v>450000</v>
      </c>
      <c r="T22" s="39">
        <v>480000</v>
      </c>
      <c r="U22">
        <v>75000</v>
      </c>
      <c r="V22">
        <v>48000</v>
      </c>
      <c r="W22">
        <v>0</v>
      </c>
      <c r="X22" s="39">
        <v>164250</v>
      </c>
      <c r="Y22">
        <v>0</v>
      </c>
      <c r="Z22" s="31">
        <v>357000</v>
      </c>
      <c r="AA22">
        <v>8</v>
      </c>
      <c r="AB22" s="3">
        <f t="shared" si="2"/>
        <v>357000</v>
      </c>
      <c r="AC22" t="str">
        <f>IF(AB22-S22&lt;0,"YES","NO")</f>
        <v>YES</v>
      </c>
      <c r="AD22">
        <f>IF(AC22="NO",0,AB22-S22)</f>
        <v>-93000</v>
      </c>
      <c r="AE22" s="43">
        <v>0.08</v>
      </c>
      <c r="AF22" s="3">
        <f t="shared" si="3"/>
        <v>-86111.111111111109</v>
      </c>
      <c r="AG22" s="45">
        <f t="shared" si="4"/>
        <v>-94722.222222222234</v>
      </c>
      <c r="AH22" s="55"/>
    </row>
    <row r="23" spans="1:34" x14ac:dyDescent="0.25">
      <c r="A23" t="s">
        <v>234</v>
      </c>
      <c r="B23" t="s">
        <v>235</v>
      </c>
      <c r="C23" t="s">
        <v>236</v>
      </c>
      <c r="D23" t="s">
        <v>237</v>
      </c>
      <c r="E23" t="s">
        <v>238</v>
      </c>
      <c r="F23" t="s">
        <v>239</v>
      </c>
      <c r="G23" t="s">
        <v>5</v>
      </c>
      <c r="H23" t="s">
        <v>65</v>
      </c>
      <c r="I23" t="s">
        <v>66</v>
      </c>
      <c r="J23" t="s">
        <v>67</v>
      </c>
      <c r="K23" t="s">
        <v>3</v>
      </c>
      <c r="L23" t="s">
        <v>4</v>
      </c>
      <c r="M23" t="s">
        <v>49</v>
      </c>
      <c r="N23" t="s">
        <v>240</v>
      </c>
      <c r="O23" s="31" t="s">
        <v>241</v>
      </c>
      <c r="P23">
        <v>220</v>
      </c>
      <c r="R23">
        <v>6</v>
      </c>
      <c r="S23" s="31">
        <v>450000</v>
      </c>
      <c r="T23" s="39">
        <v>480000</v>
      </c>
      <c r="U23">
        <v>75000</v>
      </c>
      <c r="V23">
        <v>48000</v>
      </c>
      <c r="W23">
        <v>0</v>
      </c>
      <c r="X23" s="39">
        <v>132120</v>
      </c>
      <c r="Y23">
        <v>0</v>
      </c>
      <c r="Z23" s="31">
        <v>357000</v>
      </c>
      <c r="AA23">
        <v>8</v>
      </c>
      <c r="AB23" s="3">
        <f t="shared" si="2"/>
        <v>357000</v>
      </c>
      <c r="AC23" t="str">
        <f>IF(AB23-S23&lt;0,"YES","NO")</f>
        <v>YES</v>
      </c>
      <c r="AD23">
        <f>IF(AC23="NO",0,AB23-S23)</f>
        <v>-93000</v>
      </c>
      <c r="AE23" s="43">
        <v>0.08</v>
      </c>
      <c r="AF23" s="3">
        <f t="shared" si="3"/>
        <v>-86111.111111111109</v>
      </c>
      <c r="AG23" s="45">
        <f t="shared" si="4"/>
        <v>-94722.222222222234</v>
      </c>
      <c r="AH23" s="55"/>
    </row>
    <row r="24" spans="1:34" x14ac:dyDescent="0.25">
      <c r="A24" t="s">
        <v>242</v>
      </c>
      <c r="B24" t="s">
        <v>243</v>
      </c>
      <c r="C24" t="s">
        <v>244</v>
      </c>
      <c r="D24" t="s">
        <v>245</v>
      </c>
      <c r="E24" t="s">
        <v>246</v>
      </c>
      <c r="F24" t="s">
        <v>247</v>
      </c>
      <c r="G24" t="s">
        <v>5</v>
      </c>
      <c r="H24" t="s">
        <v>61</v>
      </c>
      <c r="I24" t="s">
        <v>62</v>
      </c>
      <c r="J24" t="s">
        <v>63</v>
      </c>
      <c r="K24" t="s">
        <v>3</v>
      </c>
      <c r="L24" t="s">
        <v>4</v>
      </c>
      <c r="M24" t="s">
        <v>49</v>
      </c>
      <c r="N24" t="s">
        <v>248</v>
      </c>
      <c r="O24" s="31" t="s">
        <v>249</v>
      </c>
      <c r="P24">
        <v>20000</v>
      </c>
      <c r="Q24" t="s">
        <v>64</v>
      </c>
      <c r="R24">
        <v>1</v>
      </c>
      <c r="S24" s="31">
        <v>0</v>
      </c>
      <c r="T24" s="39">
        <v>0</v>
      </c>
      <c r="U24">
        <v>0</v>
      </c>
      <c r="V24">
        <v>0</v>
      </c>
      <c r="W24">
        <v>0</v>
      </c>
      <c r="X24" s="39">
        <v>0</v>
      </c>
      <c r="Y24">
        <v>0</v>
      </c>
      <c r="Z24" s="31">
        <v>0</v>
      </c>
      <c r="AA24">
        <v>8</v>
      </c>
      <c r="AB24" s="3">
        <f t="shared" si="2"/>
        <v>0</v>
      </c>
      <c r="AC24" t="str">
        <f>IF(AB24-S24&lt;0,"YES","NO")</f>
        <v>NO</v>
      </c>
      <c r="AD24">
        <f>IF(AC24="NO",0,AB24-S24)</f>
        <v>0</v>
      </c>
      <c r="AE24" s="43">
        <v>0.08</v>
      </c>
      <c r="AF24" s="3">
        <f t="shared" si="3"/>
        <v>0</v>
      </c>
      <c r="AG24" s="45">
        <f t="shared" si="4"/>
        <v>0</v>
      </c>
      <c r="AH24" s="55"/>
    </row>
    <row r="25" spans="1:34" x14ac:dyDescent="0.25">
      <c r="A25" t="s">
        <v>242</v>
      </c>
      <c r="B25" t="s">
        <v>243</v>
      </c>
      <c r="C25" t="s">
        <v>244</v>
      </c>
      <c r="D25" t="s">
        <v>245</v>
      </c>
      <c r="E25" t="s">
        <v>246</v>
      </c>
      <c r="F25" t="s">
        <v>247</v>
      </c>
      <c r="G25" t="s">
        <v>5</v>
      </c>
      <c r="H25" t="s">
        <v>65</v>
      </c>
      <c r="I25" t="s">
        <v>68</v>
      </c>
      <c r="J25" t="s">
        <v>69</v>
      </c>
      <c r="K25" t="s">
        <v>3</v>
      </c>
      <c r="L25" t="s">
        <v>4</v>
      </c>
      <c r="M25" t="s">
        <v>49</v>
      </c>
      <c r="N25" t="s">
        <v>248</v>
      </c>
      <c r="O25" s="31" t="s">
        <v>249</v>
      </c>
      <c r="P25">
        <v>220</v>
      </c>
      <c r="Q25" t="s">
        <v>70</v>
      </c>
      <c r="R25">
        <v>3</v>
      </c>
      <c r="S25" s="31">
        <v>177000</v>
      </c>
      <c r="T25" s="39">
        <v>195000</v>
      </c>
      <c r="U25">
        <v>35000.01</v>
      </c>
      <c r="V25">
        <v>19500</v>
      </c>
      <c r="W25">
        <v>0</v>
      </c>
      <c r="X25" s="39">
        <v>63099.99</v>
      </c>
      <c r="Y25">
        <v>0</v>
      </c>
      <c r="Z25" s="31">
        <v>140499.99</v>
      </c>
      <c r="AA25">
        <v>8</v>
      </c>
      <c r="AB25" s="3">
        <f t="shared" si="2"/>
        <v>140499.99</v>
      </c>
      <c r="AC25" t="str">
        <f>IF(AB25-S25&lt;0,"YES","NO")</f>
        <v>YES</v>
      </c>
      <c r="AD25">
        <f>IF(AC25="NO",0,AB25-S25)</f>
        <v>-36500.010000000009</v>
      </c>
      <c r="AE25" s="43">
        <v>0.08</v>
      </c>
      <c r="AF25" s="3">
        <f t="shared" si="3"/>
        <v>-33796.305555555562</v>
      </c>
      <c r="AG25" s="45">
        <f t="shared" si="4"/>
        <v>-37175.936111111121</v>
      </c>
      <c r="AH25" s="55"/>
    </row>
    <row r="26" spans="1:34" x14ac:dyDescent="0.25">
      <c r="A26" t="s">
        <v>250</v>
      </c>
      <c r="B26" t="s">
        <v>251</v>
      </c>
      <c r="C26" t="s">
        <v>252</v>
      </c>
      <c r="D26" t="s">
        <v>253</v>
      </c>
      <c r="E26" t="s">
        <v>254</v>
      </c>
      <c r="F26" t="s">
        <v>255</v>
      </c>
      <c r="G26" t="s">
        <v>5</v>
      </c>
      <c r="H26" t="s">
        <v>65</v>
      </c>
      <c r="I26" t="s">
        <v>66</v>
      </c>
      <c r="J26" t="s">
        <v>67</v>
      </c>
      <c r="K26" t="s">
        <v>3</v>
      </c>
      <c r="L26" t="s">
        <v>4</v>
      </c>
      <c r="M26" t="s">
        <v>49</v>
      </c>
      <c r="N26" t="s">
        <v>256</v>
      </c>
      <c r="O26" s="31" t="s">
        <v>257</v>
      </c>
      <c r="P26">
        <v>220</v>
      </c>
      <c r="R26">
        <v>6</v>
      </c>
      <c r="S26" s="31">
        <v>450000</v>
      </c>
      <c r="T26" s="39">
        <v>480000</v>
      </c>
      <c r="U26">
        <v>79999.98</v>
      </c>
      <c r="V26">
        <v>48000</v>
      </c>
      <c r="W26">
        <v>0</v>
      </c>
      <c r="X26" s="39">
        <v>143359.98000000001</v>
      </c>
      <c r="Y26">
        <v>0</v>
      </c>
      <c r="Z26" s="31">
        <v>352000.02</v>
      </c>
      <c r="AA26">
        <v>8</v>
      </c>
      <c r="AB26" s="3">
        <f t="shared" si="2"/>
        <v>352000.02</v>
      </c>
      <c r="AC26" t="str">
        <f>IF(AB26-S26&lt;0,"YES","NO")</f>
        <v>YES</v>
      </c>
      <c r="AD26">
        <f>IF(AC26="NO",0,AB26-S26)</f>
        <v>-97999.979999999981</v>
      </c>
      <c r="AE26" s="43">
        <v>0.08</v>
      </c>
      <c r="AF26" s="3">
        <f t="shared" si="3"/>
        <v>-90740.722222222204</v>
      </c>
      <c r="AG26" s="45">
        <f t="shared" si="4"/>
        <v>-99814.794444444429</v>
      </c>
      <c r="AH26" s="55"/>
    </row>
    <row r="27" spans="1:34" x14ac:dyDescent="0.25">
      <c r="A27" t="s">
        <v>258</v>
      </c>
      <c r="B27" t="s">
        <v>259</v>
      </c>
      <c r="C27" t="s">
        <v>260</v>
      </c>
      <c r="D27" t="s">
        <v>261</v>
      </c>
      <c r="E27" t="s">
        <v>262</v>
      </c>
      <c r="F27" t="s">
        <v>263</v>
      </c>
      <c r="G27" t="s">
        <v>5</v>
      </c>
      <c r="H27" t="s">
        <v>65</v>
      </c>
      <c r="I27" t="s">
        <v>66</v>
      </c>
      <c r="J27" t="s">
        <v>67</v>
      </c>
      <c r="K27" t="s">
        <v>3</v>
      </c>
      <c r="L27" t="s">
        <v>4</v>
      </c>
      <c r="M27" t="s">
        <v>49</v>
      </c>
      <c r="N27" t="s">
        <v>264</v>
      </c>
      <c r="O27" s="31" t="s">
        <v>265</v>
      </c>
      <c r="P27">
        <v>220</v>
      </c>
      <c r="R27">
        <v>3</v>
      </c>
      <c r="S27" s="31">
        <v>225000</v>
      </c>
      <c r="T27" s="39">
        <v>240000</v>
      </c>
      <c r="U27">
        <v>35000.01</v>
      </c>
      <c r="V27">
        <v>24000</v>
      </c>
      <c r="W27">
        <v>0</v>
      </c>
      <c r="X27" s="39">
        <v>71199.990000000005</v>
      </c>
      <c r="Y27">
        <v>0</v>
      </c>
      <c r="Z27" s="31">
        <v>180999.99</v>
      </c>
      <c r="AA27">
        <v>8</v>
      </c>
      <c r="AB27" s="3">
        <f t="shared" si="2"/>
        <v>180999.99</v>
      </c>
      <c r="AC27" t="str">
        <f>IF(AB27-S27&lt;0,"YES","NO")</f>
        <v>YES</v>
      </c>
      <c r="AD27">
        <f>IF(AC27="NO",0,AB27-S27)</f>
        <v>-44000.010000000009</v>
      </c>
      <c r="AE27" s="43">
        <v>0.08</v>
      </c>
      <c r="AF27" s="3">
        <f t="shared" si="3"/>
        <v>-40740.750000000007</v>
      </c>
      <c r="AG27" s="45">
        <f t="shared" si="4"/>
        <v>-44814.825000000012</v>
      </c>
      <c r="AH27" s="55"/>
    </row>
    <row r="28" spans="1:34" x14ac:dyDescent="0.25">
      <c r="A28" t="s">
        <v>266</v>
      </c>
      <c r="B28" t="s">
        <v>267</v>
      </c>
      <c r="C28" t="s">
        <v>268</v>
      </c>
      <c r="D28" t="s">
        <v>269</v>
      </c>
      <c r="E28" t="s">
        <v>270</v>
      </c>
      <c r="F28" t="s">
        <v>271</v>
      </c>
      <c r="G28" t="s">
        <v>5</v>
      </c>
      <c r="H28" t="s">
        <v>61</v>
      </c>
      <c r="I28" t="s">
        <v>84</v>
      </c>
      <c r="J28" t="s">
        <v>85</v>
      </c>
      <c r="K28" t="s">
        <v>3</v>
      </c>
      <c r="L28" t="s">
        <v>4</v>
      </c>
      <c r="M28" t="s">
        <v>49</v>
      </c>
      <c r="N28" t="s">
        <v>272</v>
      </c>
      <c r="O28" s="31" t="s">
        <v>273</v>
      </c>
      <c r="P28">
        <v>100</v>
      </c>
      <c r="Q28" t="s">
        <v>86</v>
      </c>
      <c r="R28">
        <v>1</v>
      </c>
      <c r="S28" s="31">
        <v>0</v>
      </c>
      <c r="T28" s="39">
        <v>0</v>
      </c>
      <c r="U28">
        <v>0</v>
      </c>
      <c r="V28">
        <v>0</v>
      </c>
      <c r="W28">
        <v>0</v>
      </c>
      <c r="X28" s="39">
        <v>0</v>
      </c>
      <c r="Y28">
        <v>0</v>
      </c>
      <c r="Z28" s="31">
        <v>0</v>
      </c>
      <c r="AA28">
        <v>8</v>
      </c>
      <c r="AB28" s="3">
        <f t="shared" si="2"/>
        <v>0</v>
      </c>
      <c r="AC28" t="str">
        <f>IF(AB28-S28&lt;0,"YES","NO")</f>
        <v>NO</v>
      </c>
      <c r="AD28">
        <f>IF(AC28="NO",0,AB28-S28)</f>
        <v>0</v>
      </c>
      <c r="AE28" s="43">
        <v>0.08</v>
      </c>
      <c r="AF28" s="3">
        <f t="shared" si="3"/>
        <v>0</v>
      </c>
      <c r="AG28" s="45">
        <f t="shared" si="4"/>
        <v>0</v>
      </c>
      <c r="AH28" s="55"/>
    </row>
    <row r="29" spans="1:34" x14ac:dyDescent="0.25">
      <c r="A29" t="s">
        <v>266</v>
      </c>
      <c r="B29" t="s">
        <v>267</v>
      </c>
      <c r="C29" t="s">
        <v>268</v>
      </c>
      <c r="D29" t="s">
        <v>269</v>
      </c>
      <c r="E29" t="s">
        <v>270</v>
      </c>
      <c r="F29" t="s">
        <v>271</v>
      </c>
      <c r="G29" t="s">
        <v>5</v>
      </c>
      <c r="H29" t="s">
        <v>65</v>
      </c>
      <c r="I29" t="s">
        <v>80</v>
      </c>
      <c r="J29" t="s">
        <v>81</v>
      </c>
      <c r="K29" t="s">
        <v>3</v>
      </c>
      <c r="L29" t="s">
        <v>4</v>
      </c>
      <c r="M29" t="s">
        <v>49</v>
      </c>
      <c r="N29" t="s">
        <v>272</v>
      </c>
      <c r="O29" s="31" t="s">
        <v>273</v>
      </c>
      <c r="P29">
        <v>220</v>
      </c>
      <c r="R29">
        <v>6</v>
      </c>
      <c r="S29" s="31">
        <v>450000</v>
      </c>
      <c r="T29" s="39">
        <v>480000</v>
      </c>
      <c r="U29">
        <v>75000</v>
      </c>
      <c r="V29">
        <v>49000.02</v>
      </c>
      <c r="W29">
        <v>0</v>
      </c>
      <c r="X29" s="39">
        <v>139080</v>
      </c>
      <c r="Y29">
        <v>0</v>
      </c>
      <c r="Z29" s="31">
        <v>355999.98</v>
      </c>
      <c r="AA29">
        <v>8</v>
      </c>
      <c r="AB29" s="3">
        <f t="shared" si="2"/>
        <v>355999.98</v>
      </c>
      <c r="AC29" t="str">
        <f>IF(AB29-S29&lt;0,"YES","NO")</f>
        <v>YES</v>
      </c>
      <c r="AD29">
        <f>IF(AC29="NO",0,AB29-S29)</f>
        <v>-94000.020000000019</v>
      </c>
      <c r="AE29" s="43">
        <v>0.08</v>
      </c>
      <c r="AF29" s="3">
        <f t="shared" si="3"/>
        <v>-87037.055555555562</v>
      </c>
      <c r="AG29" s="45">
        <f t="shared" si="4"/>
        <v>-95740.761111111133</v>
      </c>
      <c r="AH29" s="55"/>
    </row>
    <row r="30" spans="1:34" x14ac:dyDescent="0.25">
      <c r="A30" t="s">
        <v>274</v>
      </c>
      <c r="B30" t="s">
        <v>275</v>
      </c>
      <c r="C30" t="s">
        <v>276</v>
      </c>
      <c r="D30" t="s">
        <v>277</v>
      </c>
      <c r="E30" t="s">
        <v>278</v>
      </c>
      <c r="F30" t="s">
        <v>279</v>
      </c>
      <c r="G30" t="s">
        <v>5</v>
      </c>
      <c r="H30" t="s">
        <v>61</v>
      </c>
      <c r="I30" t="s">
        <v>84</v>
      </c>
      <c r="J30" t="s">
        <v>85</v>
      </c>
      <c r="K30" t="s">
        <v>3</v>
      </c>
      <c r="L30" t="s">
        <v>4</v>
      </c>
      <c r="M30" t="s">
        <v>49</v>
      </c>
      <c r="N30" t="s">
        <v>280</v>
      </c>
      <c r="O30" s="31" t="s">
        <v>281</v>
      </c>
      <c r="P30">
        <v>100</v>
      </c>
      <c r="Q30" t="s">
        <v>86</v>
      </c>
      <c r="R30">
        <v>1</v>
      </c>
      <c r="S30" s="31">
        <v>0</v>
      </c>
      <c r="T30" s="39">
        <v>0</v>
      </c>
      <c r="U30">
        <v>0</v>
      </c>
      <c r="V30">
        <v>0</v>
      </c>
      <c r="W30">
        <v>0</v>
      </c>
      <c r="X30" s="39">
        <v>0</v>
      </c>
      <c r="Y30">
        <v>0</v>
      </c>
      <c r="Z30" s="31">
        <v>0</v>
      </c>
      <c r="AA30">
        <v>8</v>
      </c>
      <c r="AB30" s="3">
        <f t="shared" si="2"/>
        <v>0</v>
      </c>
      <c r="AC30" t="str">
        <f>IF(AB30-S30&lt;0,"YES","NO")</f>
        <v>NO</v>
      </c>
      <c r="AD30">
        <f>IF(AC30="NO",0,AB30-S30)</f>
        <v>0</v>
      </c>
      <c r="AE30" s="43">
        <v>0.08</v>
      </c>
      <c r="AF30" s="3">
        <f t="shared" si="3"/>
        <v>0</v>
      </c>
      <c r="AG30" s="45">
        <f t="shared" si="4"/>
        <v>0</v>
      </c>
      <c r="AH30" s="55"/>
    </row>
    <row r="31" spans="1:34" x14ac:dyDescent="0.25">
      <c r="A31" t="s">
        <v>274</v>
      </c>
      <c r="B31" t="s">
        <v>275</v>
      </c>
      <c r="C31" t="s">
        <v>276</v>
      </c>
      <c r="D31" t="s">
        <v>277</v>
      </c>
      <c r="E31" t="s">
        <v>278</v>
      </c>
      <c r="F31" t="s">
        <v>279</v>
      </c>
      <c r="G31" t="s">
        <v>5</v>
      </c>
      <c r="H31" t="s">
        <v>65</v>
      </c>
      <c r="I31" t="s">
        <v>66</v>
      </c>
      <c r="J31" t="s">
        <v>67</v>
      </c>
      <c r="K31" t="s">
        <v>3</v>
      </c>
      <c r="L31" t="s">
        <v>4</v>
      </c>
      <c r="M31" t="s">
        <v>49</v>
      </c>
      <c r="N31" t="s">
        <v>280</v>
      </c>
      <c r="O31" s="31" t="s">
        <v>281</v>
      </c>
      <c r="P31">
        <v>220</v>
      </c>
      <c r="R31">
        <v>2</v>
      </c>
      <c r="S31" s="31">
        <v>150000</v>
      </c>
      <c r="T31" s="39">
        <v>160000</v>
      </c>
      <c r="U31">
        <v>0</v>
      </c>
      <c r="V31">
        <v>16000</v>
      </c>
      <c r="W31">
        <v>0</v>
      </c>
      <c r="X31" s="39">
        <v>28801</v>
      </c>
      <c r="Y31">
        <v>0</v>
      </c>
      <c r="Z31" s="31">
        <v>144000</v>
      </c>
      <c r="AA31">
        <v>8</v>
      </c>
      <c r="AB31" s="3">
        <f t="shared" si="2"/>
        <v>144000</v>
      </c>
      <c r="AC31" t="str">
        <f>IF(AB31-S31&lt;0,"YES","NO")</f>
        <v>YES</v>
      </c>
      <c r="AD31">
        <f>IF(AC31="NO",0,AB31-S31)</f>
        <v>-6000</v>
      </c>
      <c r="AE31" s="43">
        <v>0.08</v>
      </c>
      <c r="AF31" s="3">
        <f t="shared" si="3"/>
        <v>-5555.5555555555547</v>
      </c>
      <c r="AG31" s="45">
        <f t="shared" si="4"/>
        <v>-6111.1111111111104</v>
      </c>
      <c r="AH31" s="55"/>
    </row>
    <row r="32" spans="1:34" x14ac:dyDescent="0.25">
      <c r="A32" t="s">
        <v>282</v>
      </c>
      <c r="B32" t="s">
        <v>283</v>
      </c>
      <c r="C32" t="s">
        <v>284</v>
      </c>
      <c r="D32" t="s">
        <v>285</v>
      </c>
      <c r="E32" t="s">
        <v>286</v>
      </c>
      <c r="F32" t="s">
        <v>287</v>
      </c>
      <c r="G32" t="s">
        <v>5</v>
      </c>
      <c r="H32" t="s">
        <v>61</v>
      </c>
      <c r="I32" t="s">
        <v>84</v>
      </c>
      <c r="J32" t="s">
        <v>85</v>
      </c>
      <c r="K32" t="s">
        <v>3</v>
      </c>
      <c r="L32" t="s">
        <v>4</v>
      </c>
      <c r="M32" t="s">
        <v>49</v>
      </c>
      <c r="N32" t="s">
        <v>288</v>
      </c>
      <c r="O32" s="31" t="s">
        <v>289</v>
      </c>
      <c r="P32">
        <v>100</v>
      </c>
      <c r="Q32" t="s">
        <v>86</v>
      </c>
      <c r="R32">
        <v>1</v>
      </c>
      <c r="S32" s="31">
        <v>0</v>
      </c>
      <c r="T32" s="39">
        <v>0</v>
      </c>
      <c r="U32">
        <v>0</v>
      </c>
      <c r="V32">
        <v>0</v>
      </c>
      <c r="W32">
        <v>0</v>
      </c>
      <c r="X32" s="39">
        <v>0</v>
      </c>
      <c r="Y32">
        <v>0</v>
      </c>
      <c r="Z32" s="31">
        <v>0</v>
      </c>
      <c r="AA32">
        <v>8</v>
      </c>
      <c r="AB32" s="3">
        <f t="shared" si="2"/>
        <v>0</v>
      </c>
      <c r="AC32" t="str">
        <f>IF(AB32-S32&lt;0,"YES","NO")</f>
        <v>NO</v>
      </c>
      <c r="AD32">
        <f>IF(AC32="NO",0,AB32-S32)</f>
        <v>0</v>
      </c>
      <c r="AE32" s="43">
        <v>0.08</v>
      </c>
      <c r="AF32" s="3">
        <f t="shared" si="3"/>
        <v>0</v>
      </c>
      <c r="AG32" s="45">
        <f t="shared" si="4"/>
        <v>0</v>
      </c>
      <c r="AH32" s="55"/>
    </row>
    <row r="33" spans="1:34" x14ac:dyDescent="0.25">
      <c r="A33" t="s">
        <v>282</v>
      </c>
      <c r="B33" t="s">
        <v>283</v>
      </c>
      <c r="C33" t="s">
        <v>284</v>
      </c>
      <c r="D33" t="s">
        <v>285</v>
      </c>
      <c r="E33" t="s">
        <v>286</v>
      </c>
      <c r="F33" t="s">
        <v>287</v>
      </c>
      <c r="G33" t="s">
        <v>5</v>
      </c>
      <c r="H33" t="s">
        <v>65</v>
      </c>
      <c r="I33" t="s">
        <v>66</v>
      </c>
      <c r="J33" t="s">
        <v>67</v>
      </c>
      <c r="K33" t="s">
        <v>3</v>
      </c>
      <c r="L33" t="s">
        <v>4</v>
      </c>
      <c r="M33" t="s">
        <v>49</v>
      </c>
      <c r="N33" t="s">
        <v>288</v>
      </c>
      <c r="O33" s="31" t="s">
        <v>289</v>
      </c>
      <c r="P33">
        <v>220</v>
      </c>
      <c r="R33">
        <v>6</v>
      </c>
      <c r="S33" s="31">
        <v>450000</v>
      </c>
      <c r="T33" s="39">
        <v>480000</v>
      </c>
      <c r="U33">
        <v>75000</v>
      </c>
      <c r="V33">
        <v>48000</v>
      </c>
      <c r="W33">
        <v>0</v>
      </c>
      <c r="X33" s="39">
        <v>132120</v>
      </c>
      <c r="Y33">
        <v>0</v>
      </c>
      <c r="Z33" s="31">
        <v>357000</v>
      </c>
      <c r="AA33">
        <v>8</v>
      </c>
      <c r="AB33" s="3">
        <f t="shared" si="2"/>
        <v>357000</v>
      </c>
      <c r="AC33" t="str">
        <f>IF(AB33-S33&lt;0,"YES","NO")</f>
        <v>YES</v>
      </c>
      <c r="AD33">
        <f>IF(AC33="NO",0,AB33-S33)</f>
        <v>-93000</v>
      </c>
      <c r="AE33" s="43">
        <v>0.08</v>
      </c>
      <c r="AF33" s="3">
        <f t="shared" si="3"/>
        <v>-86111.111111111109</v>
      </c>
      <c r="AG33" s="45">
        <f t="shared" si="4"/>
        <v>-94722.222222222234</v>
      </c>
      <c r="AH33" s="55"/>
    </row>
    <row r="34" spans="1:34" x14ac:dyDescent="0.25">
      <c r="A34" t="s">
        <v>290</v>
      </c>
      <c r="B34" t="s">
        <v>291</v>
      </c>
      <c r="C34" t="s">
        <v>292</v>
      </c>
      <c r="D34" t="s">
        <v>293</v>
      </c>
      <c r="E34" t="s">
        <v>294</v>
      </c>
      <c r="F34" t="s">
        <v>295</v>
      </c>
      <c r="G34" t="s">
        <v>5</v>
      </c>
      <c r="H34" t="s">
        <v>61</v>
      </c>
      <c r="I34" t="s">
        <v>62</v>
      </c>
      <c r="J34" t="s">
        <v>63</v>
      </c>
      <c r="K34" t="s">
        <v>3</v>
      </c>
      <c r="L34" t="s">
        <v>4</v>
      </c>
      <c r="M34" t="s">
        <v>49</v>
      </c>
      <c r="N34" t="s">
        <v>296</v>
      </c>
      <c r="O34" s="31" t="s">
        <v>297</v>
      </c>
      <c r="P34">
        <v>20000</v>
      </c>
      <c r="Q34" t="s">
        <v>64</v>
      </c>
      <c r="R34">
        <v>1</v>
      </c>
      <c r="S34" s="31">
        <v>0</v>
      </c>
      <c r="T34" s="39">
        <v>0</v>
      </c>
      <c r="U34">
        <v>0</v>
      </c>
      <c r="V34">
        <v>0</v>
      </c>
      <c r="W34">
        <v>0</v>
      </c>
      <c r="X34" s="39">
        <v>0</v>
      </c>
      <c r="Y34">
        <v>0</v>
      </c>
      <c r="Z34" s="31">
        <v>0</v>
      </c>
      <c r="AA34">
        <v>8</v>
      </c>
      <c r="AB34" s="3">
        <f t="shared" si="2"/>
        <v>0</v>
      </c>
      <c r="AC34" t="str">
        <f>IF(AB34-S34&lt;0,"YES","NO")</f>
        <v>NO</v>
      </c>
      <c r="AD34">
        <f>IF(AC34="NO",0,AB34-S34)</f>
        <v>0</v>
      </c>
      <c r="AE34" s="43">
        <v>0.08</v>
      </c>
      <c r="AF34" s="3">
        <f t="shared" si="3"/>
        <v>0</v>
      </c>
      <c r="AG34" s="45">
        <f t="shared" si="4"/>
        <v>0</v>
      </c>
      <c r="AH34" s="55"/>
    </row>
    <row r="35" spans="1:34" x14ac:dyDescent="0.25">
      <c r="A35" t="s">
        <v>290</v>
      </c>
      <c r="B35" t="s">
        <v>291</v>
      </c>
      <c r="C35" t="s">
        <v>292</v>
      </c>
      <c r="D35" t="s">
        <v>293</v>
      </c>
      <c r="E35" t="s">
        <v>294</v>
      </c>
      <c r="F35" t="s">
        <v>295</v>
      </c>
      <c r="G35" t="s">
        <v>5</v>
      </c>
      <c r="H35" t="s">
        <v>65</v>
      </c>
      <c r="I35" t="s">
        <v>68</v>
      </c>
      <c r="J35" t="s">
        <v>69</v>
      </c>
      <c r="K35" t="s">
        <v>3</v>
      </c>
      <c r="L35" t="s">
        <v>4</v>
      </c>
      <c r="M35" t="s">
        <v>49</v>
      </c>
      <c r="N35" t="s">
        <v>296</v>
      </c>
      <c r="O35" s="31" t="s">
        <v>297</v>
      </c>
      <c r="P35">
        <v>220</v>
      </c>
      <c r="Q35" t="s">
        <v>70</v>
      </c>
      <c r="R35">
        <v>1</v>
      </c>
      <c r="S35" s="31">
        <v>59000</v>
      </c>
      <c r="T35" s="39">
        <v>65000</v>
      </c>
      <c r="U35">
        <v>11666.67</v>
      </c>
      <c r="V35">
        <v>5000</v>
      </c>
      <c r="W35">
        <v>0</v>
      </c>
      <c r="X35" s="39">
        <v>21333.33</v>
      </c>
      <c r="Y35">
        <v>0</v>
      </c>
      <c r="Z35" s="31">
        <v>48333.33</v>
      </c>
      <c r="AA35">
        <v>8</v>
      </c>
      <c r="AB35" s="3">
        <f t="shared" si="2"/>
        <v>48333.33</v>
      </c>
      <c r="AC35" t="str">
        <f>IF(AB35-S35&lt;0,"YES","NO")</f>
        <v>YES</v>
      </c>
      <c r="AD35">
        <f>IF(AC35="NO",0,AB35-S35)</f>
        <v>-10666.669999999998</v>
      </c>
      <c r="AE35" s="43">
        <v>0.08</v>
      </c>
      <c r="AF35" s="3">
        <f t="shared" si="3"/>
        <v>-9876.5462962962938</v>
      </c>
      <c r="AG35" s="45">
        <f t="shared" si="4"/>
        <v>-10864.200925925925</v>
      </c>
      <c r="AH35" s="55"/>
    </row>
    <row r="36" spans="1:34" x14ac:dyDescent="0.25">
      <c r="A36" t="s">
        <v>290</v>
      </c>
      <c r="B36" t="s">
        <v>291</v>
      </c>
      <c r="C36" t="s">
        <v>292</v>
      </c>
      <c r="D36" t="s">
        <v>293</v>
      </c>
      <c r="E36" t="s">
        <v>294</v>
      </c>
      <c r="F36" t="s">
        <v>295</v>
      </c>
      <c r="G36" t="s">
        <v>5</v>
      </c>
      <c r="H36" t="s">
        <v>65</v>
      </c>
      <c r="I36" t="s">
        <v>71</v>
      </c>
      <c r="J36" t="s">
        <v>72</v>
      </c>
      <c r="K36" t="s">
        <v>3</v>
      </c>
      <c r="L36" t="s">
        <v>4</v>
      </c>
      <c r="M36" t="s">
        <v>49</v>
      </c>
      <c r="N36" t="s">
        <v>296</v>
      </c>
      <c r="O36" s="31" t="s">
        <v>297</v>
      </c>
      <c r="P36">
        <v>220</v>
      </c>
      <c r="Q36" t="s">
        <v>70</v>
      </c>
      <c r="R36">
        <v>1</v>
      </c>
      <c r="S36" s="31">
        <v>59000</v>
      </c>
      <c r="T36" s="39">
        <v>65000</v>
      </c>
      <c r="U36">
        <v>11666.67</v>
      </c>
      <c r="V36">
        <v>5000</v>
      </c>
      <c r="W36">
        <v>0</v>
      </c>
      <c r="X36" s="39">
        <v>21333.33</v>
      </c>
      <c r="Y36">
        <v>0</v>
      </c>
      <c r="Z36" s="31">
        <v>48333.33</v>
      </c>
      <c r="AA36">
        <v>8</v>
      </c>
      <c r="AB36" s="3">
        <f t="shared" si="2"/>
        <v>48333.33</v>
      </c>
      <c r="AC36" t="str">
        <f>IF(AB36-S36&lt;0,"YES","NO")</f>
        <v>YES</v>
      </c>
      <c r="AD36">
        <f>IF(AC36="NO",0,AB36-S36)</f>
        <v>-10666.669999999998</v>
      </c>
      <c r="AE36" s="43">
        <v>0.08</v>
      </c>
      <c r="AF36" s="3">
        <f t="shared" si="3"/>
        <v>-9876.5462962962938</v>
      </c>
      <c r="AG36" s="45">
        <f t="shared" si="4"/>
        <v>-10864.200925925925</v>
      </c>
      <c r="AH36" s="55"/>
    </row>
    <row r="37" spans="1:34" x14ac:dyDescent="0.25">
      <c r="A37" t="s">
        <v>290</v>
      </c>
      <c r="B37" t="s">
        <v>291</v>
      </c>
      <c r="C37" t="s">
        <v>292</v>
      </c>
      <c r="D37" t="s">
        <v>293</v>
      </c>
      <c r="E37" t="s">
        <v>294</v>
      </c>
      <c r="F37" t="s">
        <v>295</v>
      </c>
      <c r="G37" t="s">
        <v>5</v>
      </c>
      <c r="H37" t="s">
        <v>65</v>
      </c>
      <c r="I37" t="s">
        <v>73</v>
      </c>
      <c r="J37" t="s">
        <v>74</v>
      </c>
      <c r="K37" t="s">
        <v>3</v>
      </c>
      <c r="L37" t="s">
        <v>4</v>
      </c>
      <c r="M37" t="s">
        <v>49</v>
      </c>
      <c r="N37" t="s">
        <v>296</v>
      </c>
      <c r="O37" s="31" t="s">
        <v>297</v>
      </c>
      <c r="P37">
        <v>220</v>
      </c>
      <c r="Q37" t="s">
        <v>70</v>
      </c>
      <c r="R37">
        <v>1</v>
      </c>
      <c r="S37" s="31">
        <v>59000</v>
      </c>
      <c r="T37" s="39">
        <v>65000</v>
      </c>
      <c r="U37">
        <v>11666.67</v>
      </c>
      <c r="V37">
        <v>5000</v>
      </c>
      <c r="W37">
        <v>0</v>
      </c>
      <c r="X37" s="39">
        <v>21333.33</v>
      </c>
      <c r="Y37">
        <v>0</v>
      </c>
      <c r="Z37" s="31">
        <v>48333.33</v>
      </c>
      <c r="AA37">
        <v>8</v>
      </c>
      <c r="AB37" s="3">
        <f t="shared" si="2"/>
        <v>48333.33</v>
      </c>
      <c r="AC37" t="str">
        <f>IF(AB37-S37&lt;0,"YES","NO")</f>
        <v>YES</v>
      </c>
      <c r="AD37">
        <f>IF(AC37="NO",0,AB37-S37)</f>
        <v>-10666.669999999998</v>
      </c>
      <c r="AE37" s="43">
        <v>0.08</v>
      </c>
      <c r="AF37" s="3">
        <f t="shared" si="3"/>
        <v>-9876.5462962962938</v>
      </c>
      <c r="AG37" s="45">
        <f t="shared" si="4"/>
        <v>-10864.200925925925</v>
      </c>
      <c r="AH37" s="55"/>
    </row>
    <row r="38" spans="1:34" x14ac:dyDescent="0.25">
      <c r="A38" t="s">
        <v>298</v>
      </c>
      <c r="B38" t="s">
        <v>299</v>
      </c>
      <c r="C38" t="s">
        <v>300</v>
      </c>
      <c r="D38" t="s">
        <v>301</v>
      </c>
      <c r="E38" t="s">
        <v>302</v>
      </c>
      <c r="F38" t="s">
        <v>303</v>
      </c>
      <c r="G38" t="s">
        <v>5</v>
      </c>
      <c r="H38" t="s">
        <v>61</v>
      </c>
      <c r="I38" t="s">
        <v>84</v>
      </c>
      <c r="J38" t="s">
        <v>85</v>
      </c>
      <c r="K38" t="s">
        <v>3</v>
      </c>
      <c r="L38" t="s">
        <v>4</v>
      </c>
      <c r="M38" t="s">
        <v>49</v>
      </c>
      <c r="N38" t="s">
        <v>304</v>
      </c>
      <c r="O38" s="31" t="s">
        <v>305</v>
      </c>
      <c r="P38">
        <v>100</v>
      </c>
      <c r="Q38" t="s">
        <v>86</v>
      </c>
      <c r="R38">
        <v>1</v>
      </c>
      <c r="S38" s="31">
        <v>0</v>
      </c>
      <c r="T38" s="39">
        <v>0</v>
      </c>
      <c r="U38">
        <v>0</v>
      </c>
      <c r="V38">
        <v>0</v>
      </c>
      <c r="W38">
        <v>0</v>
      </c>
      <c r="X38" s="39">
        <v>0</v>
      </c>
      <c r="Y38">
        <v>0</v>
      </c>
      <c r="Z38" s="31">
        <v>0</v>
      </c>
      <c r="AA38">
        <v>8</v>
      </c>
      <c r="AB38" s="3">
        <f t="shared" si="2"/>
        <v>0</v>
      </c>
      <c r="AC38" t="str">
        <f>IF(AB38-S38&lt;0,"YES","NO")</f>
        <v>NO</v>
      </c>
      <c r="AD38">
        <f>IF(AC38="NO",0,AB38-S38)</f>
        <v>0</v>
      </c>
      <c r="AE38" s="43">
        <v>0.08</v>
      </c>
      <c r="AF38" s="3">
        <f t="shared" si="3"/>
        <v>0</v>
      </c>
      <c r="AG38" s="45">
        <f t="shared" si="4"/>
        <v>0</v>
      </c>
      <c r="AH38" s="55"/>
    </row>
    <row r="39" spans="1:34" x14ac:dyDescent="0.25">
      <c r="A39" t="s">
        <v>298</v>
      </c>
      <c r="B39" t="s">
        <v>299</v>
      </c>
      <c r="C39" t="s">
        <v>300</v>
      </c>
      <c r="D39" t="s">
        <v>301</v>
      </c>
      <c r="E39" t="s">
        <v>302</v>
      </c>
      <c r="F39" t="s">
        <v>303</v>
      </c>
      <c r="G39" t="s">
        <v>5</v>
      </c>
      <c r="H39" t="s">
        <v>65</v>
      </c>
      <c r="I39" t="s">
        <v>66</v>
      </c>
      <c r="J39" t="s">
        <v>67</v>
      </c>
      <c r="K39" t="s">
        <v>3</v>
      </c>
      <c r="L39" t="s">
        <v>4</v>
      </c>
      <c r="M39" t="s">
        <v>49</v>
      </c>
      <c r="N39" t="s">
        <v>304</v>
      </c>
      <c r="O39" s="31" t="s">
        <v>305</v>
      </c>
      <c r="P39">
        <v>220</v>
      </c>
      <c r="R39">
        <v>2</v>
      </c>
      <c r="S39" s="31">
        <v>150000</v>
      </c>
      <c r="T39" s="39">
        <v>160000</v>
      </c>
      <c r="U39">
        <v>10628</v>
      </c>
      <c r="V39">
        <v>16000</v>
      </c>
      <c r="W39">
        <v>0</v>
      </c>
      <c r="X39" s="39">
        <v>37197</v>
      </c>
      <c r="Y39">
        <v>0</v>
      </c>
      <c r="Z39" s="31">
        <v>133372</v>
      </c>
      <c r="AA39">
        <v>8</v>
      </c>
      <c r="AB39" s="3">
        <f t="shared" si="2"/>
        <v>133372</v>
      </c>
      <c r="AC39" t="str">
        <f>IF(AB39-S39&lt;0,"YES","NO")</f>
        <v>YES</v>
      </c>
      <c r="AD39">
        <f>IF(AC39="NO",0,AB39-S39)</f>
        <v>-16628</v>
      </c>
      <c r="AE39" s="43">
        <v>0.08</v>
      </c>
      <c r="AF39" s="3">
        <f t="shared" si="3"/>
        <v>-15396.296296296296</v>
      </c>
      <c r="AG39" s="45">
        <f t="shared" si="4"/>
        <v>-16935.925925925927</v>
      </c>
      <c r="AH39" s="55"/>
    </row>
    <row r="40" spans="1:34" x14ac:dyDescent="0.25">
      <c r="A40" t="s">
        <v>298</v>
      </c>
      <c r="B40" t="s">
        <v>299</v>
      </c>
      <c r="C40" t="s">
        <v>300</v>
      </c>
      <c r="D40" t="s">
        <v>301</v>
      </c>
      <c r="E40" t="s">
        <v>302</v>
      </c>
      <c r="F40" t="s">
        <v>303</v>
      </c>
      <c r="G40" t="s">
        <v>5</v>
      </c>
      <c r="H40" t="s">
        <v>65</v>
      </c>
      <c r="I40" t="s">
        <v>87</v>
      </c>
      <c r="J40" t="s">
        <v>88</v>
      </c>
      <c r="K40" t="s">
        <v>3</v>
      </c>
      <c r="L40" t="s">
        <v>4</v>
      </c>
      <c r="M40" t="s">
        <v>49</v>
      </c>
      <c r="N40" t="s">
        <v>304</v>
      </c>
      <c r="O40" s="31" t="s">
        <v>305</v>
      </c>
      <c r="P40">
        <v>220</v>
      </c>
      <c r="Q40" t="s">
        <v>89</v>
      </c>
      <c r="R40">
        <v>1</v>
      </c>
      <c r="S40" s="31">
        <v>59000</v>
      </c>
      <c r="T40" s="39">
        <v>70000</v>
      </c>
      <c r="U40">
        <v>4686</v>
      </c>
      <c r="V40">
        <v>6500</v>
      </c>
      <c r="W40">
        <v>0</v>
      </c>
      <c r="X40" s="39">
        <v>16401.5</v>
      </c>
      <c r="Y40">
        <v>0</v>
      </c>
      <c r="Z40" s="31">
        <v>58814</v>
      </c>
      <c r="AA40">
        <v>8</v>
      </c>
      <c r="AB40" s="3">
        <f t="shared" si="2"/>
        <v>58814</v>
      </c>
      <c r="AC40" t="str">
        <f>IF(AB40-S40&lt;0,"YES","NO")</f>
        <v>YES</v>
      </c>
      <c r="AD40">
        <f>IF(AC40="NO",0,AB40-S40)</f>
        <v>-186</v>
      </c>
      <c r="AE40" s="43">
        <v>0.08</v>
      </c>
      <c r="AF40" s="3">
        <f t="shared" si="3"/>
        <v>-172.2222222222222</v>
      </c>
      <c r="AG40" s="45">
        <f t="shared" si="4"/>
        <v>-189.44444444444443</v>
      </c>
      <c r="AH40" s="55"/>
    </row>
    <row r="41" spans="1:34" x14ac:dyDescent="0.25">
      <c r="A41" t="s">
        <v>298</v>
      </c>
      <c r="B41" t="s">
        <v>299</v>
      </c>
      <c r="C41" t="s">
        <v>300</v>
      </c>
      <c r="D41" t="s">
        <v>301</v>
      </c>
      <c r="E41" t="s">
        <v>302</v>
      </c>
      <c r="F41" t="s">
        <v>303</v>
      </c>
      <c r="G41" t="s">
        <v>5</v>
      </c>
      <c r="H41" t="s">
        <v>65</v>
      </c>
      <c r="I41" t="s">
        <v>90</v>
      </c>
      <c r="J41" t="s">
        <v>91</v>
      </c>
      <c r="K41" t="s">
        <v>3</v>
      </c>
      <c r="L41" t="s">
        <v>4</v>
      </c>
      <c r="M41" t="s">
        <v>49</v>
      </c>
      <c r="N41" t="s">
        <v>304</v>
      </c>
      <c r="O41" s="31" t="s">
        <v>305</v>
      </c>
      <c r="P41">
        <v>220</v>
      </c>
      <c r="Q41" t="s">
        <v>92</v>
      </c>
      <c r="R41">
        <v>1</v>
      </c>
      <c r="S41" s="31">
        <v>59000</v>
      </c>
      <c r="T41" s="39">
        <v>70000</v>
      </c>
      <c r="U41">
        <v>4686</v>
      </c>
      <c r="V41">
        <v>6500</v>
      </c>
      <c r="W41">
        <v>0</v>
      </c>
      <c r="X41" s="39">
        <v>16401.5</v>
      </c>
      <c r="Y41">
        <v>0</v>
      </c>
      <c r="Z41" s="31">
        <v>58814</v>
      </c>
      <c r="AA41">
        <v>8</v>
      </c>
      <c r="AB41" s="3">
        <f t="shared" si="2"/>
        <v>58814</v>
      </c>
      <c r="AC41" t="str">
        <f>IF(AB41-S41&lt;0,"YES","NO")</f>
        <v>YES</v>
      </c>
      <c r="AD41">
        <f>IF(AC41="NO",0,AB41-S41)</f>
        <v>-186</v>
      </c>
      <c r="AE41" s="43">
        <v>0.08</v>
      </c>
      <c r="AF41" s="3">
        <f t="shared" si="3"/>
        <v>-172.2222222222222</v>
      </c>
      <c r="AG41" s="45">
        <f t="shared" si="4"/>
        <v>-189.44444444444443</v>
      </c>
      <c r="AH41" s="55"/>
    </row>
    <row r="42" spans="1:34" x14ac:dyDescent="0.25">
      <c r="A42" t="s">
        <v>306</v>
      </c>
      <c r="B42" t="s">
        <v>307</v>
      </c>
      <c r="C42" t="s">
        <v>308</v>
      </c>
      <c r="D42" t="s">
        <v>309</v>
      </c>
      <c r="E42" t="s">
        <v>310</v>
      </c>
      <c r="F42" t="s">
        <v>311</v>
      </c>
      <c r="G42" t="s">
        <v>5</v>
      </c>
      <c r="H42" t="s">
        <v>65</v>
      </c>
      <c r="I42" t="s">
        <v>68</v>
      </c>
      <c r="J42" t="s">
        <v>69</v>
      </c>
      <c r="K42" t="s">
        <v>3</v>
      </c>
      <c r="L42" t="s">
        <v>4</v>
      </c>
      <c r="M42" t="s">
        <v>49</v>
      </c>
      <c r="N42" t="s">
        <v>312</v>
      </c>
      <c r="O42" s="31" t="s">
        <v>313</v>
      </c>
      <c r="P42">
        <v>220</v>
      </c>
      <c r="Q42" t="s">
        <v>70</v>
      </c>
      <c r="R42">
        <v>2</v>
      </c>
      <c r="S42" s="31">
        <v>118000</v>
      </c>
      <c r="T42" s="39">
        <v>130000</v>
      </c>
      <c r="U42">
        <v>11666.66</v>
      </c>
      <c r="V42">
        <v>10000</v>
      </c>
      <c r="W42">
        <v>0</v>
      </c>
      <c r="X42" s="39">
        <v>29000</v>
      </c>
      <c r="Y42">
        <v>0</v>
      </c>
      <c r="Z42" s="31">
        <v>108333.34</v>
      </c>
      <c r="AA42">
        <v>8</v>
      </c>
      <c r="AB42" s="3">
        <f t="shared" si="2"/>
        <v>108333.34</v>
      </c>
      <c r="AC42" t="str">
        <f>IF(AB42-S42&lt;0,"YES","NO")</f>
        <v>YES</v>
      </c>
      <c r="AD42">
        <f>IF(AC42="NO",0,AB42-S42)</f>
        <v>-9666.6600000000035</v>
      </c>
      <c r="AE42" s="43">
        <v>0.08</v>
      </c>
      <c r="AF42" s="3">
        <f t="shared" si="3"/>
        <v>-8950.6111111111131</v>
      </c>
      <c r="AG42" s="45">
        <f t="shared" si="4"/>
        <v>-9845.6722222222252</v>
      </c>
      <c r="AH42" s="55"/>
    </row>
    <row r="43" spans="1:34" x14ac:dyDescent="0.25">
      <c r="A43" t="s">
        <v>306</v>
      </c>
      <c r="B43" t="s">
        <v>307</v>
      </c>
      <c r="C43" t="s">
        <v>308</v>
      </c>
      <c r="D43" t="s">
        <v>309</v>
      </c>
      <c r="E43" t="s">
        <v>310</v>
      </c>
      <c r="F43" t="s">
        <v>311</v>
      </c>
      <c r="G43" t="s">
        <v>5</v>
      </c>
      <c r="H43" t="s">
        <v>65</v>
      </c>
      <c r="I43" t="s">
        <v>71</v>
      </c>
      <c r="J43" t="s">
        <v>72</v>
      </c>
      <c r="K43" t="s">
        <v>3</v>
      </c>
      <c r="L43" t="s">
        <v>4</v>
      </c>
      <c r="M43" t="s">
        <v>49</v>
      </c>
      <c r="N43" t="s">
        <v>312</v>
      </c>
      <c r="O43" s="31" t="s">
        <v>313</v>
      </c>
      <c r="P43">
        <v>220</v>
      </c>
      <c r="Q43" t="s">
        <v>70</v>
      </c>
      <c r="R43">
        <v>2</v>
      </c>
      <c r="S43" s="31">
        <v>118000</v>
      </c>
      <c r="T43" s="39">
        <v>130000</v>
      </c>
      <c r="U43">
        <v>11666.66</v>
      </c>
      <c r="V43">
        <v>10000</v>
      </c>
      <c r="W43">
        <v>0</v>
      </c>
      <c r="X43" s="39">
        <v>29000</v>
      </c>
      <c r="Y43">
        <v>0</v>
      </c>
      <c r="Z43" s="31">
        <v>108333.34</v>
      </c>
      <c r="AA43">
        <v>8</v>
      </c>
      <c r="AB43" s="3">
        <f t="shared" si="2"/>
        <v>108333.34</v>
      </c>
      <c r="AC43" t="str">
        <f>IF(AB43-S43&lt;0,"YES","NO")</f>
        <v>YES</v>
      </c>
      <c r="AD43">
        <f>IF(AC43="NO",0,AB43-S43)</f>
        <v>-9666.6600000000035</v>
      </c>
      <c r="AE43" s="43">
        <v>0.08</v>
      </c>
      <c r="AF43" s="3">
        <f t="shared" si="3"/>
        <v>-8950.6111111111131</v>
      </c>
      <c r="AG43" s="45">
        <f t="shared" si="4"/>
        <v>-9845.6722222222252</v>
      </c>
      <c r="AH43" s="55"/>
    </row>
    <row r="44" spans="1:34" x14ac:dyDescent="0.25">
      <c r="A44" t="s">
        <v>306</v>
      </c>
      <c r="B44" t="s">
        <v>307</v>
      </c>
      <c r="C44" t="s">
        <v>308</v>
      </c>
      <c r="D44" t="s">
        <v>309</v>
      </c>
      <c r="E44" t="s">
        <v>310</v>
      </c>
      <c r="F44" t="s">
        <v>311</v>
      </c>
      <c r="G44" t="s">
        <v>5</v>
      </c>
      <c r="H44" t="s">
        <v>65</v>
      </c>
      <c r="I44" t="s">
        <v>73</v>
      </c>
      <c r="J44" t="s">
        <v>74</v>
      </c>
      <c r="K44" t="s">
        <v>3</v>
      </c>
      <c r="L44" t="s">
        <v>4</v>
      </c>
      <c r="M44" t="s">
        <v>49</v>
      </c>
      <c r="N44" t="s">
        <v>312</v>
      </c>
      <c r="O44" s="31" t="s">
        <v>313</v>
      </c>
      <c r="P44">
        <v>220</v>
      </c>
      <c r="Q44" t="s">
        <v>70</v>
      </c>
      <c r="R44">
        <v>2</v>
      </c>
      <c r="S44" s="31">
        <v>118000</v>
      </c>
      <c r="T44" s="39">
        <v>130000</v>
      </c>
      <c r="U44">
        <v>11666.66</v>
      </c>
      <c r="V44">
        <v>10000</v>
      </c>
      <c r="W44">
        <v>0</v>
      </c>
      <c r="X44" s="39">
        <v>29000</v>
      </c>
      <c r="Y44">
        <v>0</v>
      </c>
      <c r="Z44" s="31">
        <v>108333.34</v>
      </c>
      <c r="AA44">
        <v>8</v>
      </c>
      <c r="AB44" s="3">
        <f t="shared" si="2"/>
        <v>108333.34</v>
      </c>
      <c r="AC44" t="str">
        <f>IF(AB44-S44&lt;0,"YES","NO")</f>
        <v>YES</v>
      </c>
      <c r="AD44">
        <f>IF(AC44="NO",0,AB44-S44)</f>
        <v>-9666.6600000000035</v>
      </c>
      <c r="AE44" s="43">
        <v>0.08</v>
      </c>
      <c r="AF44" s="3">
        <f t="shared" si="3"/>
        <v>-8950.6111111111131</v>
      </c>
      <c r="AG44" s="45">
        <f t="shared" si="4"/>
        <v>-9845.6722222222252</v>
      </c>
      <c r="AH44" s="55"/>
    </row>
    <row r="45" spans="1:34" x14ac:dyDescent="0.25">
      <c r="A45" t="s">
        <v>314</v>
      </c>
      <c r="B45" t="s">
        <v>315</v>
      </c>
      <c r="C45" t="s">
        <v>316</v>
      </c>
      <c r="D45" t="s">
        <v>317</v>
      </c>
      <c r="E45" t="s">
        <v>318</v>
      </c>
      <c r="F45" t="s">
        <v>319</v>
      </c>
      <c r="G45" t="s">
        <v>5</v>
      </c>
      <c r="H45" t="s">
        <v>61</v>
      </c>
      <c r="I45" t="s">
        <v>93</v>
      </c>
      <c r="J45" t="s">
        <v>94</v>
      </c>
      <c r="K45" t="s">
        <v>3</v>
      </c>
      <c r="L45" t="s">
        <v>4</v>
      </c>
      <c r="M45" t="s">
        <v>49</v>
      </c>
      <c r="N45" t="s">
        <v>320</v>
      </c>
      <c r="O45" s="31" t="s">
        <v>321</v>
      </c>
      <c r="P45">
        <v>20</v>
      </c>
      <c r="Q45" t="s">
        <v>86</v>
      </c>
      <c r="R45">
        <v>1</v>
      </c>
      <c r="S45" s="31">
        <v>0</v>
      </c>
      <c r="T45" s="39">
        <v>0</v>
      </c>
      <c r="U45">
        <v>0</v>
      </c>
      <c r="V45">
        <v>0</v>
      </c>
      <c r="W45">
        <v>0</v>
      </c>
      <c r="X45" s="39">
        <v>0</v>
      </c>
      <c r="Y45">
        <v>0</v>
      </c>
      <c r="Z45" s="31">
        <v>0</v>
      </c>
      <c r="AA45">
        <v>8</v>
      </c>
      <c r="AB45" s="3">
        <f t="shared" si="2"/>
        <v>0</v>
      </c>
      <c r="AC45" t="str">
        <f>IF(AB45-S45&lt;0,"YES","NO")</f>
        <v>NO</v>
      </c>
      <c r="AD45">
        <f>IF(AC45="NO",0,AB45-S45)</f>
        <v>0</v>
      </c>
      <c r="AE45" s="43">
        <v>0.08</v>
      </c>
      <c r="AF45" s="3">
        <f t="shared" si="3"/>
        <v>0</v>
      </c>
      <c r="AG45" s="45">
        <f t="shared" si="4"/>
        <v>0</v>
      </c>
      <c r="AH45" s="55"/>
    </row>
    <row r="46" spans="1:34" x14ac:dyDescent="0.25">
      <c r="A46" t="s">
        <v>314</v>
      </c>
      <c r="B46" t="s">
        <v>315</v>
      </c>
      <c r="C46" t="s">
        <v>316</v>
      </c>
      <c r="D46" t="s">
        <v>317</v>
      </c>
      <c r="E46" t="s">
        <v>318</v>
      </c>
      <c r="F46" t="s">
        <v>319</v>
      </c>
      <c r="G46" t="s">
        <v>5</v>
      </c>
      <c r="H46" t="s">
        <v>65</v>
      </c>
      <c r="I46" t="s">
        <v>95</v>
      </c>
      <c r="J46" t="s">
        <v>96</v>
      </c>
      <c r="K46" t="s">
        <v>3</v>
      </c>
      <c r="L46" t="s">
        <v>4</v>
      </c>
      <c r="M46" t="s">
        <v>49</v>
      </c>
      <c r="N46" t="s">
        <v>320</v>
      </c>
      <c r="O46" s="31" t="s">
        <v>321</v>
      </c>
      <c r="P46">
        <v>200</v>
      </c>
      <c r="R46">
        <v>3</v>
      </c>
      <c r="S46" s="31">
        <v>216000</v>
      </c>
      <c r="T46" s="39">
        <v>240000</v>
      </c>
      <c r="U46">
        <v>34999.980000000003</v>
      </c>
      <c r="V46">
        <v>20000.009999999998</v>
      </c>
      <c r="W46">
        <v>0</v>
      </c>
      <c r="X46" s="39">
        <v>68299.98</v>
      </c>
      <c r="Y46">
        <v>0</v>
      </c>
      <c r="Z46" s="31">
        <v>185000.01</v>
      </c>
      <c r="AA46">
        <v>8</v>
      </c>
      <c r="AB46" s="3">
        <f t="shared" si="2"/>
        <v>185000.01</v>
      </c>
      <c r="AC46" t="str">
        <f>IF(AB46-S46&lt;0,"YES","NO")</f>
        <v>YES</v>
      </c>
      <c r="AD46">
        <f>IF(AC46="NO",0,AB46-S46)</f>
        <v>-30999.989999999991</v>
      </c>
      <c r="AE46" s="43">
        <v>0.08</v>
      </c>
      <c r="AF46" s="3">
        <f t="shared" si="3"/>
        <v>-28703.694444444434</v>
      </c>
      <c r="AG46" s="45">
        <f t="shared" si="4"/>
        <v>-31574.063888888879</v>
      </c>
      <c r="AH46" s="55"/>
    </row>
    <row r="47" spans="1:34" x14ac:dyDescent="0.25">
      <c r="A47" t="s">
        <v>322</v>
      </c>
      <c r="B47" t="s">
        <v>323</v>
      </c>
      <c r="C47" t="s">
        <v>324</v>
      </c>
      <c r="D47" t="s">
        <v>325</v>
      </c>
      <c r="E47" t="s">
        <v>326</v>
      </c>
      <c r="F47" t="s">
        <v>327</v>
      </c>
      <c r="G47" t="s">
        <v>5</v>
      </c>
      <c r="H47" t="s">
        <v>65</v>
      </c>
      <c r="I47" t="s">
        <v>68</v>
      </c>
      <c r="J47" t="s">
        <v>69</v>
      </c>
      <c r="K47" t="s">
        <v>3</v>
      </c>
      <c r="L47" t="s">
        <v>4</v>
      </c>
      <c r="M47" t="s">
        <v>49</v>
      </c>
      <c r="N47" t="s">
        <v>328</v>
      </c>
      <c r="O47" s="31" t="s">
        <v>329</v>
      </c>
      <c r="P47">
        <v>220</v>
      </c>
      <c r="Q47" t="s">
        <v>70</v>
      </c>
      <c r="R47">
        <v>1</v>
      </c>
      <c r="S47" s="31">
        <v>59000</v>
      </c>
      <c r="T47" s="39">
        <v>65000</v>
      </c>
      <c r="U47">
        <v>11666.67</v>
      </c>
      <c r="V47">
        <v>5000</v>
      </c>
      <c r="W47">
        <v>0</v>
      </c>
      <c r="X47" s="39">
        <v>21333.33</v>
      </c>
      <c r="Y47">
        <v>0</v>
      </c>
      <c r="Z47" s="31">
        <v>48333.33</v>
      </c>
      <c r="AA47">
        <v>8</v>
      </c>
      <c r="AB47" s="3">
        <f t="shared" si="2"/>
        <v>48333.33</v>
      </c>
      <c r="AC47" t="str">
        <f>IF(AB47-S47&lt;0,"YES","NO")</f>
        <v>YES</v>
      </c>
      <c r="AD47">
        <f>IF(AC47="NO",0,AB47-S47)</f>
        <v>-10666.669999999998</v>
      </c>
      <c r="AE47" s="43">
        <v>0.08</v>
      </c>
      <c r="AF47" s="3">
        <f t="shared" si="3"/>
        <v>-9876.5462962962938</v>
      </c>
      <c r="AG47" s="45">
        <f t="shared" si="4"/>
        <v>-10864.200925925925</v>
      </c>
      <c r="AH47" s="55"/>
    </row>
    <row r="48" spans="1:34" x14ac:dyDescent="0.25">
      <c r="A48" t="s">
        <v>322</v>
      </c>
      <c r="B48" t="s">
        <v>323</v>
      </c>
      <c r="C48" t="s">
        <v>324</v>
      </c>
      <c r="D48" t="s">
        <v>325</v>
      </c>
      <c r="E48" t="s">
        <v>326</v>
      </c>
      <c r="F48" t="s">
        <v>327</v>
      </c>
      <c r="G48" t="s">
        <v>5</v>
      </c>
      <c r="H48" t="s">
        <v>65</v>
      </c>
      <c r="I48" t="s">
        <v>71</v>
      </c>
      <c r="J48" t="s">
        <v>72</v>
      </c>
      <c r="K48" t="s">
        <v>3</v>
      </c>
      <c r="L48" t="s">
        <v>4</v>
      </c>
      <c r="M48" t="s">
        <v>49</v>
      </c>
      <c r="N48" t="s">
        <v>328</v>
      </c>
      <c r="O48" s="31" t="s">
        <v>329</v>
      </c>
      <c r="P48">
        <v>220</v>
      </c>
      <c r="Q48" t="s">
        <v>70</v>
      </c>
      <c r="R48">
        <v>1</v>
      </c>
      <c r="S48" s="31">
        <v>59000</v>
      </c>
      <c r="T48" s="39">
        <v>65000</v>
      </c>
      <c r="U48">
        <v>11666.67</v>
      </c>
      <c r="V48">
        <v>5000</v>
      </c>
      <c r="W48">
        <v>0</v>
      </c>
      <c r="X48" s="39">
        <v>21333.33</v>
      </c>
      <c r="Y48">
        <v>0</v>
      </c>
      <c r="Z48" s="31">
        <v>48333.33</v>
      </c>
      <c r="AA48">
        <v>8</v>
      </c>
      <c r="AB48" s="3">
        <f t="shared" si="2"/>
        <v>48333.33</v>
      </c>
      <c r="AC48" t="str">
        <f>IF(AB48-S48&lt;0,"YES","NO")</f>
        <v>YES</v>
      </c>
      <c r="AD48">
        <f>IF(AC48="NO",0,AB48-S48)</f>
        <v>-10666.669999999998</v>
      </c>
      <c r="AE48" s="43">
        <v>0.08</v>
      </c>
      <c r="AF48" s="3">
        <f t="shared" si="3"/>
        <v>-9876.5462962962938</v>
      </c>
      <c r="AG48" s="45">
        <f t="shared" si="4"/>
        <v>-10864.200925925925</v>
      </c>
      <c r="AH48" s="55"/>
    </row>
    <row r="49" spans="1:34" x14ac:dyDescent="0.25">
      <c r="A49" t="s">
        <v>322</v>
      </c>
      <c r="B49" t="s">
        <v>323</v>
      </c>
      <c r="C49" t="s">
        <v>324</v>
      </c>
      <c r="D49" t="s">
        <v>325</v>
      </c>
      <c r="E49" t="s">
        <v>326</v>
      </c>
      <c r="F49" t="s">
        <v>327</v>
      </c>
      <c r="G49" t="s">
        <v>5</v>
      </c>
      <c r="H49" t="s">
        <v>65</v>
      </c>
      <c r="I49" t="s">
        <v>73</v>
      </c>
      <c r="J49" t="s">
        <v>74</v>
      </c>
      <c r="K49" t="s">
        <v>3</v>
      </c>
      <c r="L49" t="s">
        <v>4</v>
      </c>
      <c r="M49" t="s">
        <v>49</v>
      </c>
      <c r="N49" t="s">
        <v>328</v>
      </c>
      <c r="O49" s="31" t="s">
        <v>329</v>
      </c>
      <c r="P49">
        <v>220</v>
      </c>
      <c r="Q49" t="s">
        <v>70</v>
      </c>
      <c r="R49">
        <v>1</v>
      </c>
      <c r="S49" s="31">
        <v>59000</v>
      </c>
      <c r="T49" s="39">
        <v>65000</v>
      </c>
      <c r="U49">
        <v>11666.67</v>
      </c>
      <c r="V49">
        <v>5000</v>
      </c>
      <c r="W49">
        <v>0</v>
      </c>
      <c r="X49" s="39">
        <v>21333.33</v>
      </c>
      <c r="Y49">
        <v>0</v>
      </c>
      <c r="Z49" s="31">
        <v>48333.33</v>
      </c>
      <c r="AA49">
        <v>8</v>
      </c>
      <c r="AB49" s="3">
        <f t="shared" si="2"/>
        <v>48333.33</v>
      </c>
      <c r="AC49" t="str">
        <f>IF(AB49-S49&lt;0,"YES","NO")</f>
        <v>YES</v>
      </c>
      <c r="AD49">
        <f>IF(AC49="NO",0,AB49-S49)</f>
        <v>-10666.669999999998</v>
      </c>
      <c r="AE49" s="43">
        <v>0.08</v>
      </c>
      <c r="AF49" s="3">
        <f t="shared" si="3"/>
        <v>-9876.5462962962938</v>
      </c>
      <c r="AG49" s="45">
        <f t="shared" si="4"/>
        <v>-10864.200925925925</v>
      </c>
      <c r="AH49" s="55"/>
    </row>
    <row r="50" spans="1:34" x14ac:dyDescent="0.25">
      <c r="A50" t="s">
        <v>330</v>
      </c>
      <c r="B50" t="s">
        <v>331</v>
      </c>
      <c r="C50" t="s">
        <v>332</v>
      </c>
      <c r="D50" t="s">
        <v>333</v>
      </c>
      <c r="E50" t="s">
        <v>334</v>
      </c>
      <c r="F50" t="s">
        <v>335</v>
      </c>
      <c r="G50" t="s">
        <v>5</v>
      </c>
      <c r="H50" t="s">
        <v>65</v>
      </c>
      <c r="I50" t="s">
        <v>82</v>
      </c>
      <c r="J50" t="s">
        <v>83</v>
      </c>
      <c r="K50" t="s">
        <v>3</v>
      </c>
      <c r="L50" t="s">
        <v>4</v>
      </c>
      <c r="M50" t="s">
        <v>49</v>
      </c>
      <c r="N50" t="s">
        <v>336</v>
      </c>
      <c r="O50" s="31" t="s">
        <v>337</v>
      </c>
      <c r="P50">
        <v>220</v>
      </c>
      <c r="R50">
        <v>6</v>
      </c>
      <c r="S50" s="31">
        <v>450000</v>
      </c>
      <c r="T50" s="39">
        <v>480000</v>
      </c>
      <c r="U50">
        <v>75000</v>
      </c>
      <c r="V50">
        <v>25000.02</v>
      </c>
      <c r="W50">
        <v>0</v>
      </c>
      <c r="X50" s="39">
        <v>135799.98000000001</v>
      </c>
      <c r="Y50">
        <v>0</v>
      </c>
      <c r="Z50" s="31">
        <v>379999.98</v>
      </c>
      <c r="AA50">
        <v>8</v>
      </c>
      <c r="AB50" s="3">
        <f t="shared" si="2"/>
        <v>379999.98</v>
      </c>
      <c r="AC50" t="str">
        <f>IF(AB50-S50&lt;0,"YES","NO")</f>
        <v>YES</v>
      </c>
      <c r="AD50">
        <f>IF(AC50="NO",0,AB50-S50)</f>
        <v>-70000.020000000019</v>
      </c>
      <c r="AE50" s="43">
        <v>0.08</v>
      </c>
      <c r="AF50" s="3">
        <f t="shared" si="3"/>
        <v>-64814.833333333343</v>
      </c>
      <c r="AG50" s="45">
        <f t="shared" si="4"/>
        <v>-71296.31666666668</v>
      </c>
      <c r="AH50" s="55"/>
    </row>
    <row r="51" spans="1:34" x14ac:dyDescent="0.25">
      <c r="A51" t="s">
        <v>338</v>
      </c>
      <c r="B51" t="s">
        <v>339</v>
      </c>
      <c r="C51" t="s">
        <v>340</v>
      </c>
      <c r="D51" t="s">
        <v>341</v>
      </c>
      <c r="E51" t="s">
        <v>342</v>
      </c>
      <c r="F51" t="s">
        <v>343</v>
      </c>
      <c r="G51" t="s">
        <v>5</v>
      </c>
      <c r="H51" t="s">
        <v>65</v>
      </c>
      <c r="I51" t="s">
        <v>68</v>
      </c>
      <c r="J51" t="s">
        <v>69</v>
      </c>
      <c r="K51" t="s">
        <v>3</v>
      </c>
      <c r="L51" t="s">
        <v>4</v>
      </c>
      <c r="M51" t="s">
        <v>49</v>
      </c>
      <c r="N51" t="s">
        <v>344</v>
      </c>
      <c r="O51" s="31" t="s">
        <v>345</v>
      </c>
      <c r="P51">
        <v>220</v>
      </c>
      <c r="Q51" t="s">
        <v>70</v>
      </c>
      <c r="R51">
        <v>1</v>
      </c>
      <c r="S51" s="31">
        <v>59000</v>
      </c>
      <c r="T51" s="39">
        <v>65000</v>
      </c>
      <c r="U51">
        <v>11666.67</v>
      </c>
      <c r="V51">
        <v>5000</v>
      </c>
      <c r="W51">
        <v>0</v>
      </c>
      <c r="X51" s="39">
        <v>21333.33</v>
      </c>
      <c r="Y51">
        <v>0</v>
      </c>
      <c r="Z51" s="31">
        <v>48333.33</v>
      </c>
      <c r="AA51">
        <v>8</v>
      </c>
      <c r="AB51" s="3">
        <f t="shared" si="2"/>
        <v>48333.33</v>
      </c>
      <c r="AC51" t="str">
        <f>IF(AB51-S51&lt;0,"YES","NO")</f>
        <v>YES</v>
      </c>
      <c r="AD51">
        <f>IF(AC51="NO",0,AB51-S51)</f>
        <v>-10666.669999999998</v>
      </c>
      <c r="AE51" s="43">
        <v>0.08</v>
      </c>
      <c r="AF51" s="3">
        <f t="shared" si="3"/>
        <v>-9876.5462962962938</v>
      </c>
      <c r="AG51" s="45">
        <f t="shared" si="4"/>
        <v>-10864.200925925925</v>
      </c>
      <c r="AH51" s="55"/>
    </row>
    <row r="52" spans="1:34" x14ac:dyDescent="0.25">
      <c r="A52" t="s">
        <v>338</v>
      </c>
      <c r="B52" t="s">
        <v>339</v>
      </c>
      <c r="C52" t="s">
        <v>340</v>
      </c>
      <c r="D52" t="s">
        <v>341</v>
      </c>
      <c r="E52" t="s">
        <v>342</v>
      </c>
      <c r="F52" t="s">
        <v>343</v>
      </c>
      <c r="G52" t="s">
        <v>5</v>
      </c>
      <c r="H52" t="s">
        <v>65</v>
      </c>
      <c r="I52" t="s">
        <v>71</v>
      </c>
      <c r="J52" t="s">
        <v>72</v>
      </c>
      <c r="K52" t="s">
        <v>3</v>
      </c>
      <c r="L52" t="s">
        <v>4</v>
      </c>
      <c r="M52" t="s">
        <v>49</v>
      </c>
      <c r="N52" t="s">
        <v>344</v>
      </c>
      <c r="O52" s="31" t="s">
        <v>345</v>
      </c>
      <c r="P52">
        <v>220</v>
      </c>
      <c r="Q52" t="s">
        <v>70</v>
      </c>
      <c r="R52">
        <v>1</v>
      </c>
      <c r="S52" s="31">
        <v>59000</v>
      </c>
      <c r="T52" s="39">
        <v>65000</v>
      </c>
      <c r="U52">
        <v>11666.67</v>
      </c>
      <c r="V52">
        <v>5000</v>
      </c>
      <c r="W52">
        <v>0</v>
      </c>
      <c r="X52" s="39">
        <v>21333.33</v>
      </c>
      <c r="Y52">
        <v>0</v>
      </c>
      <c r="Z52" s="31">
        <v>48333.33</v>
      </c>
      <c r="AA52">
        <v>8</v>
      </c>
      <c r="AB52" s="3">
        <f t="shared" si="2"/>
        <v>48333.33</v>
      </c>
      <c r="AC52" t="str">
        <f>IF(AB52-S52&lt;0,"YES","NO")</f>
        <v>YES</v>
      </c>
      <c r="AD52">
        <f>IF(AC52="NO",0,AB52-S52)</f>
        <v>-10666.669999999998</v>
      </c>
      <c r="AE52" s="43">
        <v>0.08</v>
      </c>
      <c r="AF52" s="3">
        <f t="shared" si="3"/>
        <v>-9876.5462962962938</v>
      </c>
      <c r="AG52" s="45">
        <f t="shared" si="4"/>
        <v>-10864.200925925925</v>
      </c>
      <c r="AH52" s="55"/>
    </row>
    <row r="53" spans="1:34" x14ac:dyDescent="0.25">
      <c r="A53" t="s">
        <v>338</v>
      </c>
      <c r="B53" t="s">
        <v>339</v>
      </c>
      <c r="C53" t="s">
        <v>340</v>
      </c>
      <c r="D53" t="s">
        <v>341</v>
      </c>
      <c r="E53" t="s">
        <v>342</v>
      </c>
      <c r="F53" t="s">
        <v>343</v>
      </c>
      <c r="G53" t="s">
        <v>5</v>
      </c>
      <c r="H53" t="s">
        <v>65</v>
      </c>
      <c r="I53" t="s">
        <v>73</v>
      </c>
      <c r="J53" t="s">
        <v>74</v>
      </c>
      <c r="K53" t="s">
        <v>3</v>
      </c>
      <c r="L53" t="s">
        <v>4</v>
      </c>
      <c r="M53" t="s">
        <v>49</v>
      </c>
      <c r="N53" t="s">
        <v>344</v>
      </c>
      <c r="O53" s="31" t="s">
        <v>345</v>
      </c>
      <c r="P53">
        <v>220</v>
      </c>
      <c r="Q53" t="s">
        <v>70</v>
      </c>
      <c r="R53">
        <v>1</v>
      </c>
      <c r="S53" s="31">
        <v>59000</v>
      </c>
      <c r="T53" s="39">
        <v>65000</v>
      </c>
      <c r="U53">
        <v>11666.67</v>
      </c>
      <c r="V53">
        <v>5000</v>
      </c>
      <c r="W53">
        <v>0</v>
      </c>
      <c r="X53" s="39">
        <v>21333.33</v>
      </c>
      <c r="Y53">
        <v>0</v>
      </c>
      <c r="Z53" s="31">
        <v>48333.33</v>
      </c>
      <c r="AA53">
        <v>8</v>
      </c>
      <c r="AB53" s="3">
        <f t="shared" si="2"/>
        <v>48333.33</v>
      </c>
      <c r="AC53" t="str">
        <f>IF(AB53-S53&lt;0,"YES","NO")</f>
        <v>YES</v>
      </c>
      <c r="AD53">
        <f>IF(AC53="NO",0,AB53-S53)</f>
        <v>-10666.669999999998</v>
      </c>
      <c r="AE53" s="43">
        <v>0.08</v>
      </c>
      <c r="AF53" s="3">
        <f t="shared" si="3"/>
        <v>-9876.5462962962938</v>
      </c>
      <c r="AG53" s="45">
        <f t="shared" si="4"/>
        <v>-10864.200925925925</v>
      </c>
      <c r="AH53" s="55"/>
    </row>
    <row r="54" spans="1:34" x14ac:dyDescent="0.25">
      <c r="A54" t="s">
        <v>346</v>
      </c>
      <c r="B54" t="s">
        <v>347</v>
      </c>
      <c r="C54" t="s">
        <v>348</v>
      </c>
      <c r="D54" t="s">
        <v>349</v>
      </c>
      <c r="E54" t="s">
        <v>350</v>
      </c>
      <c r="F54" t="s">
        <v>351</v>
      </c>
      <c r="G54" t="s">
        <v>5</v>
      </c>
      <c r="H54" t="s">
        <v>61</v>
      </c>
      <c r="I54" t="s">
        <v>93</v>
      </c>
      <c r="J54" t="s">
        <v>94</v>
      </c>
      <c r="K54" t="s">
        <v>3</v>
      </c>
      <c r="L54" t="s">
        <v>4</v>
      </c>
      <c r="M54" t="s">
        <v>49</v>
      </c>
      <c r="N54" t="s">
        <v>352</v>
      </c>
      <c r="O54" s="31" t="s">
        <v>353</v>
      </c>
      <c r="P54">
        <v>20</v>
      </c>
      <c r="Q54" t="s">
        <v>86</v>
      </c>
      <c r="R54">
        <v>1</v>
      </c>
      <c r="S54" s="31">
        <v>0</v>
      </c>
      <c r="T54" s="39">
        <v>0</v>
      </c>
      <c r="U54">
        <v>0</v>
      </c>
      <c r="V54">
        <v>0</v>
      </c>
      <c r="W54">
        <v>0</v>
      </c>
      <c r="X54" s="39">
        <v>0</v>
      </c>
      <c r="Y54">
        <v>0</v>
      </c>
      <c r="Z54" s="31">
        <v>0</v>
      </c>
      <c r="AA54">
        <v>8</v>
      </c>
      <c r="AB54" s="3">
        <f t="shared" si="2"/>
        <v>0</v>
      </c>
      <c r="AC54" t="str">
        <f>IF(AB54-S54&lt;0,"YES","NO")</f>
        <v>NO</v>
      </c>
      <c r="AD54">
        <f>IF(AC54="NO",0,AB54-S54)</f>
        <v>0</v>
      </c>
      <c r="AE54" s="43">
        <v>0.08</v>
      </c>
      <c r="AF54" s="3">
        <f t="shared" si="3"/>
        <v>0</v>
      </c>
      <c r="AG54" s="45">
        <f t="shared" si="4"/>
        <v>0</v>
      </c>
      <c r="AH54" s="55"/>
    </row>
    <row r="55" spans="1:34" x14ac:dyDescent="0.25">
      <c r="A55" t="s">
        <v>346</v>
      </c>
      <c r="B55" t="s">
        <v>347</v>
      </c>
      <c r="C55" t="s">
        <v>348</v>
      </c>
      <c r="D55" t="s">
        <v>349</v>
      </c>
      <c r="E55" t="s">
        <v>350</v>
      </c>
      <c r="F55" t="s">
        <v>351</v>
      </c>
      <c r="G55" t="s">
        <v>5</v>
      </c>
      <c r="H55" t="s">
        <v>65</v>
      </c>
      <c r="I55" t="s">
        <v>95</v>
      </c>
      <c r="J55" t="s">
        <v>96</v>
      </c>
      <c r="K55" t="s">
        <v>3</v>
      </c>
      <c r="L55" t="s">
        <v>4</v>
      </c>
      <c r="M55" t="s">
        <v>49</v>
      </c>
      <c r="N55" t="s">
        <v>352</v>
      </c>
      <c r="O55" s="31" t="s">
        <v>353</v>
      </c>
      <c r="P55">
        <v>200</v>
      </c>
      <c r="R55">
        <v>6</v>
      </c>
      <c r="S55" s="31">
        <v>432000</v>
      </c>
      <c r="T55" s="39">
        <v>480000</v>
      </c>
      <c r="U55">
        <v>79999.98</v>
      </c>
      <c r="V55">
        <v>40000.019999999997</v>
      </c>
      <c r="W55">
        <v>0</v>
      </c>
      <c r="X55" s="39">
        <v>137599.98000000001</v>
      </c>
      <c r="Y55">
        <v>0</v>
      </c>
      <c r="Z55" s="31">
        <v>360000</v>
      </c>
      <c r="AA55">
        <v>8</v>
      </c>
      <c r="AB55" s="3">
        <f t="shared" si="2"/>
        <v>360000</v>
      </c>
      <c r="AC55" t="str">
        <f>IF(AB55-S55&lt;0,"YES","NO")</f>
        <v>YES</v>
      </c>
      <c r="AD55">
        <f>IF(AC55="NO",0,AB55-S55)</f>
        <v>-72000</v>
      </c>
      <c r="AE55" s="43">
        <v>0.08</v>
      </c>
      <c r="AF55" s="3">
        <f t="shared" si="3"/>
        <v>-66666.666666666657</v>
      </c>
      <c r="AG55" s="45">
        <f t="shared" si="4"/>
        <v>-73333.333333333328</v>
      </c>
      <c r="AH55" s="55"/>
    </row>
    <row r="56" spans="1:34" x14ac:dyDescent="0.25">
      <c r="A56" t="s">
        <v>354</v>
      </c>
      <c r="B56" t="s">
        <v>355</v>
      </c>
      <c r="C56" t="s">
        <v>356</v>
      </c>
      <c r="D56" t="s">
        <v>357</v>
      </c>
      <c r="E56" t="s">
        <v>358</v>
      </c>
      <c r="F56" t="s">
        <v>359</v>
      </c>
      <c r="G56" t="s">
        <v>5</v>
      </c>
      <c r="H56" t="s">
        <v>65</v>
      </c>
      <c r="I56" t="s">
        <v>66</v>
      </c>
      <c r="J56" t="s">
        <v>67</v>
      </c>
      <c r="K56" t="s">
        <v>3</v>
      </c>
      <c r="L56" t="s">
        <v>4</v>
      </c>
      <c r="M56" t="s">
        <v>49</v>
      </c>
      <c r="N56" t="s">
        <v>360</v>
      </c>
      <c r="O56" s="31" t="s">
        <v>361</v>
      </c>
      <c r="P56">
        <v>220</v>
      </c>
      <c r="R56">
        <v>2</v>
      </c>
      <c r="S56" s="31">
        <v>150000</v>
      </c>
      <c r="T56" s="39">
        <v>160000</v>
      </c>
      <c r="U56">
        <v>20000</v>
      </c>
      <c r="V56">
        <v>16000</v>
      </c>
      <c r="W56">
        <v>0</v>
      </c>
      <c r="X56" s="39">
        <v>34880</v>
      </c>
      <c r="Y56">
        <v>0</v>
      </c>
      <c r="Z56" s="31">
        <v>124000</v>
      </c>
      <c r="AA56">
        <v>8</v>
      </c>
      <c r="AB56" s="3">
        <f t="shared" si="2"/>
        <v>124000</v>
      </c>
      <c r="AC56" t="str">
        <f>IF(AB56-S56&lt;0,"YES","NO")</f>
        <v>YES</v>
      </c>
      <c r="AD56">
        <f>IF(AC56="NO",0,AB56-S56)</f>
        <v>-26000</v>
      </c>
      <c r="AE56" s="43">
        <v>0.08</v>
      </c>
      <c r="AF56" s="3">
        <f t="shared" si="3"/>
        <v>-24074.074074074073</v>
      </c>
      <c r="AG56" s="45">
        <f t="shared" si="4"/>
        <v>-26481.481481481482</v>
      </c>
      <c r="AH56" s="55"/>
    </row>
    <row r="57" spans="1:34" x14ac:dyDescent="0.25">
      <c r="A57" t="s">
        <v>362</v>
      </c>
      <c r="B57" t="s">
        <v>363</v>
      </c>
      <c r="C57" t="s">
        <v>364</v>
      </c>
      <c r="D57" t="s">
        <v>365</v>
      </c>
      <c r="E57" t="s">
        <v>366</v>
      </c>
      <c r="F57" t="s">
        <v>367</v>
      </c>
      <c r="G57" t="s">
        <v>5</v>
      </c>
      <c r="H57" t="s">
        <v>65</v>
      </c>
      <c r="I57" t="s">
        <v>66</v>
      </c>
      <c r="J57" t="s">
        <v>67</v>
      </c>
      <c r="K57" t="s">
        <v>3</v>
      </c>
      <c r="L57" t="s">
        <v>4</v>
      </c>
      <c r="M57" t="s">
        <v>49</v>
      </c>
      <c r="N57" t="s">
        <v>368</v>
      </c>
      <c r="O57" s="31" t="s">
        <v>369</v>
      </c>
      <c r="P57">
        <v>220</v>
      </c>
      <c r="R57">
        <v>3</v>
      </c>
      <c r="S57" s="31">
        <v>225000</v>
      </c>
      <c r="T57" s="39">
        <v>240000</v>
      </c>
      <c r="U57">
        <v>35000.01</v>
      </c>
      <c r="V57">
        <v>12999.99</v>
      </c>
      <c r="W57">
        <v>0</v>
      </c>
      <c r="X57" s="39">
        <v>73400.009999999995</v>
      </c>
      <c r="Y57">
        <v>0</v>
      </c>
      <c r="Z57" s="31">
        <v>192000</v>
      </c>
      <c r="AA57">
        <v>8</v>
      </c>
      <c r="AB57" s="3">
        <f t="shared" si="2"/>
        <v>192000</v>
      </c>
      <c r="AC57" t="str">
        <f>IF(AB57-S57&lt;0,"YES","NO")</f>
        <v>YES</v>
      </c>
      <c r="AD57">
        <f>IF(AC57="NO",0,AB57-S57)</f>
        <v>-33000</v>
      </c>
      <c r="AE57" s="43">
        <v>0.08</v>
      </c>
      <c r="AF57" s="3">
        <f t="shared" si="3"/>
        <v>-30555.555555555555</v>
      </c>
      <c r="AG57" s="45">
        <f t="shared" si="4"/>
        <v>-33611.111111111109</v>
      </c>
      <c r="AH57" s="55"/>
    </row>
    <row r="58" spans="1:34" x14ac:dyDescent="0.25">
      <c r="A58" t="s">
        <v>370</v>
      </c>
      <c r="B58" t="s">
        <v>371</v>
      </c>
      <c r="C58" t="s">
        <v>372</v>
      </c>
      <c r="D58" t="s">
        <v>373</v>
      </c>
      <c r="E58" t="s">
        <v>374</v>
      </c>
      <c r="F58" t="s">
        <v>375</v>
      </c>
      <c r="G58" t="s">
        <v>5</v>
      </c>
      <c r="H58" t="s">
        <v>61</v>
      </c>
      <c r="I58" t="s">
        <v>62</v>
      </c>
      <c r="J58" t="s">
        <v>63</v>
      </c>
      <c r="K58" t="s">
        <v>3</v>
      </c>
      <c r="L58" t="s">
        <v>4</v>
      </c>
      <c r="M58" t="s">
        <v>49</v>
      </c>
      <c r="N58" t="s">
        <v>376</v>
      </c>
      <c r="O58" s="31" t="s">
        <v>377</v>
      </c>
      <c r="P58">
        <v>20000</v>
      </c>
      <c r="Q58" t="s">
        <v>64</v>
      </c>
      <c r="R58">
        <v>1</v>
      </c>
      <c r="S58" s="31">
        <v>0</v>
      </c>
      <c r="T58" s="39">
        <v>0</v>
      </c>
      <c r="U58">
        <v>0</v>
      </c>
      <c r="V58">
        <v>0</v>
      </c>
      <c r="W58">
        <v>0</v>
      </c>
      <c r="X58" s="39">
        <v>0</v>
      </c>
      <c r="Y58">
        <v>0</v>
      </c>
      <c r="Z58" s="31">
        <v>0</v>
      </c>
      <c r="AA58">
        <v>8</v>
      </c>
      <c r="AB58" s="3">
        <f t="shared" si="2"/>
        <v>0</v>
      </c>
      <c r="AC58" t="str">
        <f>IF(AB58-S58&lt;0,"YES","NO")</f>
        <v>NO</v>
      </c>
      <c r="AD58">
        <f>IF(AC58="NO",0,AB58-S58)</f>
        <v>0</v>
      </c>
      <c r="AE58" s="43">
        <v>0.08</v>
      </c>
      <c r="AF58" s="3">
        <f t="shared" si="3"/>
        <v>0</v>
      </c>
      <c r="AG58" s="45">
        <f t="shared" si="4"/>
        <v>0</v>
      </c>
      <c r="AH58" s="55"/>
    </row>
    <row r="59" spans="1:34" x14ac:dyDescent="0.25">
      <c r="A59" t="s">
        <v>370</v>
      </c>
      <c r="B59" t="s">
        <v>371</v>
      </c>
      <c r="C59" t="s">
        <v>372</v>
      </c>
      <c r="D59" t="s">
        <v>373</v>
      </c>
      <c r="E59" t="s">
        <v>374</v>
      </c>
      <c r="F59" t="s">
        <v>375</v>
      </c>
      <c r="G59" t="s">
        <v>5</v>
      </c>
      <c r="H59" t="s">
        <v>65</v>
      </c>
      <c r="I59" t="s">
        <v>68</v>
      </c>
      <c r="J59" t="s">
        <v>69</v>
      </c>
      <c r="K59" t="s">
        <v>3</v>
      </c>
      <c r="L59" t="s">
        <v>4</v>
      </c>
      <c r="M59" t="s">
        <v>49</v>
      </c>
      <c r="N59" t="s">
        <v>376</v>
      </c>
      <c r="O59" s="31" t="s">
        <v>377</v>
      </c>
      <c r="P59">
        <v>220</v>
      </c>
      <c r="Q59" t="s">
        <v>70</v>
      </c>
      <c r="R59">
        <v>1</v>
      </c>
      <c r="S59" s="31">
        <v>59000</v>
      </c>
      <c r="T59" s="39">
        <v>65000</v>
      </c>
      <c r="U59">
        <v>11666.67</v>
      </c>
      <c r="V59">
        <v>5000</v>
      </c>
      <c r="W59">
        <v>0</v>
      </c>
      <c r="X59" s="39">
        <v>17466.669999999998</v>
      </c>
      <c r="Y59">
        <v>0</v>
      </c>
      <c r="Z59" s="31">
        <v>48333.33</v>
      </c>
      <c r="AA59">
        <v>8</v>
      </c>
      <c r="AB59" s="3">
        <f t="shared" si="2"/>
        <v>48333.33</v>
      </c>
      <c r="AC59" t="str">
        <f>IF(AB59-S59&lt;0,"YES","NO")</f>
        <v>YES</v>
      </c>
      <c r="AD59">
        <f>IF(AC59="NO",0,AB59-S59)</f>
        <v>-10666.669999999998</v>
      </c>
      <c r="AE59" s="43">
        <v>0.08</v>
      </c>
      <c r="AF59" s="3">
        <f t="shared" si="3"/>
        <v>-9876.5462962962938</v>
      </c>
      <c r="AG59" s="45">
        <f t="shared" si="4"/>
        <v>-10864.200925925925</v>
      </c>
      <c r="AH59" s="55"/>
    </row>
    <row r="60" spans="1:34" x14ac:dyDescent="0.25">
      <c r="A60" t="s">
        <v>370</v>
      </c>
      <c r="B60" t="s">
        <v>371</v>
      </c>
      <c r="C60" t="s">
        <v>372</v>
      </c>
      <c r="D60" t="s">
        <v>373</v>
      </c>
      <c r="E60" t="s">
        <v>374</v>
      </c>
      <c r="F60" t="s">
        <v>375</v>
      </c>
      <c r="G60" t="s">
        <v>5</v>
      </c>
      <c r="H60" t="s">
        <v>65</v>
      </c>
      <c r="I60" t="s">
        <v>71</v>
      </c>
      <c r="J60" t="s">
        <v>72</v>
      </c>
      <c r="K60" t="s">
        <v>3</v>
      </c>
      <c r="L60" t="s">
        <v>4</v>
      </c>
      <c r="M60" t="s">
        <v>49</v>
      </c>
      <c r="N60" t="s">
        <v>376</v>
      </c>
      <c r="O60" s="31" t="s">
        <v>377</v>
      </c>
      <c r="P60">
        <v>220</v>
      </c>
      <c r="Q60" t="s">
        <v>70</v>
      </c>
      <c r="R60">
        <v>1</v>
      </c>
      <c r="S60" s="31">
        <v>59000</v>
      </c>
      <c r="T60" s="39">
        <v>65000</v>
      </c>
      <c r="U60">
        <v>11666.67</v>
      </c>
      <c r="V60">
        <v>5000</v>
      </c>
      <c r="W60">
        <v>0</v>
      </c>
      <c r="X60" s="39">
        <v>17466.669999999998</v>
      </c>
      <c r="Y60">
        <v>0</v>
      </c>
      <c r="Z60" s="31">
        <v>48333.33</v>
      </c>
      <c r="AA60">
        <v>8</v>
      </c>
      <c r="AB60" s="3">
        <f t="shared" si="2"/>
        <v>48333.33</v>
      </c>
      <c r="AC60" t="str">
        <f>IF(AB60-S60&lt;0,"YES","NO")</f>
        <v>YES</v>
      </c>
      <c r="AD60">
        <f>IF(AC60="NO",0,AB60-S60)</f>
        <v>-10666.669999999998</v>
      </c>
      <c r="AE60" s="43">
        <v>0.08</v>
      </c>
      <c r="AF60" s="3">
        <f t="shared" si="3"/>
        <v>-9876.5462962962938</v>
      </c>
      <c r="AG60" s="45">
        <f t="shared" si="4"/>
        <v>-10864.200925925925</v>
      </c>
      <c r="AH60" s="55"/>
    </row>
    <row r="61" spans="1:34" x14ac:dyDescent="0.25">
      <c r="A61" t="s">
        <v>370</v>
      </c>
      <c r="B61" t="s">
        <v>371</v>
      </c>
      <c r="C61" t="s">
        <v>372</v>
      </c>
      <c r="D61" t="s">
        <v>373</v>
      </c>
      <c r="E61" t="s">
        <v>374</v>
      </c>
      <c r="F61" t="s">
        <v>375</v>
      </c>
      <c r="G61" t="s">
        <v>5</v>
      </c>
      <c r="H61" t="s">
        <v>65</v>
      </c>
      <c r="I61" t="s">
        <v>73</v>
      </c>
      <c r="J61" t="s">
        <v>74</v>
      </c>
      <c r="K61" t="s">
        <v>3</v>
      </c>
      <c r="L61" t="s">
        <v>4</v>
      </c>
      <c r="M61" t="s">
        <v>49</v>
      </c>
      <c r="N61" t="s">
        <v>376</v>
      </c>
      <c r="O61" s="31" t="s">
        <v>377</v>
      </c>
      <c r="P61">
        <v>220</v>
      </c>
      <c r="Q61" t="s">
        <v>70</v>
      </c>
      <c r="R61">
        <v>1</v>
      </c>
      <c r="S61" s="31">
        <v>59000</v>
      </c>
      <c r="T61" s="39">
        <v>65000</v>
      </c>
      <c r="U61">
        <v>11666.67</v>
      </c>
      <c r="V61">
        <v>5000</v>
      </c>
      <c r="W61">
        <v>0</v>
      </c>
      <c r="X61" s="39">
        <v>17466.669999999998</v>
      </c>
      <c r="Y61">
        <v>0</v>
      </c>
      <c r="Z61" s="31">
        <v>48333.33</v>
      </c>
      <c r="AA61">
        <v>8</v>
      </c>
      <c r="AB61" s="3">
        <f t="shared" si="2"/>
        <v>48333.33</v>
      </c>
      <c r="AC61" t="str">
        <f>IF(AB61-S61&lt;0,"YES","NO")</f>
        <v>YES</v>
      </c>
      <c r="AD61">
        <f>IF(AC61="NO",0,AB61-S61)</f>
        <v>-10666.669999999998</v>
      </c>
      <c r="AE61" s="43">
        <v>0.08</v>
      </c>
      <c r="AF61" s="3">
        <f t="shared" si="3"/>
        <v>-9876.5462962962938</v>
      </c>
      <c r="AG61" s="45">
        <f t="shared" si="4"/>
        <v>-10864.200925925925</v>
      </c>
      <c r="AH61" s="55"/>
    </row>
    <row r="62" spans="1:34" x14ac:dyDescent="0.25">
      <c r="A62" t="s">
        <v>378</v>
      </c>
      <c r="B62" t="s">
        <v>379</v>
      </c>
      <c r="C62" t="s">
        <v>380</v>
      </c>
      <c r="D62" t="s">
        <v>381</v>
      </c>
      <c r="E62" t="s">
        <v>382</v>
      </c>
      <c r="F62" t="s">
        <v>383</v>
      </c>
      <c r="G62" t="s">
        <v>5</v>
      </c>
      <c r="H62" t="s">
        <v>61</v>
      </c>
      <c r="I62" t="s">
        <v>93</v>
      </c>
      <c r="J62" t="s">
        <v>94</v>
      </c>
      <c r="K62" t="s">
        <v>3</v>
      </c>
      <c r="L62" t="s">
        <v>4</v>
      </c>
      <c r="M62" t="s">
        <v>49</v>
      </c>
      <c r="N62" t="s">
        <v>384</v>
      </c>
      <c r="O62" s="31" t="s">
        <v>385</v>
      </c>
      <c r="P62">
        <v>20</v>
      </c>
      <c r="Q62" t="s">
        <v>86</v>
      </c>
      <c r="R62">
        <v>1</v>
      </c>
      <c r="S62" s="31">
        <v>0</v>
      </c>
      <c r="T62" s="39">
        <v>0</v>
      </c>
      <c r="U62">
        <v>0</v>
      </c>
      <c r="V62">
        <v>0</v>
      </c>
      <c r="W62">
        <v>0</v>
      </c>
      <c r="X62" s="39">
        <v>0</v>
      </c>
      <c r="Y62">
        <v>0</v>
      </c>
      <c r="Z62" s="31">
        <v>0</v>
      </c>
      <c r="AA62">
        <v>8</v>
      </c>
      <c r="AB62" s="3">
        <f t="shared" si="2"/>
        <v>0</v>
      </c>
      <c r="AC62" t="str">
        <f>IF(AB62-S62&lt;0,"YES","NO")</f>
        <v>NO</v>
      </c>
      <c r="AD62">
        <f>IF(AC62="NO",0,AB62-S62)</f>
        <v>0</v>
      </c>
      <c r="AE62" s="43">
        <v>0.08</v>
      </c>
      <c r="AF62" s="3">
        <f t="shared" si="3"/>
        <v>0</v>
      </c>
      <c r="AG62" s="45">
        <f t="shared" si="4"/>
        <v>0</v>
      </c>
      <c r="AH62" s="55"/>
    </row>
    <row r="63" spans="1:34" x14ac:dyDescent="0.25">
      <c r="A63" t="s">
        <v>378</v>
      </c>
      <c r="B63" t="s">
        <v>379</v>
      </c>
      <c r="C63" t="s">
        <v>380</v>
      </c>
      <c r="D63" t="s">
        <v>381</v>
      </c>
      <c r="E63" t="s">
        <v>382</v>
      </c>
      <c r="F63" t="s">
        <v>383</v>
      </c>
      <c r="G63" t="s">
        <v>5</v>
      </c>
      <c r="H63" t="s">
        <v>65</v>
      </c>
      <c r="I63" t="s">
        <v>100</v>
      </c>
      <c r="J63" t="s">
        <v>101</v>
      </c>
      <c r="K63" t="s">
        <v>3</v>
      </c>
      <c r="L63" t="s">
        <v>4</v>
      </c>
      <c r="M63" t="s">
        <v>49</v>
      </c>
      <c r="N63" t="s">
        <v>384</v>
      </c>
      <c r="O63" s="31" t="s">
        <v>385</v>
      </c>
      <c r="P63">
        <v>200</v>
      </c>
      <c r="R63">
        <v>6</v>
      </c>
      <c r="S63" s="31">
        <v>432000</v>
      </c>
      <c r="T63" s="39">
        <v>480000</v>
      </c>
      <c r="U63">
        <v>75000</v>
      </c>
      <c r="V63">
        <v>48000</v>
      </c>
      <c r="W63">
        <v>0</v>
      </c>
      <c r="X63" s="39">
        <v>128550</v>
      </c>
      <c r="Y63">
        <v>0</v>
      </c>
      <c r="Z63" s="31">
        <v>357000</v>
      </c>
      <c r="AA63">
        <v>8</v>
      </c>
      <c r="AB63" s="3">
        <f t="shared" si="2"/>
        <v>357000</v>
      </c>
      <c r="AC63" t="str">
        <f>IF(AB63-S63&lt;0,"YES","NO")</f>
        <v>YES</v>
      </c>
      <c r="AD63">
        <f>IF(AC63="NO",0,AB63-S63)</f>
        <v>-75000</v>
      </c>
      <c r="AE63" s="43">
        <v>0.08</v>
      </c>
      <c r="AF63" s="3">
        <f t="shared" si="3"/>
        <v>-69444.444444444438</v>
      </c>
      <c r="AG63" s="45">
        <f t="shared" si="4"/>
        <v>-76388.888888888891</v>
      </c>
      <c r="AH63" s="55"/>
    </row>
    <row r="64" spans="1:34" x14ac:dyDescent="0.25">
      <c r="A64" t="s">
        <v>386</v>
      </c>
      <c r="B64" t="s">
        <v>387</v>
      </c>
      <c r="C64" t="s">
        <v>388</v>
      </c>
      <c r="D64" t="s">
        <v>389</v>
      </c>
      <c r="E64" t="s">
        <v>390</v>
      </c>
      <c r="F64" t="s">
        <v>391</v>
      </c>
      <c r="G64" t="s">
        <v>5</v>
      </c>
      <c r="H64" t="s">
        <v>61</v>
      </c>
      <c r="I64" t="s">
        <v>93</v>
      </c>
      <c r="J64" t="s">
        <v>94</v>
      </c>
      <c r="K64" t="s">
        <v>3</v>
      </c>
      <c r="L64" t="s">
        <v>4</v>
      </c>
      <c r="M64" t="s">
        <v>49</v>
      </c>
      <c r="N64" t="s">
        <v>392</v>
      </c>
      <c r="O64" s="31" t="s">
        <v>393</v>
      </c>
      <c r="P64">
        <v>20</v>
      </c>
      <c r="Q64" t="s">
        <v>86</v>
      </c>
      <c r="R64">
        <v>1</v>
      </c>
      <c r="S64" s="31">
        <v>0</v>
      </c>
      <c r="T64" s="39">
        <v>0</v>
      </c>
      <c r="U64">
        <v>0</v>
      </c>
      <c r="V64">
        <v>0</v>
      </c>
      <c r="W64">
        <v>0</v>
      </c>
      <c r="X64" s="39">
        <v>0</v>
      </c>
      <c r="Y64">
        <v>0</v>
      </c>
      <c r="Z64" s="31">
        <v>0</v>
      </c>
      <c r="AA64">
        <v>8</v>
      </c>
      <c r="AB64" s="3">
        <f t="shared" si="2"/>
        <v>0</v>
      </c>
      <c r="AC64" t="str">
        <f>IF(AB64-S64&lt;0,"YES","NO")</f>
        <v>NO</v>
      </c>
      <c r="AD64">
        <f>IF(AC64="NO",0,AB64-S64)</f>
        <v>0</v>
      </c>
      <c r="AE64" s="43">
        <v>0.08</v>
      </c>
      <c r="AF64" s="3">
        <f t="shared" si="3"/>
        <v>0</v>
      </c>
      <c r="AG64" s="45">
        <f t="shared" si="4"/>
        <v>0</v>
      </c>
      <c r="AH64" s="55"/>
    </row>
    <row r="65" spans="1:34" x14ac:dyDescent="0.25">
      <c r="A65" t="s">
        <v>386</v>
      </c>
      <c r="B65" t="s">
        <v>387</v>
      </c>
      <c r="C65" t="s">
        <v>388</v>
      </c>
      <c r="D65" t="s">
        <v>389</v>
      </c>
      <c r="E65" t="s">
        <v>390</v>
      </c>
      <c r="F65" t="s">
        <v>391</v>
      </c>
      <c r="G65" t="s">
        <v>5</v>
      </c>
      <c r="H65" t="s">
        <v>65</v>
      </c>
      <c r="I65" t="s">
        <v>100</v>
      </c>
      <c r="J65" t="s">
        <v>101</v>
      </c>
      <c r="K65" t="s">
        <v>3</v>
      </c>
      <c r="L65" t="s">
        <v>4</v>
      </c>
      <c r="M65" t="s">
        <v>49</v>
      </c>
      <c r="N65" t="s">
        <v>392</v>
      </c>
      <c r="O65" s="31" t="s">
        <v>393</v>
      </c>
      <c r="P65">
        <v>200</v>
      </c>
      <c r="R65">
        <v>12</v>
      </c>
      <c r="S65" s="31">
        <v>864000</v>
      </c>
      <c r="T65" s="39">
        <v>960000</v>
      </c>
      <c r="U65">
        <v>75000</v>
      </c>
      <c r="V65">
        <v>96000</v>
      </c>
      <c r="W65">
        <v>0</v>
      </c>
      <c r="X65" s="39">
        <v>201240</v>
      </c>
      <c r="Y65">
        <v>0</v>
      </c>
      <c r="Z65" s="31">
        <v>789000</v>
      </c>
      <c r="AA65">
        <v>8</v>
      </c>
      <c r="AB65" s="3">
        <f t="shared" si="2"/>
        <v>789000</v>
      </c>
      <c r="AC65" t="str">
        <f>IF(AB65-S65&lt;0,"YES","NO")</f>
        <v>YES</v>
      </c>
      <c r="AD65">
        <f>IF(AC65="NO",0,AB65-S65)</f>
        <v>-75000</v>
      </c>
      <c r="AE65" s="43">
        <v>0.08</v>
      </c>
      <c r="AF65" s="3">
        <f t="shared" si="3"/>
        <v>-69444.444444444438</v>
      </c>
      <c r="AG65" s="45">
        <f t="shared" si="4"/>
        <v>-76388.888888888891</v>
      </c>
      <c r="AH65" s="55"/>
    </row>
    <row r="66" spans="1:34" x14ac:dyDescent="0.25">
      <c r="A66" t="s">
        <v>394</v>
      </c>
      <c r="B66" t="s">
        <v>395</v>
      </c>
      <c r="C66" t="s">
        <v>396</v>
      </c>
      <c r="D66" t="s">
        <v>397</v>
      </c>
      <c r="E66" t="s">
        <v>398</v>
      </c>
      <c r="F66" t="s">
        <v>399</v>
      </c>
      <c r="G66" t="s">
        <v>5</v>
      </c>
      <c r="H66" t="s">
        <v>65</v>
      </c>
      <c r="I66" t="s">
        <v>66</v>
      </c>
      <c r="J66" t="s">
        <v>67</v>
      </c>
      <c r="K66" t="s">
        <v>3</v>
      </c>
      <c r="L66" t="s">
        <v>4</v>
      </c>
      <c r="M66" t="s">
        <v>49</v>
      </c>
      <c r="N66" t="s">
        <v>400</v>
      </c>
      <c r="O66" s="31" t="s">
        <v>401</v>
      </c>
      <c r="P66">
        <v>220</v>
      </c>
      <c r="R66">
        <v>3</v>
      </c>
      <c r="S66" s="31">
        <v>225000</v>
      </c>
      <c r="T66" s="39">
        <v>240000</v>
      </c>
      <c r="U66">
        <v>35000.01</v>
      </c>
      <c r="V66">
        <v>24000</v>
      </c>
      <c r="W66">
        <v>0</v>
      </c>
      <c r="X66" s="39">
        <v>71199.990000000005</v>
      </c>
      <c r="Y66">
        <v>0</v>
      </c>
      <c r="Z66" s="31">
        <v>180999.99</v>
      </c>
      <c r="AA66">
        <v>8</v>
      </c>
      <c r="AB66" s="3">
        <f t="shared" si="2"/>
        <v>180999.99</v>
      </c>
      <c r="AC66" t="str">
        <f>IF(AB66-S66&lt;0,"YES","NO")</f>
        <v>YES</v>
      </c>
      <c r="AD66">
        <f>IF(AC66="NO",0,AB66-S66)</f>
        <v>-44000.010000000009</v>
      </c>
      <c r="AE66" s="43">
        <v>0.08</v>
      </c>
      <c r="AF66" s="3">
        <f t="shared" si="3"/>
        <v>-40740.750000000007</v>
      </c>
      <c r="AG66" s="45">
        <f t="shared" si="4"/>
        <v>-44814.825000000012</v>
      </c>
      <c r="AH66" s="55"/>
    </row>
    <row r="67" spans="1:34" x14ac:dyDescent="0.25">
      <c r="A67" t="s">
        <v>402</v>
      </c>
      <c r="B67" t="s">
        <v>403</v>
      </c>
      <c r="C67" t="s">
        <v>404</v>
      </c>
      <c r="D67" t="s">
        <v>405</v>
      </c>
      <c r="E67" t="s">
        <v>406</v>
      </c>
      <c r="F67" t="s">
        <v>407</v>
      </c>
      <c r="G67" t="s">
        <v>5</v>
      </c>
      <c r="H67" t="s">
        <v>61</v>
      </c>
      <c r="I67" t="s">
        <v>84</v>
      </c>
      <c r="J67" t="s">
        <v>85</v>
      </c>
      <c r="K67" t="s">
        <v>3</v>
      </c>
      <c r="L67" t="s">
        <v>4</v>
      </c>
      <c r="M67" t="s">
        <v>49</v>
      </c>
      <c r="N67" t="s">
        <v>408</v>
      </c>
      <c r="O67" s="31" t="s">
        <v>409</v>
      </c>
      <c r="P67">
        <v>100</v>
      </c>
      <c r="Q67" t="s">
        <v>86</v>
      </c>
      <c r="R67">
        <v>1</v>
      </c>
      <c r="S67" s="31">
        <v>0</v>
      </c>
      <c r="T67" s="39">
        <v>0</v>
      </c>
      <c r="U67">
        <v>0</v>
      </c>
      <c r="V67">
        <v>0</v>
      </c>
      <c r="W67">
        <v>0</v>
      </c>
      <c r="X67" s="39">
        <v>0</v>
      </c>
      <c r="Y67">
        <v>0</v>
      </c>
      <c r="Z67" s="31">
        <v>0</v>
      </c>
      <c r="AA67">
        <v>8</v>
      </c>
      <c r="AB67" s="3">
        <f t="shared" si="2"/>
        <v>0</v>
      </c>
      <c r="AC67" t="str">
        <f>IF(AB67-S67&lt;0,"YES","NO")</f>
        <v>NO</v>
      </c>
      <c r="AD67">
        <f>IF(AC67="NO",0,AB67-S67)</f>
        <v>0</v>
      </c>
      <c r="AE67" s="43">
        <v>0.08</v>
      </c>
      <c r="AF67" s="3">
        <f t="shared" si="3"/>
        <v>0</v>
      </c>
      <c r="AG67" s="45">
        <f t="shared" si="4"/>
        <v>0</v>
      </c>
      <c r="AH67" s="55"/>
    </row>
    <row r="68" spans="1:34" x14ac:dyDescent="0.25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  <c r="G68" t="s">
        <v>5</v>
      </c>
      <c r="H68" t="s">
        <v>65</v>
      </c>
      <c r="I68" t="s">
        <v>66</v>
      </c>
      <c r="J68" t="s">
        <v>67</v>
      </c>
      <c r="K68" t="s">
        <v>3</v>
      </c>
      <c r="L68" t="s">
        <v>4</v>
      </c>
      <c r="M68" t="s">
        <v>49</v>
      </c>
      <c r="N68" t="s">
        <v>408</v>
      </c>
      <c r="O68" s="31" t="s">
        <v>409</v>
      </c>
      <c r="P68">
        <v>220</v>
      </c>
      <c r="R68">
        <v>6</v>
      </c>
      <c r="S68" s="31">
        <v>450000</v>
      </c>
      <c r="T68" s="39">
        <v>480000</v>
      </c>
      <c r="U68">
        <v>75000</v>
      </c>
      <c r="V68">
        <v>48000</v>
      </c>
      <c r="W68">
        <v>0</v>
      </c>
      <c r="X68" s="39">
        <v>132120</v>
      </c>
      <c r="Y68">
        <v>0</v>
      </c>
      <c r="Z68" s="31">
        <v>357000</v>
      </c>
      <c r="AA68">
        <v>8</v>
      </c>
      <c r="AB68" s="3">
        <f t="shared" si="2"/>
        <v>357000</v>
      </c>
      <c r="AC68" t="str">
        <f>IF(AB68-S68&lt;0,"YES","NO")</f>
        <v>YES</v>
      </c>
      <c r="AD68">
        <f>IF(AC68="NO",0,AB68-S68)</f>
        <v>-93000</v>
      </c>
      <c r="AE68" s="43">
        <v>0.08</v>
      </c>
      <c r="AF68" s="3">
        <f t="shared" si="3"/>
        <v>-86111.111111111109</v>
      </c>
      <c r="AG68" s="45">
        <f t="shared" si="4"/>
        <v>-94722.222222222234</v>
      </c>
      <c r="AH68" s="55"/>
    </row>
    <row r="69" spans="1:34" x14ac:dyDescent="0.25">
      <c r="A69" t="s">
        <v>410</v>
      </c>
      <c r="B69" t="s">
        <v>411</v>
      </c>
      <c r="C69" t="s">
        <v>412</v>
      </c>
      <c r="D69" t="s">
        <v>413</v>
      </c>
      <c r="E69" t="s">
        <v>414</v>
      </c>
      <c r="F69" t="s">
        <v>415</v>
      </c>
      <c r="G69" t="s">
        <v>5</v>
      </c>
      <c r="H69" t="s">
        <v>61</v>
      </c>
      <c r="I69" t="s">
        <v>93</v>
      </c>
      <c r="J69" t="s">
        <v>94</v>
      </c>
      <c r="K69" t="s">
        <v>3</v>
      </c>
      <c r="L69" t="s">
        <v>4</v>
      </c>
      <c r="M69" t="s">
        <v>49</v>
      </c>
      <c r="N69" t="s">
        <v>416</v>
      </c>
      <c r="O69" s="31" t="s">
        <v>417</v>
      </c>
      <c r="P69">
        <v>20</v>
      </c>
      <c r="Q69" t="s">
        <v>86</v>
      </c>
      <c r="R69">
        <v>1</v>
      </c>
      <c r="S69" s="31">
        <v>0</v>
      </c>
      <c r="T69" s="39">
        <v>0</v>
      </c>
      <c r="U69">
        <v>0</v>
      </c>
      <c r="V69">
        <v>0</v>
      </c>
      <c r="W69">
        <v>0</v>
      </c>
      <c r="X69" s="39">
        <v>0</v>
      </c>
      <c r="Y69">
        <v>0</v>
      </c>
      <c r="Z69" s="31">
        <v>0</v>
      </c>
      <c r="AA69">
        <v>8</v>
      </c>
      <c r="AB69" s="3">
        <f t="shared" si="2"/>
        <v>0</v>
      </c>
      <c r="AC69" t="str">
        <f>IF(AB69-S69&lt;0,"YES","NO")</f>
        <v>NO</v>
      </c>
      <c r="AD69">
        <f>IF(AC69="NO",0,AB69-S69)</f>
        <v>0</v>
      </c>
      <c r="AE69" s="43">
        <v>0.08</v>
      </c>
      <c r="AF69" s="3">
        <f t="shared" si="3"/>
        <v>0</v>
      </c>
      <c r="AG69" s="45">
        <f t="shared" si="4"/>
        <v>0</v>
      </c>
      <c r="AH69" s="55"/>
    </row>
    <row r="70" spans="1:34" x14ac:dyDescent="0.25">
      <c r="A70" t="s">
        <v>410</v>
      </c>
      <c r="B70" t="s">
        <v>411</v>
      </c>
      <c r="C70" t="s">
        <v>412</v>
      </c>
      <c r="D70" t="s">
        <v>413</v>
      </c>
      <c r="E70" t="s">
        <v>414</v>
      </c>
      <c r="F70" t="s">
        <v>415</v>
      </c>
      <c r="G70" t="s">
        <v>5</v>
      </c>
      <c r="H70" t="s">
        <v>65</v>
      </c>
      <c r="I70" t="s">
        <v>115</v>
      </c>
      <c r="J70" t="s">
        <v>116</v>
      </c>
      <c r="K70" t="s">
        <v>3</v>
      </c>
      <c r="L70" t="s">
        <v>4</v>
      </c>
      <c r="M70" t="s">
        <v>49</v>
      </c>
      <c r="N70" t="s">
        <v>416</v>
      </c>
      <c r="O70" s="31" t="s">
        <v>417</v>
      </c>
      <c r="P70">
        <v>200</v>
      </c>
      <c r="R70">
        <v>6</v>
      </c>
      <c r="S70" s="31">
        <v>432000</v>
      </c>
      <c r="T70" s="39">
        <v>480000</v>
      </c>
      <c r="U70">
        <v>75000</v>
      </c>
      <c r="V70">
        <v>48000</v>
      </c>
      <c r="W70">
        <v>0</v>
      </c>
      <c r="X70" s="39">
        <v>146400</v>
      </c>
      <c r="Y70">
        <v>0</v>
      </c>
      <c r="Z70" s="31">
        <v>357000</v>
      </c>
      <c r="AA70">
        <v>8</v>
      </c>
      <c r="AB70" s="3">
        <f t="shared" ref="AB70:AB133" si="5">Z70</f>
        <v>357000</v>
      </c>
      <c r="AC70" t="str">
        <f>IF(AB70-S70&lt;0,"YES","NO")</f>
        <v>YES</v>
      </c>
      <c r="AD70">
        <f>IF(AC70="NO",0,AB70-S70)</f>
        <v>-75000</v>
      </c>
      <c r="AE70" s="43">
        <v>0.08</v>
      </c>
      <c r="AF70" s="3">
        <f t="shared" ref="AF70:AF133" si="6">AD70/(1+AE70)</f>
        <v>-69444.444444444438</v>
      </c>
      <c r="AG70" s="45">
        <f t="shared" ref="AG70:AG133" si="7">AF70*1.1</f>
        <v>-76388.888888888891</v>
      </c>
      <c r="AH70" s="55"/>
    </row>
    <row r="71" spans="1:34" x14ac:dyDescent="0.25">
      <c r="A71" t="s">
        <v>418</v>
      </c>
      <c r="B71" t="s">
        <v>419</v>
      </c>
      <c r="C71" t="s">
        <v>420</v>
      </c>
      <c r="D71" t="s">
        <v>421</v>
      </c>
      <c r="E71" t="s">
        <v>422</v>
      </c>
      <c r="F71" t="s">
        <v>423</v>
      </c>
      <c r="G71" t="s">
        <v>5</v>
      </c>
      <c r="H71" t="s">
        <v>65</v>
      </c>
      <c r="I71" t="s">
        <v>66</v>
      </c>
      <c r="J71" t="s">
        <v>67</v>
      </c>
      <c r="K71" t="s">
        <v>3</v>
      </c>
      <c r="L71" t="s">
        <v>4</v>
      </c>
      <c r="M71" t="s">
        <v>49</v>
      </c>
      <c r="N71" t="s">
        <v>424</v>
      </c>
      <c r="O71" s="31" t="s">
        <v>425</v>
      </c>
      <c r="P71">
        <v>220</v>
      </c>
      <c r="R71">
        <v>6</v>
      </c>
      <c r="S71" s="31">
        <v>450000</v>
      </c>
      <c r="T71" s="39">
        <v>480000</v>
      </c>
      <c r="U71">
        <v>75000</v>
      </c>
      <c r="V71">
        <v>49000.02</v>
      </c>
      <c r="W71">
        <v>0</v>
      </c>
      <c r="X71" s="39">
        <v>131959.98000000001</v>
      </c>
      <c r="Y71">
        <v>0</v>
      </c>
      <c r="Z71" s="31">
        <v>355999.98</v>
      </c>
      <c r="AA71">
        <v>8</v>
      </c>
      <c r="AB71" s="3">
        <f t="shared" si="5"/>
        <v>355999.98</v>
      </c>
      <c r="AC71" t="str">
        <f>IF(AB71-S71&lt;0,"YES","NO")</f>
        <v>YES</v>
      </c>
      <c r="AD71">
        <f>IF(AC71="NO",0,AB71-S71)</f>
        <v>-94000.020000000019</v>
      </c>
      <c r="AE71" s="43">
        <v>0.08</v>
      </c>
      <c r="AF71" s="3">
        <f t="shared" si="6"/>
        <v>-87037.055555555562</v>
      </c>
      <c r="AG71" s="45">
        <f t="shared" si="7"/>
        <v>-95740.761111111133</v>
      </c>
      <c r="AH71" s="55"/>
    </row>
    <row r="72" spans="1:34" x14ac:dyDescent="0.25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  <c r="G72" t="s">
        <v>5</v>
      </c>
      <c r="H72" t="s">
        <v>61</v>
      </c>
      <c r="I72" t="s">
        <v>84</v>
      </c>
      <c r="J72" t="s">
        <v>85</v>
      </c>
      <c r="K72" t="s">
        <v>3</v>
      </c>
      <c r="L72" t="s">
        <v>4</v>
      </c>
      <c r="M72" t="s">
        <v>49</v>
      </c>
      <c r="N72" t="s">
        <v>432</v>
      </c>
      <c r="O72" s="31" t="s">
        <v>433</v>
      </c>
      <c r="P72">
        <v>100</v>
      </c>
      <c r="Q72" t="s">
        <v>86</v>
      </c>
      <c r="R72">
        <v>1</v>
      </c>
      <c r="S72" s="31">
        <v>0</v>
      </c>
      <c r="T72" s="39">
        <v>0</v>
      </c>
      <c r="U72">
        <v>0</v>
      </c>
      <c r="V72">
        <v>0</v>
      </c>
      <c r="W72">
        <v>0</v>
      </c>
      <c r="X72" s="39">
        <v>0</v>
      </c>
      <c r="Y72">
        <v>0</v>
      </c>
      <c r="Z72" s="31">
        <v>0</v>
      </c>
      <c r="AA72">
        <v>8</v>
      </c>
      <c r="AB72" s="3">
        <f t="shared" si="5"/>
        <v>0</v>
      </c>
      <c r="AC72" t="str">
        <f>IF(AB72-S72&lt;0,"YES","NO")</f>
        <v>NO</v>
      </c>
      <c r="AD72">
        <f>IF(AC72="NO",0,AB72-S72)</f>
        <v>0</v>
      </c>
      <c r="AE72" s="43">
        <v>0.08</v>
      </c>
      <c r="AF72" s="3">
        <f t="shared" si="6"/>
        <v>0</v>
      </c>
      <c r="AG72" s="45">
        <f t="shared" si="7"/>
        <v>0</v>
      </c>
      <c r="AH72" s="55"/>
    </row>
    <row r="73" spans="1:34" x14ac:dyDescent="0.25">
      <c r="A73" t="s">
        <v>426</v>
      </c>
      <c r="B73" t="s">
        <v>427</v>
      </c>
      <c r="C73" t="s">
        <v>428</v>
      </c>
      <c r="D73" t="s">
        <v>429</v>
      </c>
      <c r="E73" t="s">
        <v>430</v>
      </c>
      <c r="F73" t="s">
        <v>431</v>
      </c>
      <c r="G73" t="s">
        <v>5</v>
      </c>
      <c r="H73" t="s">
        <v>65</v>
      </c>
      <c r="I73" t="s">
        <v>66</v>
      </c>
      <c r="J73" t="s">
        <v>67</v>
      </c>
      <c r="K73" t="s">
        <v>3</v>
      </c>
      <c r="L73" t="s">
        <v>4</v>
      </c>
      <c r="M73" t="s">
        <v>49</v>
      </c>
      <c r="N73" t="s">
        <v>432</v>
      </c>
      <c r="O73" s="31" t="s">
        <v>433</v>
      </c>
      <c r="P73">
        <v>220</v>
      </c>
      <c r="R73">
        <v>6</v>
      </c>
      <c r="S73" s="31">
        <v>450000</v>
      </c>
      <c r="T73" s="39">
        <v>480000</v>
      </c>
      <c r="U73">
        <v>0</v>
      </c>
      <c r="V73">
        <v>25000.02</v>
      </c>
      <c r="W73">
        <v>0</v>
      </c>
      <c r="X73" s="39">
        <v>81900</v>
      </c>
      <c r="Y73">
        <v>0</v>
      </c>
      <c r="Z73" s="31">
        <v>454999.98</v>
      </c>
      <c r="AA73">
        <v>8</v>
      </c>
      <c r="AB73" s="3">
        <f t="shared" si="5"/>
        <v>454999.98</v>
      </c>
      <c r="AC73" t="str">
        <f>IF(AB73-S73&lt;0,"YES","NO")</f>
        <v>NO</v>
      </c>
      <c r="AD73">
        <f>IF(AC73="NO",0,AB73-S73)</f>
        <v>0</v>
      </c>
      <c r="AE73" s="43">
        <v>0.08</v>
      </c>
      <c r="AF73" s="3">
        <f t="shared" si="6"/>
        <v>0</v>
      </c>
      <c r="AG73" s="45">
        <f t="shared" si="7"/>
        <v>0</v>
      </c>
      <c r="AH73" s="55"/>
    </row>
    <row r="74" spans="1:34" x14ac:dyDescent="0.25">
      <c r="A74" t="s">
        <v>434</v>
      </c>
      <c r="B74" t="s">
        <v>435</v>
      </c>
      <c r="C74" t="s">
        <v>436</v>
      </c>
      <c r="D74" t="s">
        <v>437</v>
      </c>
      <c r="E74" t="s">
        <v>438</v>
      </c>
      <c r="F74" t="s">
        <v>439</v>
      </c>
      <c r="G74" t="s">
        <v>5</v>
      </c>
      <c r="H74" t="s">
        <v>61</v>
      </c>
      <c r="I74" t="s">
        <v>84</v>
      </c>
      <c r="J74" t="s">
        <v>85</v>
      </c>
      <c r="K74" t="s">
        <v>3</v>
      </c>
      <c r="L74" t="s">
        <v>4</v>
      </c>
      <c r="M74" t="s">
        <v>49</v>
      </c>
      <c r="N74" t="s">
        <v>440</v>
      </c>
      <c r="O74" s="31" t="s">
        <v>441</v>
      </c>
      <c r="P74">
        <v>100</v>
      </c>
      <c r="Q74" t="s">
        <v>86</v>
      </c>
      <c r="R74">
        <v>1</v>
      </c>
      <c r="S74" s="31">
        <v>0</v>
      </c>
      <c r="T74" s="39">
        <v>0</v>
      </c>
      <c r="U74">
        <v>0</v>
      </c>
      <c r="V74">
        <v>0</v>
      </c>
      <c r="W74">
        <v>0</v>
      </c>
      <c r="X74" s="39">
        <v>0</v>
      </c>
      <c r="Y74">
        <v>0</v>
      </c>
      <c r="Z74" s="31">
        <v>0</v>
      </c>
      <c r="AA74">
        <v>8</v>
      </c>
      <c r="AB74" s="3">
        <f t="shared" si="5"/>
        <v>0</v>
      </c>
      <c r="AC74" t="str">
        <f>IF(AB74-S74&lt;0,"YES","NO")</f>
        <v>NO</v>
      </c>
      <c r="AD74">
        <f>IF(AC74="NO",0,AB74-S74)</f>
        <v>0</v>
      </c>
      <c r="AE74" s="43">
        <v>0.08</v>
      </c>
      <c r="AF74" s="3">
        <f t="shared" si="6"/>
        <v>0</v>
      </c>
      <c r="AG74" s="45">
        <f t="shared" si="7"/>
        <v>0</v>
      </c>
      <c r="AH74" s="55"/>
    </row>
    <row r="75" spans="1:34" x14ac:dyDescent="0.25">
      <c r="A75" t="s">
        <v>434</v>
      </c>
      <c r="B75" t="s">
        <v>435</v>
      </c>
      <c r="C75" t="s">
        <v>436</v>
      </c>
      <c r="D75" t="s">
        <v>437</v>
      </c>
      <c r="E75" t="s">
        <v>438</v>
      </c>
      <c r="F75" t="s">
        <v>439</v>
      </c>
      <c r="G75" t="s">
        <v>5</v>
      </c>
      <c r="H75" t="s">
        <v>65</v>
      </c>
      <c r="I75" t="s">
        <v>66</v>
      </c>
      <c r="J75" t="s">
        <v>67</v>
      </c>
      <c r="K75" t="s">
        <v>3</v>
      </c>
      <c r="L75" t="s">
        <v>4</v>
      </c>
      <c r="M75" t="s">
        <v>49</v>
      </c>
      <c r="N75" t="s">
        <v>440</v>
      </c>
      <c r="O75" s="31" t="s">
        <v>441</v>
      </c>
      <c r="P75">
        <v>220</v>
      </c>
      <c r="R75">
        <v>3</v>
      </c>
      <c r="S75" s="31">
        <v>225000</v>
      </c>
      <c r="T75" s="39">
        <v>240000</v>
      </c>
      <c r="U75">
        <v>35000.01</v>
      </c>
      <c r="V75">
        <v>24000</v>
      </c>
      <c r="W75">
        <v>0</v>
      </c>
      <c r="X75" s="39">
        <v>71199.990000000005</v>
      </c>
      <c r="Y75">
        <v>0</v>
      </c>
      <c r="Z75" s="31">
        <v>180999.99</v>
      </c>
      <c r="AA75">
        <v>8</v>
      </c>
      <c r="AB75" s="3">
        <f t="shared" si="5"/>
        <v>180999.99</v>
      </c>
      <c r="AC75" t="str">
        <f>IF(AB75-S75&lt;0,"YES","NO")</f>
        <v>YES</v>
      </c>
      <c r="AD75">
        <f>IF(AC75="NO",0,AB75-S75)</f>
        <v>-44000.010000000009</v>
      </c>
      <c r="AE75" s="43">
        <v>0.08</v>
      </c>
      <c r="AF75" s="3">
        <f t="shared" si="6"/>
        <v>-40740.750000000007</v>
      </c>
      <c r="AG75" s="45">
        <f t="shared" si="7"/>
        <v>-44814.825000000012</v>
      </c>
      <c r="AH75" s="55"/>
    </row>
    <row r="76" spans="1:34" x14ac:dyDescent="0.25">
      <c r="A76" t="s">
        <v>442</v>
      </c>
      <c r="B76" t="s">
        <v>443</v>
      </c>
      <c r="C76" t="s">
        <v>444</v>
      </c>
      <c r="D76" t="s">
        <v>445</v>
      </c>
      <c r="E76" t="s">
        <v>446</v>
      </c>
      <c r="F76" t="s">
        <v>447</v>
      </c>
      <c r="G76" t="s">
        <v>5</v>
      </c>
      <c r="H76" t="s">
        <v>61</v>
      </c>
      <c r="I76" t="s">
        <v>84</v>
      </c>
      <c r="J76" t="s">
        <v>85</v>
      </c>
      <c r="K76" t="s">
        <v>3</v>
      </c>
      <c r="L76" t="s">
        <v>4</v>
      </c>
      <c r="M76" t="s">
        <v>49</v>
      </c>
      <c r="N76" t="s">
        <v>448</v>
      </c>
      <c r="O76" s="31" t="s">
        <v>449</v>
      </c>
      <c r="P76">
        <v>100</v>
      </c>
      <c r="Q76" t="s">
        <v>86</v>
      </c>
      <c r="R76">
        <v>1</v>
      </c>
      <c r="S76" s="31">
        <v>0</v>
      </c>
      <c r="T76" s="39">
        <v>0</v>
      </c>
      <c r="U76">
        <v>0</v>
      </c>
      <c r="V76">
        <v>0</v>
      </c>
      <c r="W76">
        <v>0</v>
      </c>
      <c r="X76" s="39">
        <v>0</v>
      </c>
      <c r="Y76">
        <v>0</v>
      </c>
      <c r="Z76" s="31">
        <v>0</v>
      </c>
      <c r="AA76">
        <v>8</v>
      </c>
      <c r="AB76" s="3">
        <f t="shared" si="5"/>
        <v>0</v>
      </c>
      <c r="AC76" t="str">
        <f>IF(AB76-S76&lt;0,"YES","NO")</f>
        <v>NO</v>
      </c>
      <c r="AD76">
        <f>IF(AC76="NO",0,AB76-S76)</f>
        <v>0</v>
      </c>
      <c r="AE76" s="43">
        <v>0.08</v>
      </c>
      <c r="AF76" s="3">
        <f t="shared" si="6"/>
        <v>0</v>
      </c>
      <c r="AG76" s="45">
        <f t="shared" si="7"/>
        <v>0</v>
      </c>
      <c r="AH76" s="55"/>
    </row>
    <row r="77" spans="1:34" x14ac:dyDescent="0.25">
      <c r="A77" t="s">
        <v>442</v>
      </c>
      <c r="B77" t="s">
        <v>443</v>
      </c>
      <c r="C77" t="s">
        <v>444</v>
      </c>
      <c r="D77" t="s">
        <v>445</v>
      </c>
      <c r="E77" t="s">
        <v>446</v>
      </c>
      <c r="F77" t="s">
        <v>447</v>
      </c>
      <c r="G77" t="s">
        <v>5</v>
      </c>
      <c r="H77" t="s">
        <v>65</v>
      </c>
      <c r="I77" t="s">
        <v>66</v>
      </c>
      <c r="J77" t="s">
        <v>67</v>
      </c>
      <c r="K77" t="s">
        <v>3</v>
      </c>
      <c r="L77" t="s">
        <v>4</v>
      </c>
      <c r="M77" t="s">
        <v>49</v>
      </c>
      <c r="N77" t="s">
        <v>448</v>
      </c>
      <c r="O77" s="31" t="s">
        <v>449</v>
      </c>
      <c r="P77">
        <v>220</v>
      </c>
      <c r="R77">
        <v>2</v>
      </c>
      <c r="S77" s="31">
        <v>150000</v>
      </c>
      <c r="T77" s="39">
        <v>160000</v>
      </c>
      <c r="U77">
        <v>20000</v>
      </c>
      <c r="V77">
        <v>16000</v>
      </c>
      <c r="W77">
        <v>0</v>
      </c>
      <c r="X77" s="39">
        <v>44800</v>
      </c>
      <c r="Y77">
        <v>0</v>
      </c>
      <c r="Z77" s="31">
        <v>124000</v>
      </c>
      <c r="AA77">
        <v>8</v>
      </c>
      <c r="AB77" s="3">
        <f t="shared" si="5"/>
        <v>124000</v>
      </c>
      <c r="AC77" t="str">
        <f>IF(AB77-S77&lt;0,"YES","NO")</f>
        <v>YES</v>
      </c>
      <c r="AD77">
        <f>IF(AC77="NO",0,AB77-S77)</f>
        <v>-26000</v>
      </c>
      <c r="AE77" s="43">
        <v>0.08</v>
      </c>
      <c r="AF77" s="3">
        <f t="shared" si="6"/>
        <v>-24074.074074074073</v>
      </c>
      <c r="AG77" s="45">
        <f t="shared" si="7"/>
        <v>-26481.481481481482</v>
      </c>
      <c r="AH77" s="55"/>
    </row>
    <row r="78" spans="1:34" x14ac:dyDescent="0.25">
      <c r="A78" t="s">
        <v>450</v>
      </c>
      <c r="B78" t="s">
        <v>451</v>
      </c>
      <c r="C78" t="s">
        <v>452</v>
      </c>
      <c r="D78" t="s">
        <v>453</v>
      </c>
      <c r="E78" t="s">
        <v>454</v>
      </c>
      <c r="F78" t="s">
        <v>455</v>
      </c>
      <c r="G78" t="s">
        <v>5</v>
      </c>
      <c r="H78" t="s">
        <v>65</v>
      </c>
      <c r="I78" t="s">
        <v>68</v>
      </c>
      <c r="J78" t="s">
        <v>69</v>
      </c>
      <c r="K78" t="s">
        <v>3</v>
      </c>
      <c r="L78" t="s">
        <v>4</v>
      </c>
      <c r="M78" t="s">
        <v>49</v>
      </c>
      <c r="N78" t="s">
        <v>456</v>
      </c>
      <c r="O78" s="31" t="s">
        <v>457</v>
      </c>
      <c r="P78">
        <v>220</v>
      </c>
      <c r="Q78" t="s">
        <v>70</v>
      </c>
      <c r="R78">
        <v>1</v>
      </c>
      <c r="S78" s="31">
        <v>59000</v>
      </c>
      <c r="T78" s="39">
        <v>65000</v>
      </c>
      <c r="U78">
        <v>11666.67</v>
      </c>
      <c r="V78">
        <v>6500</v>
      </c>
      <c r="W78">
        <v>0</v>
      </c>
      <c r="X78" s="39">
        <v>21033.33</v>
      </c>
      <c r="Y78">
        <v>0</v>
      </c>
      <c r="Z78" s="31">
        <v>46833.33</v>
      </c>
      <c r="AA78">
        <v>8</v>
      </c>
      <c r="AB78" s="3">
        <f t="shared" si="5"/>
        <v>46833.33</v>
      </c>
      <c r="AC78" t="str">
        <f>IF(AB78-S78&lt;0,"YES","NO")</f>
        <v>YES</v>
      </c>
      <c r="AD78">
        <f>IF(AC78="NO",0,AB78-S78)</f>
        <v>-12166.669999999998</v>
      </c>
      <c r="AE78" s="43">
        <v>0.08</v>
      </c>
      <c r="AF78" s="3">
        <f t="shared" si="6"/>
        <v>-11265.435185185182</v>
      </c>
      <c r="AG78" s="45">
        <f t="shared" si="7"/>
        <v>-12391.978703703702</v>
      </c>
      <c r="AH78" s="55"/>
    </row>
    <row r="79" spans="1:34" x14ac:dyDescent="0.25">
      <c r="A79" t="s">
        <v>450</v>
      </c>
      <c r="B79" t="s">
        <v>451</v>
      </c>
      <c r="C79" t="s">
        <v>452</v>
      </c>
      <c r="D79" t="s">
        <v>453</v>
      </c>
      <c r="E79" t="s">
        <v>454</v>
      </c>
      <c r="F79" t="s">
        <v>455</v>
      </c>
      <c r="G79" t="s">
        <v>5</v>
      </c>
      <c r="H79" t="s">
        <v>65</v>
      </c>
      <c r="I79" t="s">
        <v>71</v>
      </c>
      <c r="J79" t="s">
        <v>72</v>
      </c>
      <c r="K79" t="s">
        <v>3</v>
      </c>
      <c r="L79" t="s">
        <v>4</v>
      </c>
      <c r="M79" t="s">
        <v>49</v>
      </c>
      <c r="N79" t="s">
        <v>456</v>
      </c>
      <c r="O79" s="31" t="s">
        <v>457</v>
      </c>
      <c r="P79">
        <v>220</v>
      </c>
      <c r="Q79" t="s">
        <v>70</v>
      </c>
      <c r="R79">
        <v>1</v>
      </c>
      <c r="S79" s="31">
        <v>59000</v>
      </c>
      <c r="T79" s="39">
        <v>65000</v>
      </c>
      <c r="U79">
        <v>11666.67</v>
      </c>
      <c r="V79">
        <v>6500</v>
      </c>
      <c r="W79">
        <v>0</v>
      </c>
      <c r="X79" s="39">
        <v>21033.33</v>
      </c>
      <c r="Y79">
        <v>0</v>
      </c>
      <c r="Z79" s="31">
        <v>46833.33</v>
      </c>
      <c r="AA79">
        <v>8</v>
      </c>
      <c r="AB79" s="3">
        <f t="shared" si="5"/>
        <v>46833.33</v>
      </c>
      <c r="AC79" t="str">
        <f>IF(AB79-S79&lt;0,"YES","NO")</f>
        <v>YES</v>
      </c>
      <c r="AD79">
        <f>IF(AC79="NO",0,AB79-S79)</f>
        <v>-12166.669999999998</v>
      </c>
      <c r="AE79" s="43">
        <v>0.08</v>
      </c>
      <c r="AF79" s="3">
        <f t="shared" si="6"/>
        <v>-11265.435185185182</v>
      </c>
      <c r="AG79" s="45">
        <f t="shared" si="7"/>
        <v>-12391.978703703702</v>
      </c>
      <c r="AH79" s="55"/>
    </row>
    <row r="80" spans="1:34" x14ac:dyDescent="0.25">
      <c r="A80" t="s">
        <v>450</v>
      </c>
      <c r="B80" t="s">
        <v>451</v>
      </c>
      <c r="C80" t="s">
        <v>452</v>
      </c>
      <c r="D80" t="s">
        <v>453</v>
      </c>
      <c r="E80" t="s">
        <v>454</v>
      </c>
      <c r="F80" t="s">
        <v>455</v>
      </c>
      <c r="G80" t="s">
        <v>5</v>
      </c>
      <c r="H80" t="s">
        <v>65</v>
      </c>
      <c r="I80" t="s">
        <v>73</v>
      </c>
      <c r="J80" t="s">
        <v>74</v>
      </c>
      <c r="K80" t="s">
        <v>3</v>
      </c>
      <c r="L80" t="s">
        <v>4</v>
      </c>
      <c r="M80" t="s">
        <v>49</v>
      </c>
      <c r="N80" t="s">
        <v>456</v>
      </c>
      <c r="O80" s="31" t="s">
        <v>457</v>
      </c>
      <c r="P80">
        <v>220</v>
      </c>
      <c r="Q80" t="s">
        <v>70</v>
      </c>
      <c r="R80">
        <v>1</v>
      </c>
      <c r="S80" s="31">
        <v>59000</v>
      </c>
      <c r="T80" s="39">
        <v>65000</v>
      </c>
      <c r="U80">
        <v>11666.67</v>
      </c>
      <c r="V80">
        <v>6500</v>
      </c>
      <c r="W80">
        <v>0</v>
      </c>
      <c r="X80" s="39">
        <v>21033.33</v>
      </c>
      <c r="Y80">
        <v>0</v>
      </c>
      <c r="Z80" s="31">
        <v>46833.33</v>
      </c>
      <c r="AA80">
        <v>8</v>
      </c>
      <c r="AB80" s="3">
        <f t="shared" si="5"/>
        <v>46833.33</v>
      </c>
      <c r="AC80" t="str">
        <f>IF(AB80-S80&lt;0,"YES","NO")</f>
        <v>YES</v>
      </c>
      <c r="AD80">
        <f>IF(AC80="NO",0,AB80-S80)</f>
        <v>-12166.669999999998</v>
      </c>
      <c r="AE80" s="43">
        <v>0.08</v>
      </c>
      <c r="AF80" s="3">
        <f t="shared" si="6"/>
        <v>-11265.435185185182</v>
      </c>
      <c r="AG80" s="45">
        <f t="shared" si="7"/>
        <v>-12391.978703703702</v>
      </c>
      <c r="AH80" s="55"/>
    </row>
    <row r="81" spans="1:34" x14ac:dyDescent="0.25">
      <c r="A81" t="s">
        <v>458</v>
      </c>
      <c r="B81" t="s">
        <v>459</v>
      </c>
      <c r="C81" t="s">
        <v>460</v>
      </c>
      <c r="D81" t="s">
        <v>461</v>
      </c>
      <c r="E81" t="s">
        <v>462</v>
      </c>
      <c r="F81" t="s">
        <v>463</v>
      </c>
      <c r="G81" t="s">
        <v>5</v>
      </c>
      <c r="H81" t="s">
        <v>65</v>
      </c>
      <c r="I81" t="s">
        <v>68</v>
      </c>
      <c r="J81" t="s">
        <v>69</v>
      </c>
      <c r="K81" t="s">
        <v>3</v>
      </c>
      <c r="L81" t="s">
        <v>4</v>
      </c>
      <c r="M81" t="s">
        <v>49</v>
      </c>
      <c r="N81" t="s">
        <v>464</v>
      </c>
      <c r="O81" s="31" t="s">
        <v>465</v>
      </c>
      <c r="P81">
        <v>220</v>
      </c>
      <c r="Q81" t="s">
        <v>70</v>
      </c>
      <c r="R81">
        <v>2</v>
      </c>
      <c r="S81" s="31">
        <v>118000</v>
      </c>
      <c r="T81" s="39">
        <v>130000</v>
      </c>
      <c r="U81">
        <v>0</v>
      </c>
      <c r="V81">
        <v>13000</v>
      </c>
      <c r="W81">
        <v>0</v>
      </c>
      <c r="X81" s="39">
        <v>23400</v>
      </c>
      <c r="Y81">
        <v>0</v>
      </c>
      <c r="Z81" s="31">
        <v>117000</v>
      </c>
      <c r="AA81">
        <v>8</v>
      </c>
      <c r="AB81" s="3">
        <f t="shared" si="5"/>
        <v>117000</v>
      </c>
      <c r="AC81" t="str">
        <f>IF(AB81-S81&lt;0,"YES","NO")</f>
        <v>YES</v>
      </c>
      <c r="AD81">
        <f>IF(AC81="NO",0,AB81-S81)</f>
        <v>-1000</v>
      </c>
      <c r="AE81" s="43">
        <v>0.08</v>
      </c>
      <c r="AF81" s="3">
        <f t="shared" si="6"/>
        <v>-925.92592592592587</v>
      </c>
      <c r="AG81" s="45">
        <f t="shared" si="7"/>
        <v>-1018.5185185185186</v>
      </c>
      <c r="AH81" s="55"/>
    </row>
    <row r="82" spans="1:34" x14ac:dyDescent="0.25">
      <c r="A82" t="s">
        <v>458</v>
      </c>
      <c r="B82" t="s">
        <v>459</v>
      </c>
      <c r="C82" t="s">
        <v>460</v>
      </c>
      <c r="D82" t="s">
        <v>461</v>
      </c>
      <c r="E82" t="s">
        <v>462</v>
      </c>
      <c r="F82" t="s">
        <v>463</v>
      </c>
      <c r="G82" t="s">
        <v>5</v>
      </c>
      <c r="H82" t="s">
        <v>65</v>
      </c>
      <c r="I82" t="s">
        <v>71</v>
      </c>
      <c r="J82" t="s">
        <v>72</v>
      </c>
      <c r="K82" t="s">
        <v>3</v>
      </c>
      <c r="L82" t="s">
        <v>4</v>
      </c>
      <c r="M82" t="s">
        <v>49</v>
      </c>
      <c r="N82" t="s">
        <v>464</v>
      </c>
      <c r="O82" s="31" t="s">
        <v>465</v>
      </c>
      <c r="P82">
        <v>220</v>
      </c>
      <c r="Q82" t="s">
        <v>70</v>
      </c>
      <c r="R82">
        <v>3</v>
      </c>
      <c r="S82" s="31">
        <v>177000</v>
      </c>
      <c r="T82" s="39">
        <v>195000</v>
      </c>
      <c r="U82">
        <v>35000.01</v>
      </c>
      <c r="V82">
        <v>19500</v>
      </c>
      <c r="W82">
        <v>0</v>
      </c>
      <c r="X82" s="39">
        <v>63099.99</v>
      </c>
      <c r="Y82">
        <v>0</v>
      </c>
      <c r="Z82" s="31">
        <v>140499.99</v>
      </c>
      <c r="AA82">
        <v>8</v>
      </c>
      <c r="AB82" s="3">
        <f t="shared" si="5"/>
        <v>140499.99</v>
      </c>
      <c r="AC82" t="str">
        <f>IF(AB82-S82&lt;0,"YES","NO")</f>
        <v>YES</v>
      </c>
      <c r="AD82">
        <f>IF(AC82="NO",0,AB82-S82)</f>
        <v>-36500.010000000009</v>
      </c>
      <c r="AE82" s="43">
        <v>0.08</v>
      </c>
      <c r="AF82" s="3">
        <f t="shared" si="6"/>
        <v>-33796.305555555562</v>
      </c>
      <c r="AG82" s="45">
        <f t="shared" si="7"/>
        <v>-37175.936111111121</v>
      </c>
      <c r="AH82" s="55"/>
    </row>
    <row r="83" spans="1:34" x14ac:dyDescent="0.25">
      <c r="A83" t="s">
        <v>466</v>
      </c>
      <c r="B83" t="s">
        <v>467</v>
      </c>
      <c r="C83" t="s">
        <v>468</v>
      </c>
      <c r="D83" t="s">
        <v>469</v>
      </c>
      <c r="E83" t="s">
        <v>470</v>
      </c>
      <c r="F83" t="s">
        <v>471</v>
      </c>
      <c r="G83" t="s">
        <v>5</v>
      </c>
      <c r="H83" t="s">
        <v>65</v>
      </c>
      <c r="I83" t="s">
        <v>71</v>
      </c>
      <c r="J83" t="s">
        <v>72</v>
      </c>
      <c r="K83" t="s">
        <v>3</v>
      </c>
      <c r="L83" t="s">
        <v>4</v>
      </c>
      <c r="M83" t="s">
        <v>49</v>
      </c>
      <c r="N83" t="s">
        <v>472</v>
      </c>
      <c r="O83" s="31" t="s">
        <v>473</v>
      </c>
      <c r="P83">
        <v>220</v>
      </c>
      <c r="Q83" t="s">
        <v>70</v>
      </c>
      <c r="R83">
        <v>3</v>
      </c>
      <c r="S83" s="31">
        <v>177000</v>
      </c>
      <c r="T83" s="39">
        <v>195000</v>
      </c>
      <c r="U83">
        <v>15689.01</v>
      </c>
      <c r="V83">
        <v>19500</v>
      </c>
      <c r="W83">
        <v>0</v>
      </c>
      <c r="X83" s="39">
        <v>47651.01</v>
      </c>
      <c r="Y83">
        <v>0</v>
      </c>
      <c r="Z83" s="31">
        <v>159810.99</v>
      </c>
      <c r="AA83">
        <v>8</v>
      </c>
      <c r="AB83" s="3">
        <f t="shared" si="5"/>
        <v>159810.99</v>
      </c>
      <c r="AC83" t="str">
        <f>IF(AB83-S83&lt;0,"YES","NO")</f>
        <v>YES</v>
      </c>
      <c r="AD83">
        <f>IF(AC83="NO",0,AB83-S83)</f>
        <v>-17189.010000000009</v>
      </c>
      <c r="AE83" s="43">
        <v>0.08</v>
      </c>
      <c r="AF83" s="3">
        <f t="shared" si="6"/>
        <v>-15915.750000000007</v>
      </c>
      <c r="AG83" s="45">
        <f t="shared" si="7"/>
        <v>-17507.325000000008</v>
      </c>
      <c r="AH83" s="55"/>
    </row>
    <row r="84" spans="1:34" x14ac:dyDescent="0.25">
      <c r="A84" t="s">
        <v>466</v>
      </c>
      <c r="B84" t="s">
        <v>467</v>
      </c>
      <c r="C84" t="s">
        <v>468</v>
      </c>
      <c r="D84" t="s">
        <v>469</v>
      </c>
      <c r="E84" t="s">
        <v>470</v>
      </c>
      <c r="F84" t="s">
        <v>471</v>
      </c>
      <c r="G84" t="s">
        <v>5</v>
      </c>
      <c r="H84" t="s">
        <v>65</v>
      </c>
      <c r="I84" t="s">
        <v>82</v>
      </c>
      <c r="J84" t="s">
        <v>83</v>
      </c>
      <c r="K84" t="s">
        <v>3</v>
      </c>
      <c r="L84" t="s">
        <v>4</v>
      </c>
      <c r="M84" t="s">
        <v>49</v>
      </c>
      <c r="N84" t="s">
        <v>472</v>
      </c>
      <c r="O84" s="31" t="s">
        <v>473</v>
      </c>
      <c r="P84">
        <v>220</v>
      </c>
      <c r="R84">
        <v>3</v>
      </c>
      <c r="S84" s="31">
        <v>225000</v>
      </c>
      <c r="T84" s="39">
        <v>240000</v>
      </c>
      <c r="U84">
        <v>19311</v>
      </c>
      <c r="V84">
        <v>24000</v>
      </c>
      <c r="W84">
        <v>0</v>
      </c>
      <c r="X84" s="39">
        <v>58649.01</v>
      </c>
      <c r="Y84">
        <v>0</v>
      </c>
      <c r="Z84" s="31">
        <v>196689</v>
      </c>
      <c r="AA84">
        <v>8</v>
      </c>
      <c r="AB84" s="3">
        <f t="shared" si="5"/>
        <v>196689</v>
      </c>
      <c r="AC84" t="str">
        <f>IF(AB84-S84&lt;0,"YES","NO")</f>
        <v>YES</v>
      </c>
      <c r="AD84">
        <f>IF(AC84="NO",0,AB84-S84)</f>
        <v>-28311</v>
      </c>
      <c r="AE84" s="43">
        <v>0.08</v>
      </c>
      <c r="AF84" s="3">
        <f t="shared" si="6"/>
        <v>-26213.888888888887</v>
      </c>
      <c r="AG84" s="45">
        <f t="shared" si="7"/>
        <v>-28835.277777777777</v>
      </c>
      <c r="AH84" s="55"/>
    </row>
    <row r="85" spans="1:34" x14ac:dyDescent="0.25">
      <c r="A85" t="s">
        <v>474</v>
      </c>
      <c r="B85" t="s">
        <v>475</v>
      </c>
      <c r="C85" t="s">
        <v>476</v>
      </c>
      <c r="D85" t="s">
        <v>477</v>
      </c>
      <c r="E85" t="s">
        <v>478</v>
      </c>
      <c r="F85" t="s">
        <v>479</v>
      </c>
      <c r="G85" t="s">
        <v>5</v>
      </c>
      <c r="H85" t="s">
        <v>65</v>
      </c>
      <c r="I85" t="s">
        <v>66</v>
      </c>
      <c r="J85" t="s">
        <v>67</v>
      </c>
      <c r="K85" t="s">
        <v>3</v>
      </c>
      <c r="L85" t="s">
        <v>4</v>
      </c>
      <c r="M85" t="s">
        <v>49</v>
      </c>
      <c r="N85" t="s">
        <v>480</v>
      </c>
      <c r="O85" s="31" t="s">
        <v>481</v>
      </c>
      <c r="P85">
        <v>220</v>
      </c>
      <c r="R85">
        <v>6</v>
      </c>
      <c r="S85" s="31">
        <v>450000</v>
      </c>
      <c r="T85" s="39">
        <v>480000</v>
      </c>
      <c r="U85">
        <v>75000</v>
      </c>
      <c r="V85">
        <v>48000</v>
      </c>
      <c r="W85">
        <v>0</v>
      </c>
      <c r="X85" s="39">
        <v>146400</v>
      </c>
      <c r="Y85">
        <v>0</v>
      </c>
      <c r="Z85" s="31">
        <v>357000</v>
      </c>
      <c r="AA85">
        <v>8</v>
      </c>
      <c r="AB85" s="3">
        <f t="shared" si="5"/>
        <v>357000</v>
      </c>
      <c r="AC85" t="str">
        <f>IF(AB85-S85&lt;0,"YES","NO")</f>
        <v>YES</v>
      </c>
      <c r="AD85">
        <f>IF(AC85="NO",0,AB85-S85)</f>
        <v>-93000</v>
      </c>
      <c r="AE85" s="43">
        <v>0.08</v>
      </c>
      <c r="AF85" s="3">
        <f t="shared" si="6"/>
        <v>-86111.111111111109</v>
      </c>
      <c r="AG85" s="45">
        <f t="shared" si="7"/>
        <v>-94722.222222222234</v>
      </c>
      <c r="AH85" s="55"/>
    </row>
    <row r="86" spans="1:34" x14ac:dyDescent="0.25">
      <c r="A86" t="s">
        <v>482</v>
      </c>
      <c r="B86" t="s">
        <v>483</v>
      </c>
      <c r="C86" t="s">
        <v>484</v>
      </c>
      <c r="D86" t="s">
        <v>485</v>
      </c>
      <c r="E86" t="s">
        <v>486</v>
      </c>
      <c r="F86" t="s">
        <v>487</v>
      </c>
      <c r="G86" t="s">
        <v>5</v>
      </c>
      <c r="H86" t="s">
        <v>65</v>
      </c>
      <c r="I86" t="s">
        <v>106</v>
      </c>
      <c r="J86" t="s">
        <v>107</v>
      </c>
      <c r="K86" t="s">
        <v>3</v>
      </c>
      <c r="L86" t="s">
        <v>4</v>
      </c>
      <c r="M86" t="s">
        <v>49</v>
      </c>
      <c r="N86" t="s">
        <v>488</v>
      </c>
      <c r="O86" s="31" t="s">
        <v>489</v>
      </c>
      <c r="P86">
        <v>20</v>
      </c>
      <c r="Q86" t="s">
        <v>108</v>
      </c>
      <c r="R86">
        <v>1</v>
      </c>
      <c r="S86" s="31">
        <v>0</v>
      </c>
      <c r="T86" s="39">
        <v>0</v>
      </c>
      <c r="U86">
        <v>0</v>
      </c>
      <c r="V86">
        <v>0</v>
      </c>
      <c r="W86">
        <v>0</v>
      </c>
      <c r="X86" s="39">
        <v>0</v>
      </c>
      <c r="Y86">
        <v>0</v>
      </c>
      <c r="Z86" s="31">
        <v>0</v>
      </c>
      <c r="AA86">
        <v>8</v>
      </c>
      <c r="AB86" s="3">
        <f t="shared" si="5"/>
        <v>0</v>
      </c>
      <c r="AC86" t="str">
        <f>IF(AB86-S86&lt;0,"YES","NO")</f>
        <v>NO</v>
      </c>
      <c r="AD86">
        <f>IF(AC86="NO",0,AB86-S86)</f>
        <v>0</v>
      </c>
      <c r="AE86" s="43">
        <v>0.08</v>
      </c>
      <c r="AF86" s="3">
        <f t="shared" si="6"/>
        <v>0</v>
      </c>
      <c r="AG86" s="45">
        <f t="shared" si="7"/>
        <v>0</v>
      </c>
      <c r="AH86" s="55"/>
    </row>
    <row r="87" spans="1:34" x14ac:dyDescent="0.25">
      <c r="A87" t="s">
        <v>482</v>
      </c>
      <c r="B87" t="s">
        <v>483</v>
      </c>
      <c r="C87" t="s">
        <v>484</v>
      </c>
      <c r="D87" t="s">
        <v>485</v>
      </c>
      <c r="E87" t="s">
        <v>486</v>
      </c>
      <c r="F87" t="s">
        <v>487</v>
      </c>
      <c r="G87" t="s">
        <v>5</v>
      </c>
      <c r="H87" t="s">
        <v>65</v>
      </c>
      <c r="I87" t="s">
        <v>66</v>
      </c>
      <c r="J87" t="s">
        <v>67</v>
      </c>
      <c r="K87" t="s">
        <v>3</v>
      </c>
      <c r="L87" t="s">
        <v>4</v>
      </c>
      <c r="M87" t="s">
        <v>49</v>
      </c>
      <c r="N87" t="s">
        <v>488</v>
      </c>
      <c r="O87" s="31" t="s">
        <v>489</v>
      </c>
      <c r="P87">
        <v>220</v>
      </c>
      <c r="R87">
        <v>6</v>
      </c>
      <c r="S87" s="31">
        <v>450000</v>
      </c>
      <c r="T87" s="39">
        <v>480000</v>
      </c>
      <c r="U87">
        <v>75000</v>
      </c>
      <c r="V87">
        <v>48000</v>
      </c>
      <c r="W87">
        <v>0</v>
      </c>
      <c r="X87" s="39">
        <v>146400</v>
      </c>
      <c r="Y87">
        <v>0</v>
      </c>
      <c r="Z87" s="31">
        <v>357000</v>
      </c>
      <c r="AA87">
        <v>8</v>
      </c>
      <c r="AB87" s="3">
        <f t="shared" si="5"/>
        <v>357000</v>
      </c>
      <c r="AC87" t="str">
        <f>IF(AB87-S87&lt;0,"YES","NO")</f>
        <v>YES</v>
      </c>
      <c r="AD87">
        <f>IF(AC87="NO",0,AB87-S87)</f>
        <v>-93000</v>
      </c>
      <c r="AE87" s="43">
        <v>0.08</v>
      </c>
      <c r="AF87" s="3">
        <f t="shared" si="6"/>
        <v>-86111.111111111109</v>
      </c>
      <c r="AG87" s="45">
        <f t="shared" si="7"/>
        <v>-94722.222222222234</v>
      </c>
      <c r="AH87" s="55"/>
    </row>
    <row r="88" spans="1:34" x14ac:dyDescent="0.25">
      <c r="A88" t="s">
        <v>490</v>
      </c>
      <c r="B88" t="s">
        <v>491</v>
      </c>
      <c r="C88" t="s">
        <v>492</v>
      </c>
      <c r="D88" t="s">
        <v>493</v>
      </c>
      <c r="E88" t="s">
        <v>494</v>
      </c>
      <c r="F88" t="s">
        <v>495</v>
      </c>
      <c r="G88" t="s">
        <v>5</v>
      </c>
      <c r="H88" t="s">
        <v>65</v>
      </c>
      <c r="I88" t="s">
        <v>66</v>
      </c>
      <c r="J88" t="s">
        <v>67</v>
      </c>
      <c r="K88" t="s">
        <v>3</v>
      </c>
      <c r="L88" t="s">
        <v>4</v>
      </c>
      <c r="M88" t="s">
        <v>49</v>
      </c>
      <c r="N88" t="s">
        <v>496</v>
      </c>
      <c r="O88" s="31" t="s">
        <v>497</v>
      </c>
      <c r="P88">
        <v>220</v>
      </c>
      <c r="R88">
        <v>6</v>
      </c>
      <c r="S88" s="31">
        <v>450000</v>
      </c>
      <c r="T88" s="39">
        <v>480000</v>
      </c>
      <c r="U88">
        <v>75000</v>
      </c>
      <c r="V88">
        <v>48000</v>
      </c>
      <c r="W88">
        <v>0</v>
      </c>
      <c r="X88" s="39">
        <v>164248.01999999999</v>
      </c>
      <c r="Y88">
        <v>0</v>
      </c>
      <c r="Z88" s="31">
        <v>357000</v>
      </c>
      <c r="AA88">
        <v>8</v>
      </c>
      <c r="AB88" s="3">
        <f t="shared" si="5"/>
        <v>357000</v>
      </c>
      <c r="AC88" t="str">
        <f>IF(AB88-S88&lt;0,"YES","NO")</f>
        <v>YES</v>
      </c>
      <c r="AD88">
        <f>IF(AC88="NO",0,AB88-S88)</f>
        <v>-93000</v>
      </c>
      <c r="AE88" s="43">
        <v>0.08</v>
      </c>
      <c r="AF88" s="3">
        <f t="shared" si="6"/>
        <v>-86111.111111111109</v>
      </c>
      <c r="AG88" s="45">
        <f t="shared" si="7"/>
        <v>-94722.222222222234</v>
      </c>
      <c r="AH88" s="55"/>
    </row>
    <row r="89" spans="1:34" x14ac:dyDescent="0.25">
      <c r="A89" t="s">
        <v>498</v>
      </c>
      <c r="B89" t="s">
        <v>499</v>
      </c>
      <c r="C89" t="s">
        <v>500</v>
      </c>
      <c r="D89" t="s">
        <v>501</v>
      </c>
      <c r="E89" t="s">
        <v>502</v>
      </c>
      <c r="F89" t="s">
        <v>503</v>
      </c>
      <c r="G89" t="s">
        <v>5</v>
      </c>
      <c r="H89" t="s">
        <v>65</v>
      </c>
      <c r="I89" t="s">
        <v>109</v>
      </c>
      <c r="J89" t="s">
        <v>110</v>
      </c>
      <c r="K89" t="s">
        <v>3</v>
      </c>
      <c r="L89" t="s">
        <v>4</v>
      </c>
      <c r="M89" t="s">
        <v>49</v>
      </c>
      <c r="N89" t="s">
        <v>504</v>
      </c>
      <c r="O89" s="31" t="s">
        <v>505</v>
      </c>
      <c r="P89">
        <v>380</v>
      </c>
      <c r="R89">
        <v>3</v>
      </c>
      <c r="S89" s="31">
        <v>198000</v>
      </c>
      <c r="T89" s="39">
        <v>210000</v>
      </c>
      <c r="U89">
        <v>35000.01</v>
      </c>
      <c r="V89">
        <v>21000</v>
      </c>
      <c r="W89">
        <v>0</v>
      </c>
      <c r="X89" s="39">
        <v>68880.990000000005</v>
      </c>
      <c r="Y89">
        <v>0</v>
      </c>
      <c r="Z89" s="31">
        <v>153999.99</v>
      </c>
      <c r="AA89">
        <v>8</v>
      </c>
      <c r="AB89" s="3">
        <f t="shared" si="5"/>
        <v>153999.99</v>
      </c>
      <c r="AC89" t="str">
        <f>IF(AB89-S89&lt;0,"YES","NO")</f>
        <v>YES</v>
      </c>
      <c r="AD89">
        <f>IF(AC89="NO",0,AB89-S89)</f>
        <v>-44000.010000000009</v>
      </c>
      <c r="AE89" s="43">
        <v>0.08</v>
      </c>
      <c r="AF89" s="3">
        <f t="shared" si="6"/>
        <v>-40740.750000000007</v>
      </c>
      <c r="AG89" s="45">
        <f t="shared" si="7"/>
        <v>-44814.825000000012</v>
      </c>
      <c r="AH89" s="55"/>
    </row>
    <row r="90" spans="1:34" x14ac:dyDescent="0.25">
      <c r="A90" t="s">
        <v>506</v>
      </c>
      <c r="B90" t="s">
        <v>507</v>
      </c>
      <c r="C90" t="s">
        <v>508</v>
      </c>
      <c r="D90" t="s">
        <v>509</v>
      </c>
      <c r="E90" t="s">
        <v>510</v>
      </c>
      <c r="F90" t="s">
        <v>511</v>
      </c>
      <c r="G90" t="s">
        <v>5</v>
      </c>
      <c r="H90" t="s">
        <v>61</v>
      </c>
      <c r="I90" t="s">
        <v>84</v>
      </c>
      <c r="J90" t="s">
        <v>85</v>
      </c>
      <c r="K90" t="s">
        <v>3</v>
      </c>
      <c r="L90" t="s">
        <v>4</v>
      </c>
      <c r="M90" t="s">
        <v>49</v>
      </c>
      <c r="N90" t="s">
        <v>512</v>
      </c>
      <c r="O90" s="31" t="s">
        <v>513</v>
      </c>
      <c r="P90">
        <v>100</v>
      </c>
      <c r="Q90" t="s">
        <v>86</v>
      </c>
      <c r="R90">
        <v>1</v>
      </c>
      <c r="S90" s="31">
        <v>0</v>
      </c>
      <c r="T90" s="39">
        <v>0</v>
      </c>
      <c r="U90">
        <v>0</v>
      </c>
      <c r="V90">
        <v>0</v>
      </c>
      <c r="W90">
        <v>0</v>
      </c>
      <c r="X90" s="39">
        <v>0</v>
      </c>
      <c r="Y90">
        <v>0</v>
      </c>
      <c r="Z90" s="31">
        <v>0</v>
      </c>
      <c r="AA90">
        <v>8</v>
      </c>
      <c r="AB90" s="3">
        <f t="shared" si="5"/>
        <v>0</v>
      </c>
      <c r="AC90" t="str">
        <f>IF(AB90-S90&lt;0,"YES","NO")</f>
        <v>NO</v>
      </c>
      <c r="AD90">
        <f>IF(AC90="NO",0,AB90-S90)</f>
        <v>0</v>
      </c>
      <c r="AE90" s="43">
        <v>0.08</v>
      </c>
      <c r="AF90" s="3">
        <f t="shared" si="6"/>
        <v>0</v>
      </c>
      <c r="AG90" s="45">
        <f t="shared" si="7"/>
        <v>0</v>
      </c>
      <c r="AH90" s="55"/>
    </row>
    <row r="91" spans="1:34" x14ac:dyDescent="0.25">
      <c r="A91" t="s">
        <v>506</v>
      </c>
      <c r="B91" t="s">
        <v>507</v>
      </c>
      <c r="C91" t="s">
        <v>508</v>
      </c>
      <c r="D91" t="s">
        <v>509</v>
      </c>
      <c r="E91" t="s">
        <v>510</v>
      </c>
      <c r="F91" t="s">
        <v>511</v>
      </c>
      <c r="G91" t="s">
        <v>5</v>
      </c>
      <c r="H91" t="s">
        <v>65</v>
      </c>
      <c r="I91" t="s">
        <v>78</v>
      </c>
      <c r="J91" t="s">
        <v>79</v>
      </c>
      <c r="K91" t="s">
        <v>3</v>
      </c>
      <c r="L91" t="s">
        <v>4</v>
      </c>
      <c r="M91" t="s">
        <v>49</v>
      </c>
      <c r="N91" t="s">
        <v>512</v>
      </c>
      <c r="O91" s="31" t="s">
        <v>513</v>
      </c>
      <c r="P91">
        <v>220</v>
      </c>
      <c r="R91">
        <v>6</v>
      </c>
      <c r="S91" s="31">
        <v>450000</v>
      </c>
      <c r="T91" s="39">
        <v>480000</v>
      </c>
      <c r="U91">
        <v>79999.98</v>
      </c>
      <c r="V91">
        <v>48000</v>
      </c>
      <c r="W91">
        <v>0</v>
      </c>
      <c r="X91" s="39">
        <v>168001.02</v>
      </c>
      <c r="Y91">
        <v>0</v>
      </c>
      <c r="Z91" s="31">
        <v>352000.02</v>
      </c>
      <c r="AA91">
        <v>8</v>
      </c>
      <c r="AB91" s="3">
        <f t="shared" si="5"/>
        <v>352000.02</v>
      </c>
      <c r="AC91" t="str">
        <f>IF(AB91-S91&lt;0,"YES","NO")</f>
        <v>YES</v>
      </c>
      <c r="AD91">
        <f>IF(AC91="NO",0,AB91-S91)</f>
        <v>-97999.979999999981</v>
      </c>
      <c r="AE91" s="43">
        <v>0.08</v>
      </c>
      <c r="AF91" s="3">
        <f t="shared" si="6"/>
        <v>-90740.722222222204</v>
      </c>
      <c r="AG91" s="45">
        <f t="shared" si="7"/>
        <v>-99814.794444444429</v>
      </c>
      <c r="AH91" s="55"/>
    </row>
    <row r="92" spans="1:34" x14ac:dyDescent="0.25">
      <c r="A92" t="s">
        <v>514</v>
      </c>
      <c r="B92" t="s">
        <v>515</v>
      </c>
      <c r="C92" t="s">
        <v>516</v>
      </c>
      <c r="D92" t="s">
        <v>517</v>
      </c>
      <c r="E92" t="s">
        <v>518</v>
      </c>
      <c r="F92" t="s">
        <v>519</v>
      </c>
      <c r="G92" t="s">
        <v>5</v>
      </c>
      <c r="H92" t="s">
        <v>61</v>
      </c>
      <c r="I92" t="s">
        <v>84</v>
      </c>
      <c r="J92" t="s">
        <v>85</v>
      </c>
      <c r="K92" t="s">
        <v>3</v>
      </c>
      <c r="L92" t="s">
        <v>4</v>
      </c>
      <c r="M92" t="s">
        <v>49</v>
      </c>
      <c r="N92" t="s">
        <v>520</v>
      </c>
      <c r="O92" s="31" t="s">
        <v>521</v>
      </c>
      <c r="P92">
        <v>100</v>
      </c>
      <c r="Q92" t="s">
        <v>86</v>
      </c>
      <c r="R92">
        <v>1</v>
      </c>
      <c r="S92" s="31">
        <v>0</v>
      </c>
      <c r="T92" s="39">
        <v>0</v>
      </c>
      <c r="U92">
        <v>0</v>
      </c>
      <c r="V92">
        <v>0</v>
      </c>
      <c r="W92">
        <v>0</v>
      </c>
      <c r="X92" s="39">
        <v>0</v>
      </c>
      <c r="Y92">
        <v>0</v>
      </c>
      <c r="Z92" s="31">
        <v>0</v>
      </c>
      <c r="AA92">
        <v>8</v>
      </c>
      <c r="AB92" s="3">
        <f t="shared" si="5"/>
        <v>0</v>
      </c>
      <c r="AC92" t="str">
        <f>IF(AB92-S92&lt;0,"YES","NO")</f>
        <v>NO</v>
      </c>
      <c r="AD92">
        <f>IF(AC92="NO",0,AB92-S92)</f>
        <v>0</v>
      </c>
      <c r="AE92" s="43">
        <v>0.08</v>
      </c>
      <c r="AF92" s="3">
        <f t="shared" si="6"/>
        <v>0</v>
      </c>
      <c r="AG92" s="45">
        <f t="shared" si="7"/>
        <v>0</v>
      </c>
      <c r="AH92" s="55"/>
    </row>
    <row r="93" spans="1:34" x14ac:dyDescent="0.25">
      <c r="A93" t="s">
        <v>514</v>
      </c>
      <c r="B93" t="s">
        <v>515</v>
      </c>
      <c r="C93" t="s">
        <v>516</v>
      </c>
      <c r="D93" t="s">
        <v>517</v>
      </c>
      <c r="E93" t="s">
        <v>518</v>
      </c>
      <c r="F93" t="s">
        <v>519</v>
      </c>
      <c r="G93" t="s">
        <v>5</v>
      </c>
      <c r="H93" t="s">
        <v>65</v>
      </c>
      <c r="I93" t="s">
        <v>66</v>
      </c>
      <c r="J93" t="s">
        <v>67</v>
      </c>
      <c r="K93" t="s">
        <v>3</v>
      </c>
      <c r="L93" t="s">
        <v>4</v>
      </c>
      <c r="M93" t="s">
        <v>49</v>
      </c>
      <c r="N93" t="s">
        <v>520</v>
      </c>
      <c r="O93" s="31" t="s">
        <v>521</v>
      </c>
      <c r="P93">
        <v>220</v>
      </c>
      <c r="R93">
        <v>2</v>
      </c>
      <c r="S93" s="31">
        <v>150000</v>
      </c>
      <c r="T93" s="39">
        <v>160000</v>
      </c>
      <c r="U93">
        <v>20000</v>
      </c>
      <c r="V93">
        <v>16000</v>
      </c>
      <c r="W93">
        <v>0</v>
      </c>
      <c r="X93" s="39">
        <v>38600</v>
      </c>
      <c r="Y93">
        <v>0</v>
      </c>
      <c r="Z93" s="31">
        <v>124000</v>
      </c>
      <c r="AA93">
        <v>8</v>
      </c>
      <c r="AB93" s="3">
        <f t="shared" si="5"/>
        <v>124000</v>
      </c>
      <c r="AC93" t="str">
        <f>IF(AB93-S93&lt;0,"YES","NO")</f>
        <v>YES</v>
      </c>
      <c r="AD93">
        <f>IF(AC93="NO",0,AB93-S93)</f>
        <v>-26000</v>
      </c>
      <c r="AE93" s="43">
        <v>0.08</v>
      </c>
      <c r="AF93" s="3">
        <f t="shared" si="6"/>
        <v>-24074.074074074073</v>
      </c>
      <c r="AG93" s="45">
        <f t="shared" si="7"/>
        <v>-26481.481481481482</v>
      </c>
      <c r="AH93" s="55"/>
    </row>
    <row r="94" spans="1:34" x14ac:dyDescent="0.25">
      <c r="A94" t="s">
        <v>522</v>
      </c>
      <c r="B94" t="s">
        <v>523</v>
      </c>
      <c r="C94" t="s">
        <v>524</v>
      </c>
      <c r="D94" t="s">
        <v>525</v>
      </c>
      <c r="E94" t="s">
        <v>526</v>
      </c>
      <c r="F94" t="s">
        <v>527</v>
      </c>
      <c r="G94" t="s">
        <v>5</v>
      </c>
      <c r="H94" t="s">
        <v>61</v>
      </c>
      <c r="I94" t="s">
        <v>84</v>
      </c>
      <c r="J94" t="s">
        <v>85</v>
      </c>
      <c r="K94" t="s">
        <v>3</v>
      </c>
      <c r="L94" t="s">
        <v>4</v>
      </c>
      <c r="M94" t="s">
        <v>49</v>
      </c>
      <c r="N94" t="s">
        <v>528</v>
      </c>
      <c r="O94" s="31" t="s">
        <v>529</v>
      </c>
      <c r="P94">
        <v>100</v>
      </c>
      <c r="Q94" t="s">
        <v>86</v>
      </c>
      <c r="R94">
        <v>1</v>
      </c>
      <c r="S94" s="31">
        <v>0</v>
      </c>
      <c r="T94" s="39">
        <v>0</v>
      </c>
      <c r="U94">
        <v>0</v>
      </c>
      <c r="V94">
        <v>0</v>
      </c>
      <c r="W94">
        <v>0</v>
      </c>
      <c r="X94" s="39">
        <v>0</v>
      </c>
      <c r="Y94">
        <v>0</v>
      </c>
      <c r="Z94" s="31">
        <v>0</v>
      </c>
      <c r="AA94">
        <v>8</v>
      </c>
      <c r="AB94" s="3">
        <f t="shared" si="5"/>
        <v>0</v>
      </c>
      <c r="AC94" t="str">
        <f>IF(AB94-S94&lt;0,"YES","NO")</f>
        <v>NO</v>
      </c>
      <c r="AD94">
        <f>IF(AC94="NO",0,AB94-S94)</f>
        <v>0</v>
      </c>
      <c r="AE94" s="43">
        <v>0.08</v>
      </c>
      <c r="AF94" s="3">
        <f t="shared" si="6"/>
        <v>0</v>
      </c>
      <c r="AG94" s="45">
        <f t="shared" si="7"/>
        <v>0</v>
      </c>
      <c r="AH94" s="55"/>
    </row>
    <row r="95" spans="1:34" x14ac:dyDescent="0.25">
      <c r="A95" t="s">
        <v>522</v>
      </c>
      <c r="B95" t="s">
        <v>523</v>
      </c>
      <c r="C95" t="s">
        <v>524</v>
      </c>
      <c r="D95" t="s">
        <v>525</v>
      </c>
      <c r="E95" t="s">
        <v>526</v>
      </c>
      <c r="F95" t="s">
        <v>527</v>
      </c>
      <c r="G95" t="s">
        <v>5</v>
      </c>
      <c r="H95" t="s">
        <v>65</v>
      </c>
      <c r="I95" t="s">
        <v>66</v>
      </c>
      <c r="J95" t="s">
        <v>67</v>
      </c>
      <c r="K95" t="s">
        <v>3</v>
      </c>
      <c r="L95" t="s">
        <v>4</v>
      </c>
      <c r="M95" t="s">
        <v>49</v>
      </c>
      <c r="N95" t="s">
        <v>528</v>
      </c>
      <c r="O95" s="31" t="s">
        <v>529</v>
      </c>
      <c r="P95">
        <v>220</v>
      </c>
      <c r="R95">
        <v>3</v>
      </c>
      <c r="S95" s="31">
        <v>225000</v>
      </c>
      <c r="T95" s="39">
        <v>240000</v>
      </c>
      <c r="U95">
        <v>35000.01</v>
      </c>
      <c r="V95">
        <v>24000</v>
      </c>
      <c r="W95">
        <v>0</v>
      </c>
      <c r="X95" s="39">
        <v>62150.01</v>
      </c>
      <c r="Y95">
        <v>0</v>
      </c>
      <c r="Z95" s="31">
        <v>180999.99</v>
      </c>
      <c r="AA95">
        <v>8</v>
      </c>
      <c r="AB95" s="3">
        <f t="shared" si="5"/>
        <v>180999.99</v>
      </c>
      <c r="AC95" t="str">
        <f>IF(AB95-S95&lt;0,"YES","NO")</f>
        <v>YES</v>
      </c>
      <c r="AD95">
        <f>IF(AC95="NO",0,AB95-S95)</f>
        <v>-44000.010000000009</v>
      </c>
      <c r="AE95" s="43">
        <v>0.08</v>
      </c>
      <c r="AF95" s="3">
        <f t="shared" si="6"/>
        <v>-40740.750000000007</v>
      </c>
      <c r="AG95" s="45">
        <f t="shared" si="7"/>
        <v>-44814.825000000012</v>
      </c>
      <c r="AH95" s="55"/>
    </row>
    <row r="96" spans="1:34" x14ac:dyDescent="0.25">
      <c r="A96" t="s">
        <v>530</v>
      </c>
      <c r="B96" t="s">
        <v>531</v>
      </c>
      <c r="C96" t="s">
        <v>532</v>
      </c>
      <c r="D96" t="s">
        <v>533</v>
      </c>
      <c r="E96" t="s">
        <v>534</v>
      </c>
      <c r="F96" t="s">
        <v>535</v>
      </c>
      <c r="G96" t="s">
        <v>5</v>
      </c>
      <c r="H96" t="s">
        <v>61</v>
      </c>
      <c r="I96" t="s">
        <v>62</v>
      </c>
      <c r="J96" t="s">
        <v>63</v>
      </c>
      <c r="K96" t="s">
        <v>3</v>
      </c>
      <c r="L96" t="s">
        <v>4</v>
      </c>
      <c r="M96" t="s">
        <v>49</v>
      </c>
      <c r="N96" t="s">
        <v>536</v>
      </c>
      <c r="O96" s="31" t="s">
        <v>537</v>
      </c>
      <c r="P96">
        <v>20000</v>
      </c>
      <c r="Q96" t="s">
        <v>64</v>
      </c>
      <c r="R96">
        <v>1</v>
      </c>
      <c r="S96" s="31">
        <v>0</v>
      </c>
      <c r="T96" s="39">
        <v>0</v>
      </c>
      <c r="U96">
        <v>0</v>
      </c>
      <c r="V96">
        <v>0</v>
      </c>
      <c r="W96">
        <v>0</v>
      </c>
      <c r="X96" s="39">
        <v>0</v>
      </c>
      <c r="Y96">
        <v>0</v>
      </c>
      <c r="Z96" s="31">
        <v>0</v>
      </c>
      <c r="AA96">
        <v>8</v>
      </c>
      <c r="AB96" s="3">
        <f t="shared" si="5"/>
        <v>0</v>
      </c>
      <c r="AC96" t="str">
        <f>IF(AB96-S96&lt;0,"YES","NO")</f>
        <v>NO</v>
      </c>
      <c r="AD96">
        <f>IF(AC96="NO",0,AB96-S96)</f>
        <v>0</v>
      </c>
      <c r="AE96" s="43">
        <v>0.08</v>
      </c>
      <c r="AF96" s="3">
        <f t="shared" si="6"/>
        <v>0</v>
      </c>
      <c r="AG96" s="45">
        <f t="shared" si="7"/>
        <v>0</v>
      </c>
      <c r="AH96" s="55"/>
    </row>
    <row r="97" spans="1:34" x14ac:dyDescent="0.25">
      <c r="A97" t="s">
        <v>530</v>
      </c>
      <c r="B97" t="s">
        <v>531</v>
      </c>
      <c r="C97" t="s">
        <v>532</v>
      </c>
      <c r="D97" t="s">
        <v>533</v>
      </c>
      <c r="E97" t="s">
        <v>534</v>
      </c>
      <c r="F97" t="s">
        <v>535</v>
      </c>
      <c r="G97" t="s">
        <v>5</v>
      </c>
      <c r="H97" t="s">
        <v>61</v>
      </c>
      <c r="I97" t="s">
        <v>84</v>
      </c>
      <c r="J97" t="s">
        <v>85</v>
      </c>
      <c r="K97" t="s">
        <v>3</v>
      </c>
      <c r="L97" t="s">
        <v>4</v>
      </c>
      <c r="M97" t="s">
        <v>49</v>
      </c>
      <c r="N97" t="s">
        <v>536</v>
      </c>
      <c r="O97" s="31" t="s">
        <v>537</v>
      </c>
      <c r="P97">
        <v>100</v>
      </c>
      <c r="Q97" t="s">
        <v>86</v>
      </c>
      <c r="R97">
        <v>1</v>
      </c>
      <c r="S97" s="31">
        <v>0</v>
      </c>
      <c r="T97" s="39">
        <v>0</v>
      </c>
      <c r="U97">
        <v>0</v>
      </c>
      <c r="V97">
        <v>0</v>
      </c>
      <c r="W97">
        <v>0</v>
      </c>
      <c r="X97" s="39">
        <v>0</v>
      </c>
      <c r="Y97">
        <v>0</v>
      </c>
      <c r="Z97" s="31">
        <v>0</v>
      </c>
      <c r="AA97">
        <v>8</v>
      </c>
      <c r="AB97" s="3">
        <f t="shared" si="5"/>
        <v>0</v>
      </c>
      <c r="AC97" t="str">
        <f>IF(AB97-S97&lt;0,"YES","NO")</f>
        <v>NO</v>
      </c>
      <c r="AD97">
        <f>IF(AC97="NO",0,AB97-S97)</f>
        <v>0</v>
      </c>
      <c r="AE97" s="43">
        <v>0.08</v>
      </c>
      <c r="AF97" s="3">
        <f t="shared" si="6"/>
        <v>0</v>
      </c>
      <c r="AG97" s="45">
        <f t="shared" si="7"/>
        <v>0</v>
      </c>
      <c r="AH97" s="55"/>
    </row>
    <row r="98" spans="1:34" x14ac:dyDescent="0.25">
      <c r="A98" t="s">
        <v>530</v>
      </c>
      <c r="B98" t="s">
        <v>531</v>
      </c>
      <c r="C98" t="s">
        <v>532</v>
      </c>
      <c r="D98" t="s">
        <v>533</v>
      </c>
      <c r="E98" t="s">
        <v>534</v>
      </c>
      <c r="F98" t="s">
        <v>535</v>
      </c>
      <c r="G98" t="s">
        <v>5</v>
      </c>
      <c r="H98" t="s">
        <v>65</v>
      </c>
      <c r="I98" t="s">
        <v>87</v>
      </c>
      <c r="J98" t="s">
        <v>88</v>
      </c>
      <c r="K98" t="s">
        <v>3</v>
      </c>
      <c r="L98" t="s">
        <v>4</v>
      </c>
      <c r="M98" t="s">
        <v>49</v>
      </c>
      <c r="N98" t="s">
        <v>536</v>
      </c>
      <c r="O98" s="31" t="s">
        <v>537</v>
      </c>
      <c r="P98">
        <v>220</v>
      </c>
      <c r="Q98" t="s">
        <v>89</v>
      </c>
      <c r="R98">
        <v>1</v>
      </c>
      <c r="S98" s="31">
        <v>59000</v>
      </c>
      <c r="T98" s="39">
        <v>70000</v>
      </c>
      <c r="U98">
        <v>12173</v>
      </c>
      <c r="V98">
        <v>7000</v>
      </c>
      <c r="W98">
        <v>0</v>
      </c>
      <c r="X98" s="39">
        <v>20305</v>
      </c>
      <c r="Y98">
        <v>0</v>
      </c>
      <c r="Z98" s="31">
        <v>50827</v>
      </c>
      <c r="AA98">
        <v>8</v>
      </c>
      <c r="AB98" s="3">
        <f t="shared" si="5"/>
        <v>50827</v>
      </c>
      <c r="AC98" t="str">
        <f>IF(AB98-S98&lt;0,"YES","NO")</f>
        <v>YES</v>
      </c>
      <c r="AD98">
        <f>IF(AC98="NO",0,AB98-S98)</f>
        <v>-8173</v>
      </c>
      <c r="AE98" s="43">
        <v>0.08</v>
      </c>
      <c r="AF98" s="3">
        <f t="shared" si="6"/>
        <v>-7567.5925925925922</v>
      </c>
      <c r="AG98" s="45">
        <f t="shared" si="7"/>
        <v>-8324.3518518518522</v>
      </c>
      <c r="AH98" s="55"/>
    </row>
    <row r="99" spans="1:34" x14ac:dyDescent="0.25">
      <c r="A99" t="s">
        <v>530</v>
      </c>
      <c r="B99" t="s">
        <v>531</v>
      </c>
      <c r="C99" t="s">
        <v>532</v>
      </c>
      <c r="D99" t="s">
        <v>533</v>
      </c>
      <c r="E99" t="s">
        <v>534</v>
      </c>
      <c r="F99" t="s">
        <v>535</v>
      </c>
      <c r="G99" t="s">
        <v>5</v>
      </c>
      <c r="H99" t="s">
        <v>65</v>
      </c>
      <c r="I99" t="s">
        <v>90</v>
      </c>
      <c r="J99" t="s">
        <v>91</v>
      </c>
      <c r="K99" t="s">
        <v>3</v>
      </c>
      <c r="L99" t="s">
        <v>4</v>
      </c>
      <c r="M99" t="s">
        <v>49</v>
      </c>
      <c r="N99" t="s">
        <v>536</v>
      </c>
      <c r="O99" s="31" t="s">
        <v>537</v>
      </c>
      <c r="P99">
        <v>220</v>
      </c>
      <c r="Q99" t="s">
        <v>92</v>
      </c>
      <c r="R99">
        <v>1</v>
      </c>
      <c r="S99" s="31">
        <v>59000</v>
      </c>
      <c r="T99" s="39">
        <v>70000</v>
      </c>
      <c r="U99">
        <v>12173</v>
      </c>
      <c r="V99">
        <v>7000</v>
      </c>
      <c r="W99">
        <v>0</v>
      </c>
      <c r="X99" s="39">
        <v>20305</v>
      </c>
      <c r="Y99">
        <v>0</v>
      </c>
      <c r="Z99" s="31">
        <v>50827</v>
      </c>
      <c r="AA99">
        <v>8</v>
      </c>
      <c r="AB99" s="3">
        <f t="shared" si="5"/>
        <v>50827</v>
      </c>
      <c r="AC99" t="str">
        <f>IF(AB99-S99&lt;0,"YES","NO")</f>
        <v>YES</v>
      </c>
      <c r="AD99">
        <f>IF(AC99="NO",0,AB99-S99)</f>
        <v>-8173</v>
      </c>
      <c r="AE99" s="43">
        <v>0.08</v>
      </c>
      <c r="AF99" s="3">
        <f t="shared" si="6"/>
        <v>-7567.5925925925922</v>
      </c>
      <c r="AG99" s="45">
        <f t="shared" si="7"/>
        <v>-8324.3518518518522</v>
      </c>
      <c r="AH99" s="55"/>
    </row>
    <row r="100" spans="1:34" x14ac:dyDescent="0.25">
      <c r="A100" t="s">
        <v>530</v>
      </c>
      <c r="B100" t="s">
        <v>531</v>
      </c>
      <c r="C100" t="s">
        <v>532</v>
      </c>
      <c r="D100" t="s">
        <v>533</v>
      </c>
      <c r="E100" t="s">
        <v>534</v>
      </c>
      <c r="F100" t="s">
        <v>535</v>
      </c>
      <c r="G100" t="s">
        <v>5</v>
      </c>
      <c r="H100" t="s">
        <v>65</v>
      </c>
      <c r="I100" t="s">
        <v>66</v>
      </c>
      <c r="J100" t="s">
        <v>67</v>
      </c>
      <c r="K100" t="s">
        <v>3</v>
      </c>
      <c r="L100" t="s">
        <v>4</v>
      </c>
      <c r="M100" t="s">
        <v>49</v>
      </c>
      <c r="N100" t="s">
        <v>536</v>
      </c>
      <c r="O100" s="31" t="s">
        <v>537</v>
      </c>
      <c r="P100">
        <v>220</v>
      </c>
      <c r="R100">
        <v>2</v>
      </c>
      <c r="S100" s="31">
        <v>150000</v>
      </c>
      <c r="T100" s="39">
        <v>160000</v>
      </c>
      <c r="U100">
        <v>27827</v>
      </c>
      <c r="V100">
        <v>16000</v>
      </c>
      <c r="W100">
        <v>0</v>
      </c>
      <c r="X100" s="39">
        <v>46415</v>
      </c>
      <c r="Y100">
        <v>0</v>
      </c>
      <c r="Z100" s="31">
        <v>116173</v>
      </c>
      <c r="AA100">
        <v>8</v>
      </c>
      <c r="AB100" s="3">
        <f t="shared" si="5"/>
        <v>116173</v>
      </c>
      <c r="AC100" t="str">
        <f>IF(AB100-S100&lt;0,"YES","NO")</f>
        <v>YES</v>
      </c>
      <c r="AD100">
        <f>IF(AC100="NO",0,AB100-S100)</f>
        <v>-33827</v>
      </c>
      <c r="AE100" s="43">
        <v>0.08</v>
      </c>
      <c r="AF100" s="3">
        <f t="shared" si="6"/>
        <v>-31321.296296296296</v>
      </c>
      <c r="AG100" s="45">
        <f t="shared" si="7"/>
        <v>-34453.425925925927</v>
      </c>
      <c r="AH100" s="55"/>
    </row>
    <row r="101" spans="1:34" x14ac:dyDescent="0.25">
      <c r="A101" t="s">
        <v>530</v>
      </c>
      <c r="B101" t="s">
        <v>531</v>
      </c>
      <c r="C101" t="s">
        <v>532</v>
      </c>
      <c r="D101" t="s">
        <v>533</v>
      </c>
      <c r="E101" t="s">
        <v>534</v>
      </c>
      <c r="F101" t="s">
        <v>535</v>
      </c>
      <c r="G101" t="s">
        <v>5</v>
      </c>
      <c r="H101" t="s">
        <v>65</v>
      </c>
      <c r="I101" t="s">
        <v>78</v>
      </c>
      <c r="J101" t="s">
        <v>79</v>
      </c>
      <c r="K101" t="s">
        <v>3</v>
      </c>
      <c r="L101" t="s">
        <v>4</v>
      </c>
      <c r="M101" t="s">
        <v>49</v>
      </c>
      <c r="N101" t="s">
        <v>536</v>
      </c>
      <c r="O101" s="31" t="s">
        <v>537</v>
      </c>
      <c r="P101">
        <v>220</v>
      </c>
      <c r="R101">
        <v>2</v>
      </c>
      <c r="S101" s="31">
        <v>150000</v>
      </c>
      <c r="T101" s="39">
        <v>160000</v>
      </c>
      <c r="U101">
        <v>27827</v>
      </c>
      <c r="V101">
        <v>16000</v>
      </c>
      <c r="W101">
        <v>0</v>
      </c>
      <c r="X101" s="39">
        <v>46415</v>
      </c>
      <c r="Y101">
        <v>0</v>
      </c>
      <c r="Z101" s="31">
        <v>116173</v>
      </c>
      <c r="AA101">
        <v>8</v>
      </c>
      <c r="AB101" s="3">
        <f t="shared" si="5"/>
        <v>116173</v>
      </c>
      <c r="AC101" t="str">
        <f>IF(AB101-S101&lt;0,"YES","NO")</f>
        <v>YES</v>
      </c>
      <c r="AD101">
        <f>IF(AC101="NO",0,AB101-S101)</f>
        <v>-33827</v>
      </c>
      <c r="AE101" s="43">
        <v>0.08</v>
      </c>
      <c r="AF101" s="3">
        <f t="shared" si="6"/>
        <v>-31321.296296296296</v>
      </c>
      <c r="AG101" s="45">
        <f t="shared" si="7"/>
        <v>-34453.425925925927</v>
      </c>
      <c r="AH101" s="55"/>
    </row>
    <row r="102" spans="1:34" x14ac:dyDescent="0.25">
      <c r="A102" t="s">
        <v>538</v>
      </c>
      <c r="B102" t="s">
        <v>539</v>
      </c>
      <c r="C102" t="s">
        <v>540</v>
      </c>
      <c r="D102" t="s">
        <v>541</v>
      </c>
      <c r="E102" t="s">
        <v>542</v>
      </c>
      <c r="F102" t="s">
        <v>543</v>
      </c>
      <c r="G102" t="s">
        <v>5</v>
      </c>
      <c r="H102" t="s">
        <v>61</v>
      </c>
      <c r="I102" t="s">
        <v>62</v>
      </c>
      <c r="J102" t="s">
        <v>63</v>
      </c>
      <c r="K102" t="s">
        <v>3</v>
      </c>
      <c r="L102" t="s">
        <v>4</v>
      </c>
      <c r="M102" t="s">
        <v>49</v>
      </c>
      <c r="N102" t="s">
        <v>544</v>
      </c>
      <c r="O102" s="31" t="s">
        <v>545</v>
      </c>
      <c r="P102">
        <v>20000</v>
      </c>
      <c r="Q102" t="s">
        <v>64</v>
      </c>
      <c r="R102">
        <v>1</v>
      </c>
      <c r="S102" s="31">
        <v>0</v>
      </c>
      <c r="T102" s="39">
        <v>0</v>
      </c>
      <c r="U102">
        <v>0</v>
      </c>
      <c r="V102">
        <v>0</v>
      </c>
      <c r="W102">
        <v>0</v>
      </c>
      <c r="X102" s="39">
        <v>0</v>
      </c>
      <c r="Y102">
        <v>0</v>
      </c>
      <c r="Z102" s="31">
        <v>0</v>
      </c>
      <c r="AA102">
        <v>8</v>
      </c>
      <c r="AB102" s="3">
        <f t="shared" si="5"/>
        <v>0</v>
      </c>
      <c r="AC102" t="str">
        <f>IF(AB102-S102&lt;0,"YES","NO")</f>
        <v>NO</v>
      </c>
      <c r="AD102">
        <f>IF(AC102="NO",0,AB102-S102)</f>
        <v>0</v>
      </c>
      <c r="AE102" s="43">
        <v>0.08</v>
      </c>
      <c r="AF102" s="3">
        <f t="shared" si="6"/>
        <v>0</v>
      </c>
      <c r="AG102" s="45">
        <f t="shared" si="7"/>
        <v>0</v>
      </c>
      <c r="AH102" s="55"/>
    </row>
    <row r="103" spans="1:34" x14ac:dyDescent="0.25">
      <c r="A103" t="s">
        <v>538</v>
      </c>
      <c r="B103" t="s">
        <v>539</v>
      </c>
      <c r="C103" t="s">
        <v>540</v>
      </c>
      <c r="D103" t="s">
        <v>541</v>
      </c>
      <c r="E103" t="s">
        <v>542</v>
      </c>
      <c r="F103" t="s">
        <v>543</v>
      </c>
      <c r="G103" t="s">
        <v>5</v>
      </c>
      <c r="H103" t="s">
        <v>61</v>
      </c>
      <c r="I103" t="s">
        <v>84</v>
      </c>
      <c r="J103" t="s">
        <v>85</v>
      </c>
      <c r="K103" t="s">
        <v>3</v>
      </c>
      <c r="L103" t="s">
        <v>4</v>
      </c>
      <c r="M103" t="s">
        <v>49</v>
      </c>
      <c r="N103" t="s">
        <v>544</v>
      </c>
      <c r="O103" s="31" t="s">
        <v>545</v>
      </c>
      <c r="P103">
        <v>100</v>
      </c>
      <c r="Q103" t="s">
        <v>86</v>
      </c>
      <c r="R103">
        <v>1</v>
      </c>
      <c r="S103" s="31">
        <v>0</v>
      </c>
      <c r="T103" s="39">
        <v>0</v>
      </c>
      <c r="U103">
        <v>0</v>
      </c>
      <c r="V103">
        <v>0</v>
      </c>
      <c r="W103">
        <v>0</v>
      </c>
      <c r="X103" s="39">
        <v>0</v>
      </c>
      <c r="Y103">
        <v>0</v>
      </c>
      <c r="Z103" s="31">
        <v>0</v>
      </c>
      <c r="AA103">
        <v>8</v>
      </c>
      <c r="AB103" s="3">
        <f t="shared" si="5"/>
        <v>0</v>
      </c>
      <c r="AC103" t="str">
        <f>IF(AB103-S103&lt;0,"YES","NO")</f>
        <v>NO</v>
      </c>
      <c r="AD103">
        <f>IF(AC103="NO",0,AB103-S103)</f>
        <v>0</v>
      </c>
      <c r="AE103" s="43">
        <v>0.08</v>
      </c>
      <c r="AF103" s="3">
        <f t="shared" si="6"/>
        <v>0</v>
      </c>
      <c r="AG103" s="45">
        <f t="shared" si="7"/>
        <v>0</v>
      </c>
      <c r="AH103" s="55"/>
    </row>
    <row r="104" spans="1:34" x14ac:dyDescent="0.25">
      <c r="A104" t="s">
        <v>538</v>
      </c>
      <c r="B104" t="s">
        <v>539</v>
      </c>
      <c r="C104" t="s">
        <v>540</v>
      </c>
      <c r="D104" t="s">
        <v>541</v>
      </c>
      <c r="E104" t="s">
        <v>542</v>
      </c>
      <c r="F104" t="s">
        <v>543</v>
      </c>
      <c r="G104" t="s">
        <v>5</v>
      </c>
      <c r="H104" t="s">
        <v>65</v>
      </c>
      <c r="I104" t="s">
        <v>73</v>
      </c>
      <c r="J104" t="s">
        <v>74</v>
      </c>
      <c r="K104" t="s">
        <v>3</v>
      </c>
      <c r="L104" t="s">
        <v>4</v>
      </c>
      <c r="M104" t="s">
        <v>49</v>
      </c>
      <c r="N104" t="s">
        <v>544</v>
      </c>
      <c r="O104" s="31" t="s">
        <v>545</v>
      </c>
      <c r="P104">
        <v>220</v>
      </c>
      <c r="Q104" t="s">
        <v>70</v>
      </c>
      <c r="R104">
        <v>6</v>
      </c>
      <c r="S104" s="31">
        <v>354000</v>
      </c>
      <c r="T104" s="39">
        <v>390000</v>
      </c>
      <c r="U104">
        <v>33619.980000000003</v>
      </c>
      <c r="V104">
        <v>39000</v>
      </c>
      <c r="W104">
        <v>0</v>
      </c>
      <c r="X104" s="39">
        <v>103443</v>
      </c>
      <c r="Y104">
        <v>0</v>
      </c>
      <c r="Z104" s="31">
        <v>317380.02</v>
      </c>
      <c r="AA104">
        <v>8</v>
      </c>
      <c r="AB104" s="3">
        <f t="shared" si="5"/>
        <v>317380.02</v>
      </c>
      <c r="AC104" t="str">
        <f>IF(AB104-S104&lt;0,"YES","NO")</f>
        <v>YES</v>
      </c>
      <c r="AD104">
        <f>IF(AC104="NO",0,AB104-S104)</f>
        <v>-36619.979999999981</v>
      </c>
      <c r="AE104" s="43">
        <v>0.08</v>
      </c>
      <c r="AF104" s="3">
        <f t="shared" si="6"/>
        <v>-33907.388888888869</v>
      </c>
      <c r="AG104" s="45">
        <f t="shared" si="7"/>
        <v>-37298.127777777758</v>
      </c>
      <c r="AH104" s="55"/>
    </row>
    <row r="105" spans="1:34" x14ac:dyDescent="0.25">
      <c r="A105" t="s">
        <v>538</v>
      </c>
      <c r="B105" t="s">
        <v>539</v>
      </c>
      <c r="C105" t="s">
        <v>540</v>
      </c>
      <c r="D105" t="s">
        <v>541</v>
      </c>
      <c r="E105" t="s">
        <v>542</v>
      </c>
      <c r="F105" t="s">
        <v>543</v>
      </c>
      <c r="G105" t="s">
        <v>5</v>
      </c>
      <c r="H105" t="s">
        <v>65</v>
      </c>
      <c r="I105" t="s">
        <v>66</v>
      </c>
      <c r="J105" t="s">
        <v>67</v>
      </c>
      <c r="K105" t="s">
        <v>3</v>
      </c>
      <c r="L105" t="s">
        <v>4</v>
      </c>
      <c r="M105" t="s">
        <v>49</v>
      </c>
      <c r="N105" t="s">
        <v>544</v>
      </c>
      <c r="O105" s="31" t="s">
        <v>545</v>
      </c>
      <c r="P105">
        <v>220</v>
      </c>
      <c r="R105">
        <v>6</v>
      </c>
      <c r="S105" s="31">
        <v>450000</v>
      </c>
      <c r="T105" s="39">
        <v>480000</v>
      </c>
      <c r="U105">
        <v>41380.019999999997</v>
      </c>
      <c r="V105">
        <v>48000</v>
      </c>
      <c r="W105">
        <v>0</v>
      </c>
      <c r="X105" s="39">
        <v>127317</v>
      </c>
      <c r="Y105">
        <v>0</v>
      </c>
      <c r="Z105" s="31">
        <v>390619.98</v>
      </c>
      <c r="AA105">
        <v>8</v>
      </c>
      <c r="AB105" s="3">
        <f t="shared" si="5"/>
        <v>390619.98</v>
      </c>
      <c r="AC105" t="str">
        <f>IF(AB105-S105&lt;0,"YES","NO")</f>
        <v>YES</v>
      </c>
      <c r="AD105">
        <f>IF(AC105="NO",0,AB105-S105)</f>
        <v>-59380.020000000019</v>
      </c>
      <c r="AE105" s="43">
        <v>0.08</v>
      </c>
      <c r="AF105" s="3">
        <f t="shared" si="6"/>
        <v>-54981.500000000015</v>
      </c>
      <c r="AG105" s="45">
        <f t="shared" si="7"/>
        <v>-60479.650000000023</v>
      </c>
      <c r="AH105" s="55"/>
    </row>
    <row r="106" spans="1:34" x14ac:dyDescent="0.25">
      <c r="A106" t="s">
        <v>546</v>
      </c>
      <c r="B106" t="s">
        <v>547</v>
      </c>
      <c r="C106" t="s">
        <v>548</v>
      </c>
      <c r="D106" t="s">
        <v>549</v>
      </c>
      <c r="E106" t="s">
        <v>550</v>
      </c>
      <c r="F106" t="s">
        <v>551</v>
      </c>
      <c r="G106" t="s">
        <v>5</v>
      </c>
      <c r="H106" t="s">
        <v>61</v>
      </c>
      <c r="I106" t="s">
        <v>84</v>
      </c>
      <c r="J106" t="s">
        <v>85</v>
      </c>
      <c r="K106" t="s">
        <v>3</v>
      </c>
      <c r="L106" t="s">
        <v>4</v>
      </c>
      <c r="M106" t="s">
        <v>49</v>
      </c>
      <c r="N106" t="s">
        <v>552</v>
      </c>
      <c r="O106" s="31" t="s">
        <v>553</v>
      </c>
      <c r="P106">
        <v>100</v>
      </c>
      <c r="Q106" t="s">
        <v>86</v>
      </c>
      <c r="R106">
        <v>1</v>
      </c>
      <c r="S106" s="31">
        <v>0</v>
      </c>
      <c r="T106" s="39">
        <v>0</v>
      </c>
      <c r="U106">
        <v>0</v>
      </c>
      <c r="V106">
        <v>0</v>
      </c>
      <c r="W106">
        <v>0</v>
      </c>
      <c r="X106" s="39">
        <v>0</v>
      </c>
      <c r="Y106">
        <v>0</v>
      </c>
      <c r="Z106" s="31">
        <v>0</v>
      </c>
      <c r="AA106">
        <v>8</v>
      </c>
      <c r="AB106" s="3">
        <f t="shared" si="5"/>
        <v>0</v>
      </c>
      <c r="AC106" t="str">
        <f>IF(AB106-S106&lt;0,"YES","NO")</f>
        <v>NO</v>
      </c>
      <c r="AD106">
        <f>IF(AC106="NO",0,AB106-S106)</f>
        <v>0</v>
      </c>
      <c r="AE106" s="43">
        <v>0.08</v>
      </c>
      <c r="AF106" s="3">
        <f t="shared" si="6"/>
        <v>0</v>
      </c>
      <c r="AG106" s="45">
        <f t="shared" si="7"/>
        <v>0</v>
      </c>
      <c r="AH106" s="55"/>
    </row>
    <row r="107" spans="1:34" x14ac:dyDescent="0.25">
      <c r="A107" t="s">
        <v>546</v>
      </c>
      <c r="B107" t="s">
        <v>547</v>
      </c>
      <c r="C107" t="s">
        <v>548</v>
      </c>
      <c r="D107" t="s">
        <v>549</v>
      </c>
      <c r="E107" t="s">
        <v>550</v>
      </c>
      <c r="F107" t="s">
        <v>551</v>
      </c>
      <c r="G107" t="s">
        <v>5</v>
      </c>
      <c r="H107" t="s">
        <v>65</v>
      </c>
      <c r="I107" t="s">
        <v>66</v>
      </c>
      <c r="J107" t="s">
        <v>67</v>
      </c>
      <c r="K107" t="s">
        <v>3</v>
      </c>
      <c r="L107" t="s">
        <v>4</v>
      </c>
      <c r="M107" t="s">
        <v>49</v>
      </c>
      <c r="N107" t="s">
        <v>552</v>
      </c>
      <c r="O107" s="31" t="s">
        <v>553</v>
      </c>
      <c r="P107">
        <v>220</v>
      </c>
      <c r="R107">
        <v>6</v>
      </c>
      <c r="S107" s="31">
        <v>450000</v>
      </c>
      <c r="T107" s="39">
        <v>480000</v>
      </c>
      <c r="U107">
        <v>0</v>
      </c>
      <c r="V107">
        <v>48000</v>
      </c>
      <c r="W107">
        <v>0</v>
      </c>
      <c r="X107" s="39">
        <v>145582.01999999999</v>
      </c>
      <c r="Y107">
        <v>0</v>
      </c>
      <c r="Z107" s="31">
        <v>432000</v>
      </c>
      <c r="AA107">
        <v>8</v>
      </c>
      <c r="AB107" s="3">
        <f t="shared" si="5"/>
        <v>432000</v>
      </c>
      <c r="AC107" t="str">
        <f>IF(AB107-S107&lt;0,"YES","NO")</f>
        <v>YES</v>
      </c>
      <c r="AD107">
        <f>IF(AC107="NO",0,AB107-S107)</f>
        <v>-18000</v>
      </c>
      <c r="AE107" s="43">
        <v>0.08</v>
      </c>
      <c r="AF107" s="3">
        <f t="shared" si="6"/>
        <v>-16666.666666666664</v>
      </c>
      <c r="AG107" s="45">
        <f t="shared" si="7"/>
        <v>-18333.333333333332</v>
      </c>
      <c r="AH107" s="55"/>
    </row>
    <row r="108" spans="1:34" x14ac:dyDescent="0.25">
      <c r="A108" t="s">
        <v>554</v>
      </c>
      <c r="B108" t="s">
        <v>555</v>
      </c>
      <c r="C108" t="s">
        <v>556</v>
      </c>
      <c r="D108" t="s">
        <v>557</v>
      </c>
      <c r="E108" t="s">
        <v>558</v>
      </c>
      <c r="F108" t="s">
        <v>559</v>
      </c>
      <c r="G108" t="s">
        <v>5</v>
      </c>
      <c r="H108" t="s">
        <v>61</v>
      </c>
      <c r="I108" t="s">
        <v>84</v>
      </c>
      <c r="J108" t="s">
        <v>85</v>
      </c>
      <c r="K108" t="s">
        <v>3</v>
      </c>
      <c r="L108" t="s">
        <v>4</v>
      </c>
      <c r="M108" t="s">
        <v>49</v>
      </c>
      <c r="N108" t="s">
        <v>560</v>
      </c>
      <c r="O108" s="31" t="s">
        <v>561</v>
      </c>
      <c r="P108">
        <v>100</v>
      </c>
      <c r="Q108" t="s">
        <v>86</v>
      </c>
      <c r="R108">
        <v>1</v>
      </c>
      <c r="S108" s="31">
        <v>0</v>
      </c>
      <c r="T108" s="39">
        <v>0</v>
      </c>
      <c r="U108">
        <v>0</v>
      </c>
      <c r="V108">
        <v>0</v>
      </c>
      <c r="W108">
        <v>0</v>
      </c>
      <c r="X108" s="39">
        <v>0</v>
      </c>
      <c r="Y108">
        <v>0</v>
      </c>
      <c r="Z108" s="31">
        <v>0</v>
      </c>
      <c r="AA108">
        <v>8</v>
      </c>
      <c r="AB108" s="3">
        <f t="shared" si="5"/>
        <v>0</v>
      </c>
      <c r="AC108" t="str">
        <f>IF(AB108-S108&lt;0,"YES","NO")</f>
        <v>NO</v>
      </c>
      <c r="AD108">
        <f>IF(AC108="NO",0,AB108-S108)</f>
        <v>0</v>
      </c>
      <c r="AE108" s="43">
        <v>0.08</v>
      </c>
      <c r="AF108" s="3">
        <f t="shared" si="6"/>
        <v>0</v>
      </c>
      <c r="AG108" s="45">
        <f t="shared" si="7"/>
        <v>0</v>
      </c>
      <c r="AH108" s="55"/>
    </row>
    <row r="109" spans="1:34" x14ac:dyDescent="0.25">
      <c r="A109" t="s">
        <v>554</v>
      </c>
      <c r="B109" t="s">
        <v>555</v>
      </c>
      <c r="C109" t="s">
        <v>556</v>
      </c>
      <c r="D109" t="s">
        <v>557</v>
      </c>
      <c r="E109" t="s">
        <v>558</v>
      </c>
      <c r="F109" t="s">
        <v>559</v>
      </c>
      <c r="G109" t="s">
        <v>5</v>
      </c>
      <c r="H109" t="s">
        <v>65</v>
      </c>
      <c r="I109" t="s">
        <v>66</v>
      </c>
      <c r="J109" t="s">
        <v>67</v>
      </c>
      <c r="K109" t="s">
        <v>3</v>
      </c>
      <c r="L109" t="s">
        <v>4</v>
      </c>
      <c r="M109" t="s">
        <v>49</v>
      </c>
      <c r="N109" t="s">
        <v>560</v>
      </c>
      <c r="O109" s="31" t="s">
        <v>561</v>
      </c>
      <c r="P109">
        <v>220</v>
      </c>
      <c r="R109">
        <v>6</v>
      </c>
      <c r="S109" s="31">
        <v>450000</v>
      </c>
      <c r="T109" s="39">
        <v>480000</v>
      </c>
      <c r="U109">
        <v>79999.98</v>
      </c>
      <c r="V109">
        <v>48000</v>
      </c>
      <c r="W109">
        <v>0</v>
      </c>
      <c r="X109" s="39">
        <v>139840.01999999999</v>
      </c>
      <c r="Y109">
        <v>0</v>
      </c>
      <c r="Z109" s="31">
        <v>352000.02</v>
      </c>
      <c r="AA109">
        <v>8</v>
      </c>
      <c r="AB109" s="3">
        <f t="shared" si="5"/>
        <v>352000.02</v>
      </c>
      <c r="AC109" t="str">
        <f>IF(AB109-S109&lt;0,"YES","NO")</f>
        <v>YES</v>
      </c>
      <c r="AD109">
        <f>IF(AC109="NO",0,AB109-S109)</f>
        <v>-97999.979999999981</v>
      </c>
      <c r="AE109" s="43">
        <v>0.08</v>
      </c>
      <c r="AF109" s="3">
        <f t="shared" si="6"/>
        <v>-90740.722222222204</v>
      </c>
      <c r="AG109" s="45">
        <f t="shared" si="7"/>
        <v>-99814.794444444429</v>
      </c>
      <c r="AH109" s="55"/>
    </row>
    <row r="110" spans="1:34" x14ac:dyDescent="0.25">
      <c r="A110" t="s">
        <v>562</v>
      </c>
      <c r="B110" t="s">
        <v>563</v>
      </c>
      <c r="C110" t="s">
        <v>564</v>
      </c>
      <c r="D110" t="s">
        <v>565</v>
      </c>
      <c r="E110" t="s">
        <v>566</v>
      </c>
      <c r="F110" t="s">
        <v>567</v>
      </c>
      <c r="G110" t="s">
        <v>5</v>
      </c>
      <c r="H110" t="s">
        <v>65</v>
      </c>
      <c r="I110" t="s">
        <v>66</v>
      </c>
      <c r="J110" t="s">
        <v>67</v>
      </c>
      <c r="K110" t="s">
        <v>3</v>
      </c>
      <c r="L110" t="s">
        <v>4</v>
      </c>
      <c r="M110" t="s">
        <v>49</v>
      </c>
      <c r="N110" t="s">
        <v>568</v>
      </c>
      <c r="O110" s="31" t="s">
        <v>569</v>
      </c>
      <c r="P110">
        <v>220</v>
      </c>
      <c r="R110">
        <v>2</v>
      </c>
      <c r="S110" s="31">
        <v>150000</v>
      </c>
      <c r="T110" s="39">
        <v>160000</v>
      </c>
      <c r="U110">
        <v>20000</v>
      </c>
      <c r="V110">
        <v>16000</v>
      </c>
      <c r="W110">
        <v>0</v>
      </c>
      <c r="X110" s="39">
        <v>47280</v>
      </c>
      <c r="Y110">
        <v>0</v>
      </c>
      <c r="Z110" s="31">
        <v>124000</v>
      </c>
      <c r="AA110">
        <v>8</v>
      </c>
      <c r="AB110" s="3">
        <f t="shared" si="5"/>
        <v>124000</v>
      </c>
      <c r="AC110" t="str">
        <f>IF(AB110-S110&lt;0,"YES","NO")</f>
        <v>YES</v>
      </c>
      <c r="AD110">
        <f>IF(AC110="NO",0,AB110-S110)</f>
        <v>-26000</v>
      </c>
      <c r="AE110" s="43">
        <v>0.08</v>
      </c>
      <c r="AF110" s="3">
        <f t="shared" si="6"/>
        <v>-24074.074074074073</v>
      </c>
      <c r="AG110" s="45">
        <f t="shared" si="7"/>
        <v>-26481.481481481482</v>
      </c>
      <c r="AH110" s="55"/>
    </row>
    <row r="111" spans="1:34" x14ac:dyDescent="0.25">
      <c r="A111" t="s">
        <v>570</v>
      </c>
      <c r="B111" t="s">
        <v>571</v>
      </c>
      <c r="C111" t="s">
        <v>572</v>
      </c>
      <c r="D111" t="s">
        <v>573</v>
      </c>
      <c r="E111" t="s">
        <v>574</v>
      </c>
      <c r="F111" t="s">
        <v>575</v>
      </c>
      <c r="G111" t="s">
        <v>5</v>
      </c>
      <c r="H111" t="s">
        <v>65</v>
      </c>
      <c r="I111" t="s">
        <v>68</v>
      </c>
      <c r="J111" t="s">
        <v>69</v>
      </c>
      <c r="K111" t="s">
        <v>3</v>
      </c>
      <c r="L111" t="s">
        <v>4</v>
      </c>
      <c r="M111" t="s">
        <v>49</v>
      </c>
      <c r="N111" t="s">
        <v>576</v>
      </c>
      <c r="O111" s="31" t="s">
        <v>577</v>
      </c>
      <c r="P111">
        <v>220</v>
      </c>
      <c r="Q111" t="s">
        <v>70</v>
      </c>
      <c r="R111">
        <v>3</v>
      </c>
      <c r="S111" s="31">
        <v>177000</v>
      </c>
      <c r="T111" s="39">
        <v>195000</v>
      </c>
      <c r="U111">
        <v>35000.01</v>
      </c>
      <c r="V111">
        <v>19500</v>
      </c>
      <c r="W111">
        <v>0</v>
      </c>
      <c r="X111" s="39">
        <v>45000</v>
      </c>
      <c r="Y111">
        <v>0</v>
      </c>
      <c r="Z111" s="31">
        <v>140499.99</v>
      </c>
      <c r="AA111">
        <v>8</v>
      </c>
      <c r="AB111" s="3">
        <f t="shared" si="5"/>
        <v>140499.99</v>
      </c>
      <c r="AC111" t="str">
        <f>IF(AB111-S111&lt;0,"YES","NO")</f>
        <v>YES</v>
      </c>
      <c r="AD111">
        <f>IF(AC111="NO",0,AB111-S111)</f>
        <v>-36500.010000000009</v>
      </c>
      <c r="AE111" s="43">
        <v>0.08</v>
      </c>
      <c r="AF111" s="3">
        <f t="shared" si="6"/>
        <v>-33796.305555555562</v>
      </c>
      <c r="AG111" s="45">
        <f t="shared" si="7"/>
        <v>-37175.936111111121</v>
      </c>
      <c r="AH111" s="55"/>
    </row>
    <row r="112" spans="1:34" x14ac:dyDescent="0.25">
      <c r="A112" t="s">
        <v>578</v>
      </c>
      <c r="B112" t="s">
        <v>579</v>
      </c>
      <c r="C112" t="s">
        <v>580</v>
      </c>
      <c r="D112" t="s">
        <v>581</v>
      </c>
      <c r="E112" t="s">
        <v>582</v>
      </c>
      <c r="F112" t="s">
        <v>583</v>
      </c>
      <c r="G112" t="s">
        <v>5</v>
      </c>
      <c r="H112" t="s">
        <v>65</v>
      </c>
      <c r="I112" t="s">
        <v>78</v>
      </c>
      <c r="J112" t="s">
        <v>79</v>
      </c>
      <c r="K112" t="s">
        <v>3</v>
      </c>
      <c r="L112" t="s">
        <v>4</v>
      </c>
      <c r="M112" t="s">
        <v>49</v>
      </c>
      <c r="N112" t="s">
        <v>584</v>
      </c>
      <c r="O112" s="31" t="s">
        <v>585</v>
      </c>
      <c r="P112">
        <v>220</v>
      </c>
      <c r="R112">
        <v>2</v>
      </c>
      <c r="S112" s="31">
        <v>150000</v>
      </c>
      <c r="T112" s="39">
        <v>160000</v>
      </c>
      <c r="U112">
        <v>20000</v>
      </c>
      <c r="V112">
        <v>16000</v>
      </c>
      <c r="W112">
        <v>0</v>
      </c>
      <c r="X112" s="39">
        <v>44800</v>
      </c>
      <c r="Y112">
        <v>0</v>
      </c>
      <c r="Z112" s="31">
        <v>124000</v>
      </c>
      <c r="AA112">
        <v>8</v>
      </c>
      <c r="AB112" s="3">
        <f t="shared" si="5"/>
        <v>124000</v>
      </c>
      <c r="AC112" t="str">
        <f>IF(AB112-S112&lt;0,"YES","NO")</f>
        <v>YES</v>
      </c>
      <c r="AD112">
        <f>IF(AC112="NO",0,AB112-S112)</f>
        <v>-26000</v>
      </c>
      <c r="AE112" s="43">
        <v>0.08</v>
      </c>
      <c r="AF112" s="3">
        <f t="shared" si="6"/>
        <v>-24074.074074074073</v>
      </c>
      <c r="AG112" s="45">
        <f t="shared" si="7"/>
        <v>-26481.481481481482</v>
      </c>
      <c r="AH112" s="55"/>
    </row>
    <row r="113" spans="1:34" x14ac:dyDescent="0.25">
      <c r="A113" t="s">
        <v>586</v>
      </c>
      <c r="B113" t="s">
        <v>587</v>
      </c>
      <c r="C113" t="s">
        <v>588</v>
      </c>
      <c r="D113" t="s">
        <v>589</v>
      </c>
      <c r="E113" t="s">
        <v>590</v>
      </c>
      <c r="F113" t="s">
        <v>591</v>
      </c>
      <c r="G113" t="s">
        <v>5</v>
      </c>
      <c r="H113" t="s">
        <v>65</v>
      </c>
      <c r="I113" t="s">
        <v>68</v>
      </c>
      <c r="J113" t="s">
        <v>69</v>
      </c>
      <c r="K113" t="s">
        <v>3</v>
      </c>
      <c r="L113" t="s">
        <v>4</v>
      </c>
      <c r="M113" t="s">
        <v>49</v>
      </c>
      <c r="N113" t="s">
        <v>592</v>
      </c>
      <c r="O113" s="31" t="s">
        <v>593</v>
      </c>
      <c r="P113">
        <v>220</v>
      </c>
      <c r="Q113" t="s">
        <v>70</v>
      </c>
      <c r="R113">
        <v>1</v>
      </c>
      <c r="S113" s="31">
        <v>59000</v>
      </c>
      <c r="T113" s="39">
        <v>65000</v>
      </c>
      <c r="U113">
        <v>11666.67</v>
      </c>
      <c r="V113">
        <v>6500</v>
      </c>
      <c r="W113">
        <v>0</v>
      </c>
      <c r="X113" s="39">
        <v>21033.33</v>
      </c>
      <c r="Y113">
        <v>0</v>
      </c>
      <c r="Z113" s="31">
        <v>46833.33</v>
      </c>
      <c r="AA113">
        <v>8</v>
      </c>
      <c r="AB113" s="3">
        <f t="shared" si="5"/>
        <v>46833.33</v>
      </c>
      <c r="AC113" t="str">
        <f>IF(AB113-S113&lt;0,"YES","NO")</f>
        <v>YES</v>
      </c>
      <c r="AD113">
        <f>IF(AC113="NO",0,AB113-S113)</f>
        <v>-12166.669999999998</v>
      </c>
      <c r="AE113" s="43">
        <v>0.08</v>
      </c>
      <c r="AF113" s="3">
        <f t="shared" si="6"/>
        <v>-11265.435185185182</v>
      </c>
      <c r="AG113" s="45">
        <f t="shared" si="7"/>
        <v>-12391.978703703702</v>
      </c>
      <c r="AH113" s="55"/>
    </row>
    <row r="114" spans="1:34" x14ac:dyDescent="0.25">
      <c r="A114" t="s">
        <v>586</v>
      </c>
      <c r="B114" t="s">
        <v>587</v>
      </c>
      <c r="C114" t="s">
        <v>588</v>
      </c>
      <c r="D114" t="s">
        <v>589</v>
      </c>
      <c r="E114" t="s">
        <v>590</v>
      </c>
      <c r="F114" t="s">
        <v>591</v>
      </c>
      <c r="G114" t="s">
        <v>5</v>
      </c>
      <c r="H114" t="s">
        <v>65</v>
      </c>
      <c r="I114" t="s">
        <v>71</v>
      </c>
      <c r="J114" t="s">
        <v>72</v>
      </c>
      <c r="K114" t="s">
        <v>3</v>
      </c>
      <c r="L114" t="s">
        <v>4</v>
      </c>
      <c r="M114" t="s">
        <v>49</v>
      </c>
      <c r="N114" t="s">
        <v>592</v>
      </c>
      <c r="O114" s="31" t="s">
        <v>593</v>
      </c>
      <c r="P114">
        <v>220</v>
      </c>
      <c r="Q114" t="s">
        <v>70</v>
      </c>
      <c r="R114">
        <v>1</v>
      </c>
      <c r="S114" s="31">
        <v>59000</v>
      </c>
      <c r="T114" s="39">
        <v>65000</v>
      </c>
      <c r="U114">
        <v>11666.67</v>
      </c>
      <c r="V114">
        <v>6500</v>
      </c>
      <c r="W114">
        <v>0</v>
      </c>
      <c r="X114" s="39">
        <v>21033.33</v>
      </c>
      <c r="Y114">
        <v>0</v>
      </c>
      <c r="Z114" s="31">
        <v>46833.33</v>
      </c>
      <c r="AA114">
        <v>8</v>
      </c>
      <c r="AB114" s="3">
        <f t="shared" si="5"/>
        <v>46833.33</v>
      </c>
      <c r="AC114" t="str">
        <f>IF(AB114-S114&lt;0,"YES","NO")</f>
        <v>YES</v>
      </c>
      <c r="AD114">
        <f>IF(AC114="NO",0,AB114-S114)</f>
        <v>-12166.669999999998</v>
      </c>
      <c r="AE114" s="43">
        <v>0.08</v>
      </c>
      <c r="AF114" s="3">
        <f t="shared" si="6"/>
        <v>-11265.435185185182</v>
      </c>
      <c r="AG114" s="45">
        <f t="shared" si="7"/>
        <v>-12391.978703703702</v>
      </c>
      <c r="AH114" s="55"/>
    </row>
    <row r="115" spans="1:34" x14ac:dyDescent="0.25">
      <c r="A115" t="s">
        <v>586</v>
      </c>
      <c r="B115" t="s">
        <v>587</v>
      </c>
      <c r="C115" t="s">
        <v>588</v>
      </c>
      <c r="D115" t="s">
        <v>589</v>
      </c>
      <c r="E115" t="s">
        <v>590</v>
      </c>
      <c r="F115" t="s">
        <v>591</v>
      </c>
      <c r="G115" t="s">
        <v>5</v>
      </c>
      <c r="H115" t="s">
        <v>65</v>
      </c>
      <c r="I115" t="s">
        <v>73</v>
      </c>
      <c r="J115" t="s">
        <v>74</v>
      </c>
      <c r="K115" t="s">
        <v>3</v>
      </c>
      <c r="L115" t="s">
        <v>4</v>
      </c>
      <c r="M115" t="s">
        <v>49</v>
      </c>
      <c r="N115" t="s">
        <v>592</v>
      </c>
      <c r="O115" s="31" t="s">
        <v>593</v>
      </c>
      <c r="P115">
        <v>220</v>
      </c>
      <c r="Q115" t="s">
        <v>70</v>
      </c>
      <c r="R115">
        <v>1</v>
      </c>
      <c r="S115" s="31">
        <v>59000</v>
      </c>
      <c r="T115" s="39">
        <v>65000</v>
      </c>
      <c r="U115">
        <v>11666.67</v>
      </c>
      <c r="V115">
        <v>6500</v>
      </c>
      <c r="W115">
        <v>0</v>
      </c>
      <c r="X115" s="39">
        <v>21033.33</v>
      </c>
      <c r="Y115">
        <v>0</v>
      </c>
      <c r="Z115" s="31">
        <v>46833.33</v>
      </c>
      <c r="AA115">
        <v>8</v>
      </c>
      <c r="AB115" s="3">
        <f t="shared" si="5"/>
        <v>46833.33</v>
      </c>
      <c r="AC115" t="str">
        <f>IF(AB115-S115&lt;0,"YES","NO")</f>
        <v>YES</v>
      </c>
      <c r="AD115">
        <f>IF(AC115="NO",0,AB115-S115)</f>
        <v>-12166.669999999998</v>
      </c>
      <c r="AE115" s="43">
        <v>0.08</v>
      </c>
      <c r="AF115" s="3">
        <f t="shared" si="6"/>
        <v>-11265.435185185182</v>
      </c>
      <c r="AG115" s="45">
        <f t="shared" si="7"/>
        <v>-12391.978703703702</v>
      </c>
      <c r="AH115" s="55"/>
    </row>
    <row r="116" spans="1:34" x14ac:dyDescent="0.25">
      <c r="A116" t="s">
        <v>594</v>
      </c>
      <c r="B116" t="s">
        <v>595</v>
      </c>
      <c r="C116" t="s">
        <v>596</v>
      </c>
      <c r="D116" t="s">
        <v>597</v>
      </c>
      <c r="E116" t="s">
        <v>598</v>
      </c>
      <c r="F116" t="s">
        <v>599</v>
      </c>
      <c r="G116" t="s">
        <v>5</v>
      </c>
      <c r="H116" t="s">
        <v>65</v>
      </c>
      <c r="I116" t="s">
        <v>112</v>
      </c>
      <c r="J116" t="s">
        <v>113</v>
      </c>
      <c r="K116" t="s">
        <v>3</v>
      </c>
      <c r="L116" t="s">
        <v>4</v>
      </c>
      <c r="M116" t="s">
        <v>49</v>
      </c>
      <c r="N116" t="s">
        <v>600</v>
      </c>
      <c r="O116" s="31" t="s">
        <v>601</v>
      </c>
      <c r="P116">
        <v>20</v>
      </c>
      <c r="Q116" t="s">
        <v>114</v>
      </c>
      <c r="R116">
        <v>1</v>
      </c>
      <c r="S116" s="31">
        <v>0</v>
      </c>
      <c r="T116" s="39">
        <v>0</v>
      </c>
      <c r="U116">
        <v>0</v>
      </c>
      <c r="V116">
        <v>0</v>
      </c>
      <c r="W116">
        <v>0</v>
      </c>
      <c r="X116" s="39">
        <v>0</v>
      </c>
      <c r="Y116">
        <v>0</v>
      </c>
      <c r="Z116" s="31">
        <v>0</v>
      </c>
      <c r="AA116">
        <v>8</v>
      </c>
      <c r="AB116" s="3">
        <f t="shared" si="5"/>
        <v>0</v>
      </c>
      <c r="AC116" t="str">
        <f>IF(AB116-S116&lt;0,"YES","NO")</f>
        <v>NO</v>
      </c>
      <c r="AD116">
        <f>IF(AC116="NO",0,AB116-S116)</f>
        <v>0</v>
      </c>
      <c r="AE116" s="43">
        <v>0.08</v>
      </c>
      <c r="AF116" s="3">
        <f t="shared" si="6"/>
        <v>0</v>
      </c>
      <c r="AG116" s="45">
        <f t="shared" si="7"/>
        <v>0</v>
      </c>
      <c r="AH116" s="55"/>
    </row>
    <row r="117" spans="1:34" x14ac:dyDescent="0.25">
      <c r="A117" t="s">
        <v>594</v>
      </c>
      <c r="B117" t="s">
        <v>595</v>
      </c>
      <c r="C117" t="s">
        <v>596</v>
      </c>
      <c r="D117" t="s">
        <v>597</v>
      </c>
      <c r="E117" t="s">
        <v>598</v>
      </c>
      <c r="F117" t="s">
        <v>599</v>
      </c>
      <c r="G117" t="s">
        <v>5</v>
      </c>
      <c r="H117" t="s">
        <v>65</v>
      </c>
      <c r="I117" t="s">
        <v>66</v>
      </c>
      <c r="J117" t="s">
        <v>67</v>
      </c>
      <c r="K117" t="s">
        <v>3</v>
      </c>
      <c r="L117" t="s">
        <v>4</v>
      </c>
      <c r="M117" t="s">
        <v>49</v>
      </c>
      <c r="N117" t="s">
        <v>600</v>
      </c>
      <c r="O117" s="31" t="s">
        <v>601</v>
      </c>
      <c r="P117">
        <v>220</v>
      </c>
      <c r="R117">
        <v>6</v>
      </c>
      <c r="S117" s="31">
        <v>450000</v>
      </c>
      <c r="T117" s="39">
        <v>480000</v>
      </c>
      <c r="U117">
        <v>75000</v>
      </c>
      <c r="V117">
        <v>48000</v>
      </c>
      <c r="W117">
        <v>0</v>
      </c>
      <c r="X117" s="39">
        <v>146400</v>
      </c>
      <c r="Y117">
        <v>0</v>
      </c>
      <c r="Z117" s="31">
        <v>357000</v>
      </c>
      <c r="AA117">
        <v>8</v>
      </c>
      <c r="AB117" s="3">
        <f t="shared" si="5"/>
        <v>357000</v>
      </c>
      <c r="AC117" t="str">
        <f>IF(AB117-S117&lt;0,"YES","NO")</f>
        <v>YES</v>
      </c>
      <c r="AD117">
        <f>IF(AC117="NO",0,AB117-S117)</f>
        <v>-93000</v>
      </c>
      <c r="AE117" s="43">
        <v>0.08</v>
      </c>
      <c r="AF117" s="3">
        <f t="shared" si="6"/>
        <v>-86111.111111111109</v>
      </c>
      <c r="AG117" s="45">
        <f t="shared" si="7"/>
        <v>-94722.222222222234</v>
      </c>
      <c r="AH117" s="55"/>
    </row>
    <row r="118" spans="1:34" x14ac:dyDescent="0.25">
      <c r="A118" t="s">
        <v>602</v>
      </c>
      <c r="B118" t="s">
        <v>603</v>
      </c>
      <c r="C118" t="s">
        <v>604</v>
      </c>
      <c r="D118" t="s">
        <v>605</v>
      </c>
      <c r="E118" t="s">
        <v>606</v>
      </c>
      <c r="F118" t="s">
        <v>607</v>
      </c>
      <c r="G118" t="s">
        <v>5</v>
      </c>
      <c r="H118" t="s">
        <v>65</v>
      </c>
      <c r="I118" t="s">
        <v>82</v>
      </c>
      <c r="J118" t="s">
        <v>83</v>
      </c>
      <c r="K118" t="s">
        <v>3</v>
      </c>
      <c r="L118" t="s">
        <v>4</v>
      </c>
      <c r="M118" t="s">
        <v>49</v>
      </c>
      <c r="N118" t="s">
        <v>608</v>
      </c>
      <c r="O118" s="31" t="s">
        <v>609</v>
      </c>
      <c r="P118">
        <v>220</v>
      </c>
      <c r="R118">
        <v>2</v>
      </c>
      <c r="S118" s="31">
        <v>150000</v>
      </c>
      <c r="T118" s="39">
        <v>160000</v>
      </c>
      <c r="U118">
        <v>20000</v>
      </c>
      <c r="V118">
        <v>17000</v>
      </c>
      <c r="W118">
        <v>0</v>
      </c>
      <c r="X118" s="39">
        <v>38450</v>
      </c>
      <c r="Y118">
        <v>0</v>
      </c>
      <c r="Z118" s="31">
        <v>123000</v>
      </c>
      <c r="AA118">
        <v>8</v>
      </c>
      <c r="AB118" s="3">
        <f t="shared" si="5"/>
        <v>123000</v>
      </c>
      <c r="AC118" t="str">
        <f>IF(AB118-S118&lt;0,"YES","NO")</f>
        <v>YES</v>
      </c>
      <c r="AD118">
        <f>IF(AC118="NO",0,AB118-S118)</f>
        <v>-27000</v>
      </c>
      <c r="AE118" s="43">
        <v>0.08</v>
      </c>
      <c r="AF118" s="3">
        <f t="shared" si="6"/>
        <v>-25000</v>
      </c>
      <c r="AG118" s="45">
        <f t="shared" si="7"/>
        <v>-27500.000000000004</v>
      </c>
      <c r="AH118" s="55"/>
    </row>
    <row r="119" spans="1:34" x14ac:dyDescent="0.25">
      <c r="A119" t="s">
        <v>610</v>
      </c>
      <c r="B119" t="s">
        <v>611</v>
      </c>
      <c r="C119" t="s">
        <v>612</v>
      </c>
      <c r="D119" t="s">
        <v>613</v>
      </c>
      <c r="E119" t="s">
        <v>614</v>
      </c>
      <c r="F119" t="s">
        <v>615</v>
      </c>
      <c r="G119" t="s">
        <v>5</v>
      </c>
      <c r="H119" t="s">
        <v>65</v>
      </c>
      <c r="I119" t="s">
        <v>66</v>
      </c>
      <c r="J119" t="s">
        <v>67</v>
      </c>
      <c r="K119" t="s">
        <v>3</v>
      </c>
      <c r="L119" t="s">
        <v>4</v>
      </c>
      <c r="M119" t="s">
        <v>49</v>
      </c>
      <c r="N119" t="s">
        <v>616</v>
      </c>
      <c r="O119" s="31" t="s">
        <v>617</v>
      </c>
      <c r="P119">
        <v>220</v>
      </c>
      <c r="R119">
        <v>6</v>
      </c>
      <c r="S119" s="31">
        <v>450000</v>
      </c>
      <c r="T119" s="39">
        <v>480000</v>
      </c>
      <c r="U119">
        <v>75000</v>
      </c>
      <c r="V119">
        <v>48000</v>
      </c>
      <c r="W119">
        <v>0</v>
      </c>
      <c r="X119" s="39">
        <v>135690</v>
      </c>
      <c r="Y119">
        <v>0</v>
      </c>
      <c r="Z119" s="31">
        <v>357000</v>
      </c>
      <c r="AA119">
        <v>8</v>
      </c>
      <c r="AB119" s="3">
        <f t="shared" si="5"/>
        <v>357000</v>
      </c>
      <c r="AC119" t="str">
        <f>IF(AB119-S119&lt;0,"YES","NO")</f>
        <v>YES</v>
      </c>
      <c r="AD119">
        <f>IF(AC119="NO",0,AB119-S119)</f>
        <v>-93000</v>
      </c>
      <c r="AE119" s="43">
        <v>0.08</v>
      </c>
      <c r="AF119" s="3">
        <f t="shared" si="6"/>
        <v>-86111.111111111109</v>
      </c>
      <c r="AG119" s="45">
        <f t="shared" si="7"/>
        <v>-94722.222222222234</v>
      </c>
      <c r="AH119" s="55"/>
    </row>
    <row r="120" spans="1:34" x14ac:dyDescent="0.25">
      <c r="A120" t="s">
        <v>618</v>
      </c>
      <c r="B120" t="s">
        <v>619</v>
      </c>
      <c r="C120" t="s">
        <v>620</v>
      </c>
      <c r="D120" t="s">
        <v>621</v>
      </c>
      <c r="E120" t="s">
        <v>622</v>
      </c>
      <c r="F120" t="s">
        <v>623</v>
      </c>
      <c r="G120" t="s">
        <v>5</v>
      </c>
      <c r="H120" t="s">
        <v>65</v>
      </c>
      <c r="I120" t="s">
        <v>66</v>
      </c>
      <c r="J120" t="s">
        <v>67</v>
      </c>
      <c r="K120" t="s">
        <v>3</v>
      </c>
      <c r="L120" t="s">
        <v>4</v>
      </c>
      <c r="M120" t="s">
        <v>49</v>
      </c>
      <c r="N120" t="s">
        <v>624</v>
      </c>
      <c r="O120" s="31" t="s">
        <v>625</v>
      </c>
      <c r="P120">
        <v>220</v>
      </c>
      <c r="R120">
        <v>6</v>
      </c>
      <c r="S120" s="31">
        <v>450000</v>
      </c>
      <c r="T120" s="39">
        <v>480000</v>
      </c>
      <c r="U120">
        <v>79999.98</v>
      </c>
      <c r="V120">
        <v>48000</v>
      </c>
      <c r="W120">
        <v>0</v>
      </c>
      <c r="X120" s="39">
        <v>150400.01999999999</v>
      </c>
      <c r="Y120">
        <v>0</v>
      </c>
      <c r="Z120" s="31">
        <v>352000.02</v>
      </c>
      <c r="AA120">
        <v>8</v>
      </c>
      <c r="AB120" s="3">
        <f t="shared" si="5"/>
        <v>352000.02</v>
      </c>
      <c r="AC120" t="str">
        <f>IF(AB120-S120&lt;0,"YES","NO")</f>
        <v>YES</v>
      </c>
      <c r="AD120">
        <f>IF(AC120="NO",0,AB120-S120)</f>
        <v>-97999.979999999981</v>
      </c>
      <c r="AE120" s="43">
        <v>0.08</v>
      </c>
      <c r="AF120" s="3">
        <f t="shared" si="6"/>
        <v>-90740.722222222204</v>
      </c>
      <c r="AG120" s="45">
        <f t="shared" si="7"/>
        <v>-99814.794444444429</v>
      </c>
      <c r="AH120" s="55"/>
    </row>
    <row r="121" spans="1:34" x14ac:dyDescent="0.25">
      <c r="A121" t="s">
        <v>626</v>
      </c>
      <c r="B121" t="s">
        <v>627</v>
      </c>
      <c r="C121" t="s">
        <v>628</v>
      </c>
      <c r="D121" t="s">
        <v>629</v>
      </c>
      <c r="E121" t="s">
        <v>630</v>
      </c>
      <c r="F121" t="s">
        <v>631</v>
      </c>
      <c r="G121" t="s">
        <v>5</v>
      </c>
      <c r="H121" t="s">
        <v>65</v>
      </c>
      <c r="I121" t="s">
        <v>66</v>
      </c>
      <c r="J121" t="s">
        <v>67</v>
      </c>
      <c r="K121" t="s">
        <v>3</v>
      </c>
      <c r="L121" t="s">
        <v>4</v>
      </c>
      <c r="M121" t="s">
        <v>49</v>
      </c>
      <c r="N121" t="s">
        <v>632</v>
      </c>
      <c r="O121" s="31" t="s">
        <v>633</v>
      </c>
      <c r="P121">
        <v>220</v>
      </c>
      <c r="R121">
        <v>4</v>
      </c>
      <c r="S121" s="31">
        <v>300000</v>
      </c>
      <c r="T121" s="39">
        <v>320000</v>
      </c>
      <c r="U121">
        <v>20000</v>
      </c>
      <c r="V121">
        <v>32000</v>
      </c>
      <c r="W121">
        <v>0</v>
      </c>
      <c r="X121" s="39">
        <v>70000</v>
      </c>
      <c r="Y121">
        <v>0</v>
      </c>
      <c r="Z121" s="31">
        <v>268000</v>
      </c>
      <c r="AA121">
        <v>8</v>
      </c>
      <c r="AB121" s="3">
        <f t="shared" si="5"/>
        <v>268000</v>
      </c>
      <c r="AC121" t="str">
        <f>IF(AB121-S121&lt;0,"YES","NO")</f>
        <v>YES</v>
      </c>
      <c r="AD121">
        <f>IF(AC121="NO",0,AB121-S121)</f>
        <v>-32000</v>
      </c>
      <c r="AE121" s="43">
        <v>0.08</v>
      </c>
      <c r="AF121" s="3">
        <f t="shared" si="6"/>
        <v>-29629.629629629628</v>
      </c>
      <c r="AG121" s="45">
        <f t="shared" si="7"/>
        <v>-32592.592592592595</v>
      </c>
      <c r="AH121" s="55"/>
    </row>
    <row r="122" spans="1:34" x14ac:dyDescent="0.25">
      <c r="A122" t="s">
        <v>634</v>
      </c>
      <c r="B122" t="s">
        <v>635</v>
      </c>
      <c r="C122" t="s">
        <v>636</v>
      </c>
      <c r="D122" t="s">
        <v>637</v>
      </c>
      <c r="E122" t="s">
        <v>638</v>
      </c>
      <c r="F122" t="s">
        <v>639</v>
      </c>
      <c r="G122" t="s">
        <v>5</v>
      </c>
      <c r="H122" t="s">
        <v>65</v>
      </c>
      <c r="I122" t="s">
        <v>66</v>
      </c>
      <c r="J122" t="s">
        <v>67</v>
      </c>
      <c r="K122" t="s">
        <v>3</v>
      </c>
      <c r="L122" t="s">
        <v>4</v>
      </c>
      <c r="M122" t="s">
        <v>49</v>
      </c>
      <c r="N122" t="s">
        <v>640</v>
      </c>
      <c r="O122" s="31" t="s">
        <v>641</v>
      </c>
      <c r="P122">
        <v>220</v>
      </c>
      <c r="R122">
        <v>6</v>
      </c>
      <c r="S122" s="31">
        <v>450000</v>
      </c>
      <c r="T122" s="39">
        <v>480000</v>
      </c>
      <c r="U122">
        <v>75000</v>
      </c>
      <c r="V122">
        <v>48000</v>
      </c>
      <c r="W122">
        <v>0</v>
      </c>
      <c r="X122" s="39">
        <v>132120</v>
      </c>
      <c r="Y122">
        <v>0</v>
      </c>
      <c r="Z122" s="31">
        <v>357000</v>
      </c>
      <c r="AA122">
        <v>8</v>
      </c>
      <c r="AB122" s="3">
        <f t="shared" si="5"/>
        <v>357000</v>
      </c>
      <c r="AC122" t="str">
        <f>IF(AB122-S122&lt;0,"YES","NO")</f>
        <v>YES</v>
      </c>
      <c r="AD122">
        <f>IF(AC122="NO",0,AB122-S122)</f>
        <v>-93000</v>
      </c>
      <c r="AE122" s="43">
        <v>0.08</v>
      </c>
      <c r="AF122" s="3">
        <f t="shared" si="6"/>
        <v>-86111.111111111109</v>
      </c>
      <c r="AG122" s="45">
        <f t="shared" si="7"/>
        <v>-94722.222222222234</v>
      </c>
      <c r="AH122" s="55"/>
    </row>
    <row r="123" spans="1:34" x14ac:dyDescent="0.25">
      <c r="A123" t="s">
        <v>642</v>
      </c>
      <c r="B123" t="s">
        <v>643</v>
      </c>
      <c r="C123" t="s">
        <v>644</v>
      </c>
      <c r="D123" t="s">
        <v>645</v>
      </c>
      <c r="E123" t="s">
        <v>646</v>
      </c>
      <c r="F123" t="s">
        <v>647</v>
      </c>
      <c r="G123" t="s">
        <v>5</v>
      </c>
      <c r="H123" t="s">
        <v>61</v>
      </c>
      <c r="I123" t="s">
        <v>84</v>
      </c>
      <c r="J123" t="s">
        <v>85</v>
      </c>
      <c r="K123" t="s">
        <v>3</v>
      </c>
      <c r="L123" t="s">
        <v>4</v>
      </c>
      <c r="M123" t="s">
        <v>49</v>
      </c>
      <c r="N123" t="s">
        <v>648</v>
      </c>
      <c r="O123" s="31" t="s">
        <v>649</v>
      </c>
      <c r="P123">
        <v>100</v>
      </c>
      <c r="Q123" t="s">
        <v>86</v>
      </c>
      <c r="R123">
        <v>1</v>
      </c>
      <c r="S123" s="31">
        <v>0</v>
      </c>
      <c r="T123" s="39">
        <v>0</v>
      </c>
      <c r="U123">
        <v>0</v>
      </c>
      <c r="V123">
        <v>0</v>
      </c>
      <c r="W123">
        <v>0</v>
      </c>
      <c r="X123" s="39">
        <v>0</v>
      </c>
      <c r="Y123">
        <v>0</v>
      </c>
      <c r="Z123" s="31">
        <v>0</v>
      </c>
      <c r="AA123">
        <v>8</v>
      </c>
      <c r="AB123" s="3">
        <f t="shared" si="5"/>
        <v>0</v>
      </c>
      <c r="AC123" t="str">
        <f>IF(AB123-S123&lt;0,"YES","NO")</f>
        <v>NO</v>
      </c>
      <c r="AD123">
        <f>IF(AC123="NO",0,AB123-S123)</f>
        <v>0</v>
      </c>
      <c r="AE123" s="43">
        <v>0.08</v>
      </c>
      <c r="AF123" s="3">
        <f t="shared" si="6"/>
        <v>0</v>
      </c>
      <c r="AG123" s="45">
        <f t="shared" si="7"/>
        <v>0</v>
      </c>
      <c r="AH123" s="55"/>
    </row>
    <row r="124" spans="1:34" x14ac:dyDescent="0.25">
      <c r="A124" t="s">
        <v>642</v>
      </c>
      <c r="B124" t="s">
        <v>643</v>
      </c>
      <c r="C124" t="s">
        <v>644</v>
      </c>
      <c r="D124" t="s">
        <v>645</v>
      </c>
      <c r="E124" t="s">
        <v>646</v>
      </c>
      <c r="F124" t="s">
        <v>647</v>
      </c>
      <c r="G124" t="s">
        <v>5</v>
      </c>
      <c r="H124" t="s">
        <v>65</v>
      </c>
      <c r="I124" t="s">
        <v>66</v>
      </c>
      <c r="J124" t="s">
        <v>67</v>
      </c>
      <c r="K124" t="s">
        <v>3</v>
      </c>
      <c r="L124" t="s">
        <v>4</v>
      </c>
      <c r="M124" t="s">
        <v>49</v>
      </c>
      <c r="N124" t="s">
        <v>648</v>
      </c>
      <c r="O124" s="31" t="s">
        <v>649</v>
      </c>
      <c r="P124">
        <v>220</v>
      </c>
      <c r="R124">
        <v>6</v>
      </c>
      <c r="S124" s="31">
        <v>450000</v>
      </c>
      <c r="T124" s="39">
        <v>480000</v>
      </c>
      <c r="U124">
        <v>79999.98</v>
      </c>
      <c r="V124">
        <v>48000</v>
      </c>
      <c r="W124">
        <v>0</v>
      </c>
      <c r="X124" s="39">
        <v>150400.01999999999</v>
      </c>
      <c r="Y124">
        <v>0</v>
      </c>
      <c r="Z124" s="31">
        <v>352000.02</v>
      </c>
      <c r="AA124">
        <v>8</v>
      </c>
      <c r="AB124" s="3">
        <f t="shared" si="5"/>
        <v>352000.02</v>
      </c>
      <c r="AC124" t="str">
        <f>IF(AB124-S124&lt;0,"YES","NO")</f>
        <v>YES</v>
      </c>
      <c r="AD124">
        <f>IF(AC124="NO",0,AB124-S124)</f>
        <v>-97999.979999999981</v>
      </c>
      <c r="AE124" s="43">
        <v>0.08</v>
      </c>
      <c r="AF124" s="3">
        <f t="shared" si="6"/>
        <v>-90740.722222222204</v>
      </c>
      <c r="AG124" s="45">
        <f t="shared" si="7"/>
        <v>-99814.794444444429</v>
      </c>
      <c r="AH124" s="55"/>
    </row>
    <row r="125" spans="1:34" x14ac:dyDescent="0.25">
      <c r="A125" t="s">
        <v>650</v>
      </c>
      <c r="B125" t="s">
        <v>651</v>
      </c>
      <c r="C125" t="s">
        <v>652</v>
      </c>
      <c r="D125" t="s">
        <v>653</v>
      </c>
      <c r="E125" t="s">
        <v>654</v>
      </c>
      <c r="F125" t="s">
        <v>655</v>
      </c>
      <c r="G125" t="s">
        <v>5</v>
      </c>
      <c r="H125" t="s">
        <v>61</v>
      </c>
      <c r="I125" t="s">
        <v>62</v>
      </c>
      <c r="J125" t="s">
        <v>63</v>
      </c>
      <c r="K125" t="s">
        <v>3</v>
      </c>
      <c r="L125" t="s">
        <v>4</v>
      </c>
      <c r="M125" t="s">
        <v>49</v>
      </c>
      <c r="N125" t="s">
        <v>656</v>
      </c>
      <c r="O125" s="31" t="s">
        <v>657</v>
      </c>
      <c r="P125">
        <v>20000</v>
      </c>
      <c r="Q125" t="s">
        <v>64</v>
      </c>
      <c r="R125">
        <v>1</v>
      </c>
      <c r="S125" s="31">
        <v>0</v>
      </c>
      <c r="T125" s="39">
        <v>0</v>
      </c>
      <c r="U125">
        <v>0</v>
      </c>
      <c r="V125">
        <v>0</v>
      </c>
      <c r="W125">
        <v>0</v>
      </c>
      <c r="X125" s="39">
        <v>0</v>
      </c>
      <c r="Y125">
        <v>0</v>
      </c>
      <c r="Z125" s="31">
        <v>0</v>
      </c>
      <c r="AA125">
        <v>8</v>
      </c>
      <c r="AB125" s="3">
        <f t="shared" si="5"/>
        <v>0</v>
      </c>
      <c r="AC125" t="str">
        <f>IF(AB125-S125&lt;0,"YES","NO")</f>
        <v>NO</v>
      </c>
      <c r="AD125">
        <f>IF(AC125="NO",0,AB125-S125)</f>
        <v>0</v>
      </c>
      <c r="AE125" s="43">
        <v>0.08</v>
      </c>
      <c r="AF125" s="3">
        <f t="shared" si="6"/>
        <v>0</v>
      </c>
      <c r="AG125" s="45">
        <f t="shared" si="7"/>
        <v>0</v>
      </c>
      <c r="AH125" s="55"/>
    </row>
    <row r="126" spans="1:34" x14ac:dyDescent="0.25">
      <c r="A126" t="s">
        <v>650</v>
      </c>
      <c r="B126" t="s">
        <v>651</v>
      </c>
      <c r="C126" t="s">
        <v>652</v>
      </c>
      <c r="D126" t="s">
        <v>653</v>
      </c>
      <c r="E126" t="s">
        <v>654</v>
      </c>
      <c r="F126" t="s">
        <v>655</v>
      </c>
      <c r="G126" t="s">
        <v>5</v>
      </c>
      <c r="H126" t="s">
        <v>65</v>
      </c>
      <c r="I126" t="s">
        <v>82</v>
      </c>
      <c r="J126" t="s">
        <v>83</v>
      </c>
      <c r="K126" t="s">
        <v>3</v>
      </c>
      <c r="L126" t="s">
        <v>4</v>
      </c>
      <c r="M126" t="s">
        <v>49</v>
      </c>
      <c r="N126" t="s">
        <v>656</v>
      </c>
      <c r="O126" s="31" t="s">
        <v>657</v>
      </c>
      <c r="P126">
        <v>220</v>
      </c>
      <c r="R126">
        <v>6</v>
      </c>
      <c r="S126" s="31">
        <v>450000</v>
      </c>
      <c r="T126" s="39">
        <v>480000</v>
      </c>
      <c r="U126">
        <v>75000</v>
      </c>
      <c r="V126">
        <v>48000</v>
      </c>
      <c r="W126">
        <v>0</v>
      </c>
      <c r="X126" s="39">
        <v>146400</v>
      </c>
      <c r="Y126">
        <v>0</v>
      </c>
      <c r="Z126" s="31">
        <v>357000</v>
      </c>
      <c r="AA126">
        <v>8</v>
      </c>
      <c r="AB126" s="3">
        <f t="shared" si="5"/>
        <v>357000</v>
      </c>
      <c r="AC126" t="str">
        <f>IF(AB126-S126&lt;0,"YES","NO")</f>
        <v>YES</v>
      </c>
      <c r="AD126">
        <f>IF(AC126="NO",0,AB126-S126)</f>
        <v>-93000</v>
      </c>
      <c r="AE126" s="43">
        <v>0.08</v>
      </c>
      <c r="AF126" s="3">
        <f t="shared" si="6"/>
        <v>-86111.111111111109</v>
      </c>
      <c r="AG126" s="45">
        <f t="shared" si="7"/>
        <v>-94722.222222222234</v>
      </c>
      <c r="AH126" s="55"/>
    </row>
    <row r="127" spans="1:34" x14ac:dyDescent="0.25">
      <c r="A127" t="s">
        <v>658</v>
      </c>
      <c r="B127" t="s">
        <v>659</v>
      </c>
      <c r="C127" t="s">
        <v>660</v>
      </c>
      <c r="D127" t="s">
        <v>661</v>
      </c>
      <c r="E127" t="s">
        <v>662</v>
      </c>
      <c r="F127" t="s">
        <v>663</v>
      </c>
      <c r="G127" t="s">
        <v>5</v>
      </c>
      <c r="H127" t="s">
        <v>61</v>
      </c>
      <c r="I127" t="s">
        <v>62</v>
      </c>
      <c r="J127" t="s">
        <v>63</v>
      </c>
      <c r="K127" t="s">
        <v>3</v>
      </c>
      <c r="L127" t="s">
        <v>4</v>
      </c>
      <c r="M127" t="s">
        <v>49</v>
      </c>
      <c r="N127" t="s">
        <v>664</v>
      </c>
      <c r="O127" s="31" t="s">
        <v>665</v>
      </c>
      <c r="P127">
        <v>20000</v>
      </c>
      <c r="Q127" t="s">
        <v>64</v>
      </c>
      <c r="R127">
        <v>1</v>
      </c>
      <c r="S127" s="31">
        <v>0</v>
      </c>
      <c r="T127" s="39">
        <v>0</v>
      </c>
      <c r="U127">
        <v>0</v>
      </c>
      <c r="V127">
        <v>0</v>
      </c>
      <c r="W127">
        <v>0</v>
      </c>
      <c r="X127" s="39">
        <v>0</v>
      </c>
      <c r="Y127">
        <v>0</v>
      </c>
      <c r="Z127" s="31">
        <v>0</v>
      </c>
      <c r="AA127">
        <v>8</v>
      </c>
      <c r="AB127" s="3">
        <f t="shared" si="5"/>
        <v>0</v>
      </c>
      <c r="AC127" t="str">
        <f>IF(AB127-S127&lt;0,"YES","NO")</f>
        <v>NO</v>
      </c>
      <c r="AD127">
        <f>IF(AC127="NO",0,AB127-S127)</f>
        <v>0</v>
      </c>
      <c r="AE127" s="43">
        <v>0.08</v>
      </c>
      <c r="AF127" s="3">
        <f t="shared" si="6"/>
        <v>0</v>
      </c>
      <c r="AG127" s="45">
        <f t="shared" si="7"/>
        <v>0</v>
      </c>
      <c r="AH127" s="55"/>
    </row>
    <row r="128" spans="1:34" x14ac:dyDescent="0.25">
      <c r="A128" t="s">
        <v>658</v>
      </c>
      <c r="B128" t="s">
        <v>659</v>
      </c>
      <c r="C128" t="s">
        <v>660</v>
      </c>
      <c r="D128" t="s">
        <v>661</v>
      </c>
      <c r="E128" t="s">
        <v>662</v>
      </c>
      <c r="F128" t="s">
        <v>663</v>
      </c>
      <c r="G128" t="s">
        <v>5</v>
      </c>
      <c r="H128" t="s">
        <v>61</v>
      </c>
      <c r="I128" t="s">
        <v>84</v>
      </c>
      <c r="J128" t="s">
        <v>85</v>
      </c>
      <c r="K128" t="s">
        <v>3</v>
      </c>
      <c r="L128" t="s">
        <v>4</v>
      </c>
      <c r="M128" t="s">
        <v>49</v>
      </c>
      <c r="N128" t="s">
        <v>664</v>
      </c>
      <c r="O128" s="31" t="s">
        <v>665</v>
      </c>
      <c r="P128">
        <v>100</v>
      </c>
      <c r="Q128" t="s">
        <v>86</v>
      </c>
      <c r="R128">
        <v>1</v>
      </c>
      <c r="S128" s="31">
        <v>0</v>
      </c>
      <c r="T128" s="39">
        <v>0</v>
      </c>
      <c r="U128">
        <v>0</v>
      </c>
      <c r="V128">
        <v>0</v>
      </c>
      <c r="W128">
        <v>0</v>
      </c>
      <c r="X128" s="39">
        <v>0</v>
      </c>
      <c r="Y128">
        <v>0</v>
      </c>
      <c r="Z128" s="31">
        <v>0</v>
      </c>
      <c r="AA128">
        <v>8</v>
      </c>
      <c r="AB128" s="3">
        <f t="shared" si="5"/>
        <v>0</v>
      </c>
      <c r="AC128" t="str">
        <f>IF(AB128-S128&lt;0,"YES","NO")</f>
        <v>NO</v>
      </c>
      <c r="AD128">
        <f>IF(AC128="NO",0,AB128-S128)</f>
        <v>0</v>
      </c>
      <c r="AE128" s="43">
        <v>0.08</v>
      </c>
      <c r="AF128" s="3">
        <f t="shared" si="6"/>
        <v>0</v>
      </c>
      <c r="AG128" s="45">
        <f t="shared" si="7"/>
        <v>0</v>
      </c>
      <c r="AH128" s="55"/>
    </row>
    <row r="129" spans="1:34" x14ac:dyDescent="0.25">
      <c r="A129" t="s">
        <v>658</v>
      </c>
      <c r="B129" t="s">
        <v>659</v>
      </c>
      <c r="C129" t="s">
        <v>660</v>
      </c>
      <c r="D129" t="s">
        <v>661</v>
      </c>
      <c r="E129" t="s">
        <v>662</v>
      </c>
      <c r="F129" t="s">
        <v>663</v>
      </c>
      <c r="G129" t="s">
        <v>5</v>
      </c>
      <c r="H129" t="s">
        <v>65</v>
      </c>
      <c r="I129" t="s">
        <v>68</v>
      </c>
      <c r="J129" t="s">
        <v>69</v>
      </c>
      <c r="K129" t="s">
        <v>3</v>
      </c>
      <c r="L129" t="s">
        <v>4</v>
      </c>
      <c r="M129" t="s">
        <v>49</v>
      </c>
      <c r="N129" t="s">
        <v>664</v>
      </c>
      <c r="O129" s="31" t="s">
        <v>665</v>
      </c>
      <c r="P129">
        <v>220</v>
      </c>
      <c r="Q129" t="s">
        <v>70</v>
      </c>
      <c r="R129">
        <v>1</v>
      </c>
      <c r="S129" s="31">
        <v>59000</v>
      </c>
      <c r="T129" s="39">
        <v>65000</v>
      </c>
      <c r="U129">
        <v>11666.67</v>
      </c>
      <c r="V129">
        <v>6500</v>
      </c>
      <c r="W129">
        <v>0</v>
      </c>
      <c r="X129" s="39">
        <v>21970</v>
      </c>
      <c r="Y129">
        <v>0</v>
      </c>
      <c r="Z129" s="31">
        <v>46833.33</v>
      </c>
      <c r="AA129">
        <v>8</v>
      </c>
      <c r="AB129" s="3">
        <f t="shared" si="5"/>
        <v>46833.33</v>
      </c>
      <c r="AC129" t="str">
        <f>IF(AB129-S129&lt;0,"YES","NO")</f>
        <v>YES</v>
      </c>
      <c r="AD129">
        <f>IF(AC129="NO",0,AB129-S129)</f>
        <v>-12166.669999999998</v>
      </c>
      <c r="AE129" s="43">
        <v>0.08</v>
      </c>
      <c r="AF129" s="3">
        <f t="shared" si="6"/>
        <v>-11265.435185185182</v>
      </c>
      <c r="AG129" s="45">
        <f t="shared" si="7"/>
        <v>-12391.978703703702</v>
      </c>
      <c r="AH129" s="55"/>
    </row>
    <row r="130" spans="1:34" x14ac:dyDescent="0.25">
      <c r="A130" t="s">
        <v>658</v>
      </c>
      <c r="B130" t="s">
        <v>659</v>
      </c>
      <c r="C130" t="s">
        <v>660</v>
      </c>
      <c r="D130" t="s">
        <v>661</v>
      </c>
      <c r="E130" t="s">
        <v>662</v>
      </c>
      <c r="F130" t="s">
        <v>663</v>
      </c>
      <c r="G130" t="s">
        <v>5</v>
      </c>
      <c r="H130" t="s">
        <v>65</v>
      </c>
      <c r="I130" t="s">
        <v>71</v>
      </c>
      <c r="J130" t="s">
        <v>72</v>
      </c>
      <c r="K130" t="s">
        <v>3</v>
      </c>
      <c r="L130" t="s">
        <v>4</v>
      </c>
      <c r="M130" t="s">
        <v>49</v>
      </c>
      <c r="N130" t="s">
        <v>664</v>
      </c>
      <c r="O130" s="31" t="s">
        <v>665</v>
      </c>
      <c r="P130">
        <v>220</v>
      </c>
      <c r="Q130" t="s">
        <v>70</v>
      </c>
      <c r="R130">
        <v>1</v>
      </c>
      <c r="S130" s="31">
        <v>59000</v>
      </c>
      <c r="T130" s="39">
        <v>65000</v>
      </c>
      <c r="U130">
        <v>11666.67</v>
      </c>
      <c r="V130">
        <v>6500</v>
      </c>
      <c r="W130">
        <v>0</v>
      </c>
      <c r="X130" s="39">
        <v>21970</v>
      </c>
      <c r="Y130">
        <v>0</v>
      </c>
      <c r="Z130" s="31">
        <v>46833.33</v>
      </c>
      <c r="AA130">
        <v>8</v>
      </c>
      <c r="AB130" s="3">
        <f t="shared" si="5"/>
        <v>46833.33</v>
      </c>
      <c r="AC130" t="str">
        <f>IF(AB130-S130&lt;0,"YES","NO")</f>
        <v>YES</v>
      </c>
      <c r="AD130">
        <f>IF(AC130="NO",0,AB130-S130)</f>
        <v>-12166.669999999998</v>
      </c>
      <c r="AE130" s="43">
        <v>0.08</v>
      </c>
      <c r="AF130" s="3">
        <f t="shared" si="6"/>
        <v>-11265.435185185182</v>
      </c>
      <c r="AG130" s="45">
        <f t="shared" si="7"/>
        <v>-12391.978703703702</v>
      </c>
      <c r="AH130" s="55"/>
    </row>
    <row r="131" spans="1:34" x14ac:dyDescent="0.25">
      <c r="A131" t="s">
        <v>658</v>
      </c>
      <c r="B131" t="s">
        <v>659</v>
      </c>
      <c r="C131" t="s">
        <v>660</v>
      </c>
      <c r="D131" t="s">
        <v>661</v>
      </c>
      <c r="E131" t="s">
        <v>662</v>
      </c>
      <c r="F131" t="s">
        <v>663</v>
      </c>
      <c r="G131" t="s">
        <v>5</v>
      </c>
      <c r="H131" t="s">
        <v>65</v>
      </c>
      <c r="I131" t="s">
        <v>73</v>
      </c>
      <c r="J131" t="s">
        <v>74</v>
      </c>
      <c r="K131" t="s">
        <v>3</v>
      </c>
      <c r="L131" t="s">
        <v>4</v>
      </c>
      <c r="M131" t="s">
        <v>49</v>
      </c>
      <c r="N131" t="s">
        <v>664</v>
      </c>
      <c r="O131" s="31" t="s">
        <v>665</v>
      </c>
      <c r="P131">
        <v>220</v>
      </c>
      <c r="Q131" t="s">
        <v>70</v>
      </c>
      <c r="R131">
        <v>1</v>
      </c>
      <c r="S131" s="31">
        <v>59000</v>
      </c>
      <c r="T131" s="39">
        <v>65000</v>
      </c>
      <c r="U131">
        <v>11666.67</v>
      </c>
      <c r="V131">
        <v>6500</v>
      </c>
      <c r="W131">
        <v>0</v>
      </c>
      <c r="X131" s="39">
        <v>21970</v>
      </c>
      <c r="Y131">
        <v>0</v>
      </c>
      <c r="Z131" s="31">
        <v>46833.33</v>
      </c>
      <c r="AA131">
        <v>8</v>
      </c>
      <c r="AB131" s="3">
        <f t="shared" si="5"/>
        <v>46833.33</v>
      </c>
      <c r="AC131" t="str">
        <f>IF(AB131-S131&lt;0,"YES","NO")</f>
        <v>YES</v>
      </c>
      <c r="AD131">
        <f>IF(AC131="NO",0,AB131-S131)</f>
        <v>-12166.669999999998</v>
      </c>
      <c r="AE131" s="43">
        <v>0.08</v>
      </c>
      <c r="AF131" s="3">
        <f t="shared" si="6"/>
        <v>-11265.435185185182</v>
      </c>
      <c r="AG131" s="45">
        <f t="shared" si="7"/>
        <v>-12391.978703703702</v>
      </c>
      <c r="AH131" s="55"/>
    </row>
    <row r="132" spans="1:34" x14ac:dyDescent="0.25">
      <c r="A132" t="s">
        <v>658</v>
      </c>
      <c r="B132" t="s">
        <v>659</v>
      </c>
      <c r="C132" t="s">
        <v>660</v>
      </c>
      <c r="D132" t="s">
        <v>661</v>
      </c>
      <c r="E132" t="s">
        <v>662</v>
      </c>
      <c r="F132" t="s">
        <v>663</v>
      </c>
      <c r="G132" t="s">
        <v>5</v>
      </c>
      <c r="H132" t="s">
        <v>65</v>
      </c>
      <c r="I132" t="s">
        <v>87</v>
      </c>
      <c r="J132" t="s">
        <v>88</v>
      </c>
      <c r="K132" t="s">
        <v>3</v>
      </c>
      <c r="L132" t="s">
        <v>4</v>
      </c>
      <c r="M132" t="s">
        <v>49</v>
      </c>
      <c r="N132" t="s">
        <v>664</v>
      </c>
      <c r="O132" s="31" t="s">
        <v>665</v>
      </c>
      <c r="P132">
        <v>220</v>
      </c>
      <c r="Q132" t="s">
        <v>89</v>
      </c>
      <c r="R132">
        <v>2</v>
      </c>
      <c r="S132" s="31">
        <v>118000</v>
      </c>
      <c r="T132" s="39">
        <v>140000</v>
      </c>
      <c r="U132">
        <v>0</v>
      </c>
      <c r="V132">
        <v>14000</v>
      </c>
      <c r="W132">
        <v>0</v>
      </c>
      <c r="X132" s="39">
        <v>27720</v>
      </c>
      <c r="Y132">
        <v>0</v>
      </c>
      <c r="Z132" s="31">
        <v>126000</v>
      </c>
      <c r="AA132">
        <v>8</v>
      </c>
      <c r="AB132" s="3">
        <f t="shared" si="5"/>
        <v>126000</v>
      </c>
      <c r="AC132" t="str">
        <f>IF(AB132-S132&lt;0,"YES","NO")</f>
        <v>NO</v>
      </c>
      <c r="AD132">
        <f>IF(AC132="NO",0,AB132-S132)</f>
        <v>0</v>
      </c>
      <c r="AE132" s="43">
        <v>0.08</v>
      </c>
      <c r="AF132" s="3">
        <f t="shared" si="6"/>
        <v>0</v>
      </c>
      <c r="AG132" s="45">
        <f t="shared" si="7"/>
        <v>0</v>
      </c>
      <c r="AH132" s="55"/>
    </row>
    <row r="133" spans="1:34" x14ac:dyDescent="0.25">
      <c r="A133" t="s">
        <v>658</v>
      </c>
      <c r="B133" t="s">
        <v>659</v>
      </c>
      <c r="C133" t="s">
        <v>660</v>
      </c>
      <c r="D133" t="s">
        <v>661</v>
      </c>
      <c r="E133" t="s">
        <v>662</v>
      </c>
      <c r="F133" t="s">
        <v>663</v>
      </c>
      <c r="G133" t="s">
        <v>5</v>
      </c>
      <c r="H133" t="s">
        <v>65</v>
      </c>
      <c r="I133" t="s">
        <v>90</v>
      </c>
      <c r="J133" t="s">
        <v>91</v>
      </c>
      <c r="K133" t="s">
        <v>3</v>
      </c>
      <c r="L133" t="s">
        <v>4</v>
      </c>
      <c r="M133" t="s">
        <v>49</v>
      </c>
      <c r="N133" t="s">
        <v>664</v>
      </c>
      <c r="O133" s="31" t="s">
        <v>665</v>
      </c>
      <c r="P133">
        <v>220</v>
      </c>
      <c r="Q133" t="s">
        <v>92</v>
      </c>
      <c r="R133">
        <v>2</v>
      </c>
      <c r="S133" s="31">
        <v>118000</v>
      </c>
      <c r="T133" s="39">
        <v>140000</v>
      </c>
      <c r="U133">
        <v>0</v>
      </c>
      <c r="V133">
        <v>14000</v>
      </c>
      <c r="W133">
        <v>0</v>
      </c>
      <c r="X133" s="39">
        <v>27720</v>
      </c>
      <c r="Y133">
        <v>0</v>
      </c>
      <c r="Z133" s="31">
        <v>126000</v>
      </c>
      <c r="AA133">
        <v>8</v>
      </c>
      <c r="AB133" s="3">
        <f t="shared" si="5"/>
        <v>126000</v>
      </c>
      <c r="AC133" t="str">
        <f>IF(AB133-S133&lt;0,"YES","NO")</f>
        <v>NO</v>
      </c>
      <c r="AD133">
        <f>IF(AC133="NO",0,AB133-S133)</f>
        <v>0</v>
      </c>
      <c r="AE133" s="43">
        <v>0.08</v>
      </c>
      <c r="AF133" s="3">
        <f t="shared" si="6"/>
        <v>0</v>
      </c>
      <c r="AG133" s="45">
        <f t="shared" si="7"/>
        <v>0</v>
      </c>
      <c r="AH133" s="55"/>
    </row>
    <row r="134" spans="1:34" x14ac:dyDescent="0.25">
      <c r="A134" t="s">
        <v>658</v>
      </c>
      <c r="B134" t="s">
        <v>659</v>
      </c>
      <c r="C134" t="s">
        <v>660</v>
      </c>
      <c r="D134" t="s">
        <v>661</v>
      </c>
      <c r="E134" t="s">
        <v>662</v>
      </c>
      <c r="F134" t="s">
        <v>663</v>
      </c>
      <c r="G134" t="s">
        <v>5</v>
      </c>
      <c r="H134" t="s">
        <v>65</v>
      </c>
      <c r="I134" t="s">
        <v>66</v>
      </c>
      <c r="J134" t="s">
        <v>67</v>
      </c>
      <c r="K134" t="s">
        <v>3</v>
      </c>
      <c r="L134" t="s">
        <v>4</v>
      </c>
      <c r="M134" t="s">
        <v>49</v>
      </c>
      <c r="N134" t="s">
        <v>664</v>
      </c>
      <c r="O134" s="31" t="s">
        <v>665</v>
      </c>
      <c r="P134">
        <v>220</v>
      </c>
      <c r="R134">
        <v>2</v>
      </c>
      <c r="S134" s="31">
        <v>150000</v>
      </c>
      <c r="T134" s="39">
        <v>160000</v>
      </c>
      <c r="U134">
        <v>0</v>
      </c>
      <c r="V134">
        <v>16000</v>
      </c>
      <c r="W134">
        <v>0</v>
      </c>
      <c r="X134" s="39">
        <v>31680</v>
      </c>
      <c r="Y134">
        <v>0</v>
      </c>
      <c r="Z134" s="31">
        <v>144000</v>
      </c>
      <c r="AA134">
        <v>8</v>
      </c>
      <c r="AB134" s="3">
        <f t="shared" ref="AB134:AB197" si="8">Z134</f>
        <v>144000</v>
      </c>
      <c r="AC134" t="str">
        <f>IF(AB134-S134&lt;0,"YES","NO")</f>
        <v>YES</v>
      </c>
      <c r="AD134">
        <f>IF(AC134="NO",0,AB134-S134)</f>
        <v>-6000</v>
      </c>
      <c r="AE134" s="43">
        <v>0.08</v>
      </c>
      <c r="AF134" s="3">
        <f t="shared" ref="AF134:AF197" si="9">AD134/(1+AE134)</f>
        <v>-5555.5555555555547</v>
      </c>
      <c r="AG134" s="45">
        <f t="shared" ref="AG134:AG197" si="10">AF134*1.1</f>
        <v>-6111.1111111111104</v>
      </c>
      <c r="AH134" s="55"/>
    </row>
    <row r="135" spans="1:34" x14ac:dyDescent="0.25">
      <c r="A135" t="s">
        <v>666</v>
      </c>
      <c r="B135" t="s">
        <v>667</v>
      </c>
      <c r="C135" t="s">
        <v>668</v>
      </c>
      <c r="D135" t="s">
        <v>669</v>
      </c>
      <c r="E135" t="s">
        <v>670</v>
      </c>
      <c r="F135" t="s">
        <v>671</v>
      </c>
      <c r="G135" t="s">
        <v>5</v>
      </c>
      <c r="H135" t="s">
        <v>61</v>
      </c>
      <c r="I135" t="s">
        <v>62</v>
      </c>
      <c r="J135" t="s">
        <v>63</v>
      </c>
      <c r="K135" t="s">
        <v>3</v>
      </c>
      <c r="L135" t="s">
        <v>4</v>
      </c>
      <c r="M135" t="s">
        <v>49</v>
      </c>
      <c r="N135" t="s">
        <v>672</v>
      </c>
      <c r="O135" s="31" t="s">
        <v>673</v>
      </c>
      <c r="P135">
        <v>20000</v>
      </c>
      <c r="Q135" t="s">
        <v>64</v>
      </c>
      <c r="R135">
        <v>1</v>
      </c>
      <c r="S135" s="31">
        <v>0</v>
      </c>
      <c r="T135" s="39">
        <v>0</v>
      </c>
      <c r="U135">
        <v>0</v>
      </c>
      <c r="V135">
        <v>0</v>
      </c>
      <c r="W135">
        <v>0</v>
      </c>
      <c r="X135" s="39">
        <v>0</v>
      </c>
      <c r="Y135">
        <v>0</v>
      </c>
      <c r="Z135" s="31">
        <v>0</v>
      </c>
      <c r="AA135">
        <v>8</v>
      </c>
      <c r="AB135" s="3">
        <f t="shared" si="8"/>
        <v>0</v>
      </c>
      <c r="AC135" t="str">
        <f>IF(AB135-S135&lt;0,"YES","NO")</f>
        <v>NO</v>
      </c>
      <c r="AD135">
        <f>IF(AC135="NO",0,AB135-S135)</f>
        <v>0</v>
      </c>
      <c r="AE135" s="43">
        <v>0.08</v>
      </c>
      <c r="AF135" s="3">
        <f t="shared" si="9"/>
        <v>0</v>
      </c>
      <c r="AG135" s="45">
        <f t="shared" si="10"/>
        <v>0</v>
      </c>
      <c r="AH135" s="55"/>
    </row>
    <row r="136" spans="1:34" x14ac:dyDescent="0.25">
      <c r="A136" t="s">
        <v>666</v>
      </c>
      <c r="B136" t="s">
        <v>667</v>
      </c>
      <c r="C136" t="s">
        <v>668</v>
      </c>
      <c r="D136" t="s">
        <v>669</v>
      </c>
      <c r="E136" t="s">
        <v>670</v>
      </c>
      <c r="F136" t="s">
        <v>671</v>
      </c>
      <c r="G136" t="s">
        <v>5</v>
      </c>
      <c r="H136" t="s">
        <v>65</v>
      </c>
      <c r="I136" t="s">
        <v>87</v>
      </c>
      <c r="J136" t="s">
        <v>88</v>
      </c>
      <c r="K136" t="s">
        <v>3</v>
      </c>
      <c r="L136" t="s">
        <v>4</v>
      </c>
      <c r="M136" t="s">
        <v>49</v>
      </c>
      <c r="N136" t="s">
        <v>672</v>
      </c>
      <c r="O136" s="31" t="s">
        <v>673</v>
      </c>
      <c r="P136">
        <v>220</v>
      </c>
      <c r="Q136" t="s">
        <v>89</v>
      </c>
      <c r="R136">
        <v>6</v>
      </c>
      <c r="S136" s="31">
        <v>354000</v>
      </c>
      <c r="T136" s="39">
        <v>420000</v>
      </c>
      <c r="U136">
        <v>75000</v>
      </c>
      <c r="V136">
        <v>42000</v>
      </c>
      <c r="W136">
        <v>0</v>
      </c>
      <c r="X136" s="39">
        <v>141660</v>
      </c>
      <c r="Y136">
        <v>0</v>
      </c>
      <c r="Z136" s="31">
        <v>303000</v>
      </c>
      <c r="AA136">
        <v>8</v>
      </c>
      <c r="AB136" s="3">
        <f t="shared" si="8"/>
        <v>303000</v>
      </c>
      <c r="AC136" t="str">
        <f>IF(AB136-S136&lt;0,"YES","NO")</f>
        <v>YES</v>
      </c>
      <c r="AD136">
        <f>IF(AC136="NO",0,AB136-S136)</f>
        <v>-51000</v>
      </c>
      <c r="AE136" s="43">
        <v>0.08</v>
      </c>
      <c r="AF136" s="3">
        <f t="shared" si="9"/>
        <v>-47222.222222222219</v>
      </c>
      <c r="AG136" s="45">
        <f t="shared" si="10"/>
        <v>-51944.444444444445</v>
      </c>
      <c r="AH136" s="55"/>
    </row>
    <row r="137" spans="1:34" x14ac:dyDescent="0.25">
      <c r="A137" t="s">
        <v>674</v>
      </c>
      <c r="B137" t="s">
        <v>675</v>
      </c>
      <c r="C137" t="s">
        <v>676</v>
      </c>
      <c r="D137" t="s">
        <v>677</v>
      </c>
      <c r="E137" t="s">
        <v>678</v>
      </c>
      <c r="F137" t="s">
        <v>679</v>
      </c>
      <c r="G137" t="s">
        <v>5</v>
      </c>
      <c r="H137" t="s">
        <v>61</v>
      </c>
      <c r="I137" t="s">
        <v>84</v>
      </c>
      <c r="J137" t="s">
        <v>85</v>
      </c>
      <c r="K137" t="s">
        <v>3</v>
      </c>
      <c r="L137" t="s">
        <v>4</v>
      </c>
      <c r="M137" t="s">
        <v>49</v>
      </c>
      <c r="N137" t="s">
        <v>680</v>
      </c>
      <c r="O137" s="31" t="s">
        <v>681</v>
      </c>
      <c r="P137">
        <v>100</v>
      </c>
      <c r="Q137" t="s">
        <v>86</v>
      </c>
      <c r="R137">
        <v>1</v>
      </c>
      <c r="S137" s="31">
        <v>0</v>
      </c>
      <c r="T137" s="39">
        <v>0</v>
      </c>
      <c r="U137">
        <v>0</v>
      </c>
      <c r="V137">
        <v>0</v>
      </c>
      <c r="W137">
        <v>0</v>
      </c>
      <c r="X137" s="39">
        <v>0</v>
      </c>
      <c r="Y137">
        <v>0</v>
      </c>
      <c r="Z137" s="31">
        <v>0</v>
      </c>
      <c r="AA137">
        <v>8</v>
      </c>
      <c r="AB137" s="3">
        <f t="shared" si="8"/>
        <v>0</v>
      </c>
      <c r="AC137" t="str">
        <f>IF(AB137-S137&lt;0,"YES","NO")</f>
        <v>NO</v>
      </c>
      <c r="AD137">
        <f>IF(AC137="NO",0,AB137-S137)</f>
        <v>0</v>
      </c>
      <c r="AE137" s="43">
        <v>0.08</v>
      </c>
      <c r="AF137" s="3">
        <f t="shared" si="9"/>
        <v>0</v>
      </c>
      <c r="AG137" s="45">
        <f t="shared" si="10"/>
        <v>0</v>
      </c>
      <c r="AH137" s="55"/>
    </row>
    <row r="138" spans="1:34" x14ac:dyDescent="0.25">
      <c r="A138" t="s">
        <v>674</v>
      </c>
      <c r="B138" t="s">
        <v>675</v>
      </c>
      <c r="C138" t="s">
        <v>676</v>
      </c>
      <c r="D138" t="s">
        <v>677</v>
      </c>
      <c r="E138" t="s">
        <v>678</v>
      </c>
      <c r="F138" t="s">
        <v>679</v>
      </c>
      <c r="G138" t="s">
        <v>5</v>
      </c>
      <c r="H138" t="s">
        <v>65</v>
      </c>
      <c r="I138" t="s">
        <v>82</v>
      </c>
      <c r="J138" t="s">
        <v>83</v>
      </c>
      <c r="K138" t="s">
        <v>3</v>
      </c>
      <c r="L138" t="s">
        <v>4</v>
      </c>
      <c r="M138" t="s">
        <v>49</v>
      </c>
      <c r="N138" t="s">
        <v>680</v>
      </c>
      <c r="O138" s="31" t="s">
        <v>681</v>
      </c>
      <c r="P138">
        <v>220</v>
      </c>
      <c r="R138">
        <v>6</v>
      </c>
      <c r="S138" s="31">
        <v>450000</v>
      </c>
      <c r="T138" s="39">
        <v>480000</v>
      </c>
      <c r="U138">
        <v>75000</v>
      </c>
      <c r="V138">
        <v>48000</v>
      </c>
      <c r="W138">
        <v>0</v>
      </c>
      <c r="X138" s="39">
        <v>153540</v>
      </c>
      <c r="Y138">
        <v>0</v>
      </c>
      <c r="Z138" s="31">
        <v>357000</v>
      </c>
      <c r="AA138">
        <v>8</v>
      </c>
      <c r="AB138" s="3">
        <f t="shared" si="8"/>
        <v>357000</v>
      </c>
      <c r="AC138" t="str">
        <f>IF(AB138-S138&lt;0,"YES","NO")</f>
        <v>YES</v>
      </c>
      <c r="AD138">
        <f>IF(AC138="NO",0,AB138-S138)</f>
        <v>-93000</v>
      </c>
      <c r="AE138" s="43">
        <v>0.08</v>
      </c>
      <c r="AF138" s="3">
        <f t="shared" si="9"/>
        <v>-86111.111111111109</v>
      </c>
      <c r="AG138" s="45">
        <f t="shared" si="10"/>
        <v>-94722.222222222234</v>
      </c>
      <c r="AH138" s="55"/>
    </row>
    <row r="139" spans="1:34" x14ac:dyDescent="0.25">
      <c r="A139" t="s">
        <v>682</v>
      </c>
      <c r="B139" t="s">
        <v>683</v>
      </c>
      <c r="C139" t="s">
        <v>684</v>
      </c>
      <c r="D139" t="s">
        <v>685</v>
      </c>
      <c r="E139" t="s">
        <v>686</v>
      </c>
      <c r="F139" t="s">
        <v>687</v>
      </c>
      <c r="G139" t="s">
        <v>5</v>
      </c>
      <c r="H139" t="s">
        <v>61</v>
      </c>
      <c r="I139" t="s">
        <v>84</v>
      </c>
      <c r="J139" t="s">
        <v>85</v>
      </c>
      <c r="K139" t="s">
        <v>3</v>
      </c>
      <c r="L139" t="s">
        <v>4</v>
      </c>
      <c r="M139" t="s">
        <v>49</v>
      </c>
      <c r="N139" t="s">
        <v>688</v>
      </c>
      <c r="O139" s="31" t="s">
        <v>689</v>
      </c>
      <c r="P139">
        <v>100</v>
      </c>
      <c r="Q139" t="s">
        <v>86</v>
      </c>
      <c r="R139">
        <v>1</v>
      </c>
      <c r="S139" s="31">
        <v>0</v>
      </c>
      <c r="T139" s="39">
        <v>0</v>
      </c>
      <c r="U139">
        <v>0</v>
      </c>
      <c r="V139">
        <v>0</v>
      </c>
      <c r="W139">
        <v>0</v>
      </c>
      <c r="X139" s="39">
        <v>0</v>
      </c>
      <c r="Y139">
        <v>0</v>
      </c>
      <c r="Z139" s="31">
        <v>0</v>
      </c>
      <c r="AA139">
        <v>8</v>
      </c>
      <c r="AB139" s="3">
        <f t="shared" si="8"/>
        <v>0</v>
      </c>
      <c r="AC139" t="str">
        <f>IF(AB139-S139&lt;0,"YES","NO")</f>
        <v>NO</v>
      </c>
      <c r="AD139">
        <f>IF(AC139="NO",0,AB139-S139)</f>
        <v>0</v>
      </c>
      <c r="AE139" s="43">
        <v>0.08</v>
      </c>
      <c r="AF139" s="3">
        <f t="shared" si="9"/>
        <v>0</v>
      </c>
      <c r="AG139" s="45">
        <f t="shared" si="10"/>
        <v>0</v>
      </c>
      <c r="AH139" s="55"/>
    </row>
    <row r="140" spans="1:34" x14ac:dyDescent="0.25">
      <c r="A140" t="s">
        <v>682</v>
      </c>
      <c r="B140" t="s">
        <v>683</v>
      </c>
      <c r="C140" t="s">
        <v>684</v>
      </c>
      <c r="D140" t="s">
        <v>685</v>
      </c>
      <c r="E140" t="s">
        <v>686</v>
      </c>
      <c r="F140" t="s">
        <v>687</v>
      </c>
      <c r="G140" t="s">
        <v>5</v>
      </c>
      <c r="H140" t="s">
        <v>65</v>
      </c>
      <c r="I140" t="s">
        <v>66</v>
      </c>
      <c r="J140" t="s">
        <v>67</v>
      </c>
      <c r="K140" t="s">
        <v>3</v>
      </c>
      <c r="L140" t="s">
        <v>4</v>
      </c>
      <c r="M140" t="s">
        <v>49</v>
      </c>
      <c r="N140" t="s">
        <v>688</v>
      </c>
      <c r="O140" s="31" t="s">
        <v>689</v>
      </c>
      <c r="P140">
        <v>220</v>
      </c>
      <c r="R140">
        <v>2</v>
      </c>
      <c r="S140" s="31">
        <v>150000</v>
      </c>
      <c r="T140" s="39">
        <v>160000</v>
      </c>
      <c r="U140">
        <v>20000</v>
      </c>
      <c r="V140">
        <v>16000</v>
      </c>
      <c r="W140">
        <v>0</v>
      </c>
      <c r="X140" s="39">
        <v>44800</v>
      </c>
      <c r="Y140">
        <v>0</v>
      </c>
      <c r="Z140" s="31">
        <v>124000</v>
      </c>
      <c r="AA140">
        <v>8</v>
      </c>
      <c r="AB140" s="3">
        <f t="shared" si="8"/>
        <v>124000</v>
      </c>
      <c r="AC140" t="str">
        <f>IF(AB140-S140&lt;0,"YES","NO")</f>
        <v>YES</v>
      </c>
      <c r="AD140">
        <f>IF(AC140="NO",0,AB140-S140)</f>
        <v>-26000</v>
      </c>
      <c r="AE140" s="43">
        <v>0.08</v>
      </c>
      <c r="AF140" s="3">
        <f t="shared" si="9"/>
        <v>-24074.074074074073</v>
      </c>
      <c r="AG140" s="45">
        <f t="shared" si="10"/>
        <v>-26481.481481481482</v>
      </c>
      <c r="AH140" s="55"/>
    </row>
    <row r="141" spans="1:34" x14ac:dyDescent="0.25">
      <c r="A141" t="s">
        <v>690</v>
      </c>
      <c r="B141" t="s">
        <v>691</v>
      </c>
      <c r="C141" t="s">
        <v>692</v>
      </c>
      <c r="D141" t="s">
        <v>693</v>
      </c>
      <c r="E141" t="s">
        <v>694</v>
      </c>
      <c r="F141" t="s">
        <v>695</v>
      </c>
      <c r="G141" t="s">
        <v>5</v>
      </c>
      <c r="H141" t="s">
        <v>61</v>
      </c>
      <c r="I141" t="s">
        <v>93</v>
      </c>
      <c r="J141" t="s">
        <v>94</v>
      </c>
      <c r="K141" t="s">
        <v>3</v>
      </c>
      <c r="L141" t="s">
        <v>4</v>
      </c>
      <c r="M141" t="s">
        <v>49</v>
      </c>
      <c r="N141" t="s">
        <v>696</v>
      </c>
      <c r="O141" s="31" t="s">
        <v>697</v>
      </c>
      <c r="P141">
        <v>20</v>
      </c>
      <c r="Q141" t="s">
        <v>86</v>
      </c>
      <c r="R141">
        <v>1</v>
      </c>
      <c r="S141" s="31">
        <v>0</v>
      </c>
      <c r="T141" s="39">
        <v>0</v>
      </c>
      <c r="U141">
        <v>0</v>
      </c>
      <c r="V141">
        <v>0</v>
      </c>
      <c r="W141">
        <v>0</v>
      </c>
      <c r="X141" s="39">
        <v>0</v>
      </c>
      <c r="Y141">
        <v>0</v>
      </c>
      <c r="Z141" s="31">
        <v>0</v>
      </c>
      <c r="AA141">
        <v>8</v>
      </c>
      <c r="AB141" s="3">
        <f t="shared" si="8"/>
        <v>0</v>
      </c>
      <c r="AC141" t="str">
        <f>IF(AB141-S141&lt;0,"YES","NO")</f>
        <v>NO</v>
      </c>
      <c r="AD141">
        <f>IF(AC141="NO",0,AB141-S141)</f>
        <v>0</v>
      </c>
      <c r="AE141" s="43">
        <v>0.08</v>
      </c>
      <c r="AF141" s="3">
        <f t="shared" si="9"/>
        <v>0</v>
      </c>
      <c r="AG141" s="45">
        <f t="shared" si="10"/>
        <v>0</v>
      </c>
      <c r="AH141" s="55"/>
    </row>
    <row r="142" spans="1:34" x14ac:dyDescent="0.25">
      <c r="A142" t="s">
        <v>690</v>
      </c>
      <c r="B142" t="s">
        <v>691</v>
      </c>
      <c r="C142" t="s">
        <v>692</v>
      </c>
      <c r="D142" t="s">
        <v>693</v>
      </c>
      <c r="E142" t="s">
        <v>694</v>
      </c>
      <c r="F142" t="s">
        <v>695</v>
      </c>
      <c r="G142" t="s">
        <v>5</v>
      </c>
      <c r="H142" t="s">
        <v>65</v>
      </c>
      <c r="I142" t="s">
        <v>100</v>
      </c>
      <c r="J142" t="s">
        <v>101</v>
      </c>
      <c r="K142" t="s">
        <v>3</v>
      </c>
      <c r="L142" t="s">
        <v>4</v>
      </c>
      <c r="M142" t="s">
        <v>49</v>
      </c>
      <c r="N142" t="s">
        <v>696</v>
      </c>
      <c r="O142" s="31" t="s">
        <v>697</v>
      </c>
      <c r="P142">
        <v>200</v>
      </c>
      <c r="R142">
        <v>3</v>
      </c>
      <c r="S142" s="31">
        <v>216000</v>
      </c>
      <c r="T142" s="39">
        <v>240000</v>
      </c>
      <c r="U142">
        <v>35000.01</v>
      </c>
      <c r="V142">
        <v>24000</v>
      </c>
      <c r="W142">
        <v>0</v>
      </c>
      <c r="X142" s="39">
        <v>71199.990000000005</v>
      </c>
      <c r="Y142">
        <v>0</v>
      </c>
      <c r="Z142" s="31">
        <v>180999.99</v>
      </c>
      <c r="AA142">
        <v>8</v>
      </c>
      <c r="AB142" s="3">
        <f t="shared" si="8"/>
        <v>180999.99</v>
      </c>
      <c r="AC142" t="str">
        <f>IF(AB142-S142&lt;0,"YES","NO")</f>
        <v>YES</v>
      </c>
      <c r="AD142">
        <f>IF(AC142="NO",0,AB142-S142)</f>
        <v>-35000.010000000009</v>
      </c>
      <c r="AE142" s="43">
        <v>0.08</v>
      </c>
      <c r="AF142" s="3">
        <f t="shared" si="9"/>
        <v>-32407.416666666672</v>
      </c>
      <c r="AG142" s="45">
        <f t="shared" si="10"/>
        <v>-35648.15833333334</v>
      </c>
      <c r="AH142" s="55"/>
    </row>
    <row r="143" spans="1:34" x14ac:dyDescent="0.25">
      <c r="A143" t="s">
        <v>698</v>
      </c>
      <c r="B143" t="s">
        <v>699</v>
      </c>
      <c r="C143" t="s">
        <v>700</v>
      </c>
      <c r="D143" t="s">
        <v>701</v>
      </c>
      <c r="E143" t="s">
        <v>702</v>
      </c>
      <c r="F143" t="s">
        <v>703</v>
      </c>
      <c r="G143" t="s">
        <v>5</v>
      </c>
      <c r="H143" t="s">
        <v>61</v>
      </c>
      <c r="I143" t="s">
        <v>84</v>
      </c>
      <c r="J143" t="s">
        <v>85</v>
      </c>
      <c r="K143" t="s">
        <v>3</v>
      </c>
      <c r="L143" t="s">
        <v>4</v>
      </c>
      <c r="M143" t="s">
        <v>49</v>
      </c>
      <c r="N143" t="s">
        <v>704</v>
      </c>
      <c r="O143" s="31" t="s">
        <v>705</v>
      </c>
      <c r="P143">
        <v>100</v>
      </c>
      <c r="Q143" t="s">
        <v>86</v>
      </c>
      <c r="R143">
        <v>1</v>
      </c>
      <c r="S143" s="31">
        <v>0</v>
      </c>
      <c r="T143" s="39">
        <v>0</v>
      </c>
      <c r="U143">
        <v>0</v>
      </c>
      <c r="V143">
        <v>0</v>
      </c>
      <c r="W143">
        <v>0</v>
      </c>
      <c r="X143" s="39">
        <v>0</v>
      </c>
      <c r="Y143">
        <v>0</v>
      </c>
      <c r="Z143" s="31">
        <v>0</v>
      </c>
      <c r="AA143">
        <v>8</v>
      </c>
      <c r="AB143" s="3">
        <f t="shared" si="8"/>
        <v>0</v>
      </c>
      <c r="AC143" t="str">
        <f>IF(AB143-S143&lt;0,"YES","NO")</f>
        <v>NO</v>
      </c>
      <c r="AD143">
        <f>IF(AC143="NO",0,AB143-S143)</f>
        <v>0</v>
      </c>
      <c r="AE143" s="43">
        <v>0.08</v>
      </c>
      <c r="AF143" s="3">
        <f t="shared" si="9"/>
        <v>0</v>
      </c>
      <c r="AG143" s="45">
        <f t="shared" si="10"/>
        <v>0</v>
      </c>
      <c r="AH143" s="55"/>
    </row>
    <row r="144" spans="1:34" x14ac:dyDescent="0.25">
      <c r="A144" t="s">
        <v>698</v>
      </c>
      <c r="B144" t="s">
        <v>699</v>
      </c>
      <c r="C144" t="s">
        <v>700</v>
      </c>
      <c r="D144" t="s">
        <v>701</v>
      </c>
      <c r="E144" t="s">
        <v>702</v>
      </c>
      <c r="F144" t="s">
        <v>703</v>
      </c>
      <c r="G144" t="s">
        <v>5</v>
      </c>
      <c r="H144" t="s">
        <v>65</v>
      </c>
      <c r="I144" t="s">
        <v>82</v>
      </c>
      <c r="J144" t="s">
        <v>83</v>
      </c>
      <c r="K144" t="s">
        <v>3</v>
      </c>
      <c r="L144" t="s">
        <v>4</v>
      </c>
      <c r="M144" t="s">
        <v>49</v>
      </c>
      <c r="N144" t="s">
        <v>704</v>
      </c>
      <c r="O144" s="31" t="s">
        <v>705</v>
      </c>
      <c r="P144">
        <v>220</v>
      </c>
      <c r="R144">
        <v>2</v>
      </c>
      <c r="S144" s="31">
        <v>150000</v>
      </c>
      <c r="T144" s="39">
        <v>160000</v>
      </c>
      <c r="U144">
        <v>20000</v>
      </c>
      <c r="V144">
        <v>16000</v>
      </c>
      <c r="W144">
        <v>0</v>
      </c>
      <c r="X144" s="39">
        <v>47281</v>
      </c>
      <c r="Y144">
        <v>0</v>
      </c>
      <c r="Z144" s="31">
        <v>124000</v>
      </c>
      <c r="AA144">
        <v>8</v>
      </c>
      <c r="AB144" s="3">
        <f t="shared" si="8"/>
        <v>124000</v>
      </c>
      <c r="AC144" t="str">
        <f>IF(AB144-S144&lt;0,"YES","NO")</f>
        <v>YES</v>
      </c>
      <c r="AD144">
        <f>IF(AC144="NO",0,AB144-S144)</f>
        <v>-26000</v>
      </c>
      <c r="AE144" s="43">
        <v>0.08</v>
      </c>
      <c r="AF144" s="3">
        <f t="shared" si="9"/>
        <v>-24074.074074074073</v>
      </c>
      <c r="AG144" s="45">
        <f t="shared" si="10"/>
        <v>-26481.481481481482</v>
      </c>
      <c r="AH144" s="55"/>
    </row>
    <row r="145" spans="1:34" x14ac:dyDescent="0.25">
      <c r="A145" t="s">
        <v>706</v>
      </c>
      <c r="B145" t="s">
        <v>707</v>
      </c>
      <c r="C145" t="s">
        <v>708</v>
      </c>
      <c r="D145" t="s">
        <v>709</v>
      </c>
      <c r="E145" t="s">
        <v>710</v>
      </c>
      <c r="F145" t="s">
        <v>711</v>
      </c>
      <c r="G145" t="s">
        <v>5</v>
      </c>
      <c r="H145" t="s">
        <v>61</v>
      </c>
      <c r="I145" t="s">
        <v>62</v>
      </c>
      <c r="J145" t="s">
        <v>63</v>
      </c>
      <c r="K145" t="s">
        <v>3</v>
      </c>
      <c r="L145" t="s">
        <v>4</v>
      </c>
      <c r="M145" t="s">
        <v>49</v>
      </c>
      <c r="N145" t="s">
        <v>712</v>
      </c>
      <c r="O145" s="31" t="s">
        <v>713</v>
      </c>
      <c r="P145">
        <v>20000</v>
      </c>
      <c r="Q145" t="s">
        <v>64</v>
      </c>
      <c r="R145">
        <v>1</v>
      </c>
      <c r="S145" s="31">
        <v>0</v>
      </c>
      <c r="T145" s="39">
        <v>0</v>
      </c>
      <c r="U145">
        <v>0</v>
      </c>
      <c r="V145">
        <v>0</v>
      </c>
      <c r="W145">
        <v>0</v>
      </c>
      <c r="X145" s="39">
        <v>0</v>
      </c>
      <c r="Y145">
        <v>0</v>
      </c>
      <c r="Z145" s="31">
        <v>0</v>
      </c>
      <c r="AA145">
        <v>8</v>
      </c>
      <c r="AB145" s="3">
        <f t="shared" si="8"/>
        <v>0</v>
      </c>
      <c r="AC145" t="str">
        <f>IF(AB145-S145&lt;0,"YES","NO")</f>
        <v>NO</v>
      </c>
      <c r="AD145">
        <f>IF(AC145="NO",0,AB145-S145)</f>
        <v>0</v>
      </c>
      <c r="AE145" s="43">
        <v>0.08</v>
      </c>
      <c r="AF145" s="3">
        <f t="shared" si="9"/>
        <v>0</v>
      </c>
      <c r="AG145" s="45">
        <f t="shared" si="10"/>
        <v>0</v>
      </c>
      <c r="AH145" s="55"/>
    </row>
    <row r="146" spans="1:34" x14ac:dyDescent="0.25">
      <c r="A146" t="s">
        <v>706</v>
      </c>
      <c r="B146" t="s">
        <v>707</v>
      </c>
      <c r="C146" t="s">
        <v>708</v>
      </c>
      <c r="D146" t="s">
        <v>709</v>
      </c>
      <c r="E146" t="s">
        <v>710</v>
      </c>
      <c r="F146" t="s">
        <v>711</v>
      </c>
      <c r="G146" t="s">
        <v>5</v>
      </c>
      <c r="H146" t="s">
        <v>61</v>
      </c>
      <c r="I146" t="s">
        <v>84</v>
      </c>
      <c r="J146" t="s">
        <v>85</v>
      </c>
      <c r="K146" t="s">
        <v>3</v>
      </c>
      <c r="L146" t="s">
        <v>4</v>
      </c>
      <c r="M146" t="s">
        <v>49</v>
      </c>
      <c r="N146" t="s">
        <v>712</v>
      </c>
      <c r="O146" s="31" t="s">
        <v>713</v>
      </c>
      <c r="P146">
        <v>100</v>
      </c>
      <c r="Q146" t="s">
        <v>86</v>
      </c>
      <c r="R146">
        <v>1</v>
      </c>
      <c r="S146" s="31">
        <v>0</v>
      </c>
      <c r="T146" s="39">
        <v>0</v>
      </c>
      <c r="U146">
        <v>0</v>
      </c>
      <c r="V146">
        <v>0</v>
      </c>
      <c r="W146">
        <v>0</v>
      </c>
      <c r="X146" s="39">
        <v>0</v>
      </c>
      <c r="Y146">
        <v>0</v>
      </c>
      <c r="Z146" s="31">
        <v>0</v>
      </c>
      <c r="AA146">
        <v>8</v>
      </c>
      <c r="AB146" s="3">
        <f t="shared" si="8"/>
        <v>0</v>
      </c>
      <c r="AC146" t="str">
        <f>IF(AB146-S146&lt;0,"YES","NO")</f>
        <v>NO</v>
      </c>
      <c r="AD146">
        <f>IF(AC146="NO",0,AB146-S146)</f>
        <v>0</v>
      </c>
      <c r="AE146" s="43">
        <v>0.08</v>
      </c>
      <c r="AF146" s="3">
        <f t="shared" si="9"/>
        <v>0</v>
      </c>
      <c r="AG146" s="45">
        <f t="shared" si="10"/>
        <v>0</v>
      </c>
      <c r="AH146" s="55"/>
    </row>
    <row r="147" spans="1:34" x14ac:dyDescent="0.25">
      <c r="A147" t="s">
        <v>706</v>
      </c>
      <c r="B147" t="s">
        <v>707</v>
      </c>
      <c r="C147" t="s">
        <v>708</v>
      </c>
      <c r="D147" t="s">
        <v>709</v>
      </c>
      <c r="E147" t="s">
        <v>710</v>
      </c>
      <c r="F147" t="s">
        <v>711</v>
      </c>
      <c r="G147" t="s">
        <v>5</v>
      </c>
      <c r="H147" t="s">
        <v>65</v>
      </c>
      <c r="I147" t="s">
        <v>71</v>
      </c>
      <c r="J147" t="s">
        <v>72</v>
      </c>
      <c r="K147" t="s">
        <v>3</v>
      </c>
      <c r="L147" t="s">
        <v>4</v>
      </c>
      <c r="M147" t="s">
        <v>49</v>
      </c>
      <c r="N147" t="s">
        <v>712</v>
      </c>
      <c r="O147" s="31" t="s">
        <v>713</v>
      </c>
      <c r="P147">
        <v>220</v>
      </c>
      <c r="Q147" t="s">
        <v>70</v>
      </c>
      <c r="R147">
        <v>2</v>
      </c>
      <c r="S147" s="31">
        <v>118000</v>
      </c>
      <c r="T147" s="39">
        <v>130000</v>
      </c>
      <c r="U147">
        <v>8965</v>
      </c>
      <c r="V147">
        <v>13000</v>
      </c>
      <c r="W147">
        <v>0</v>
      </c>
      <c r="X147" s="39">
        <v>25170</v>
      </c>
      <c r="Y147">
        <v>0</v>
      </c>
      <c r="Z147" s="31">
        <v>108035</v>
      </c>
      <c r="AA147">
        <v>8</v>
      </c>
      <c r="AB147" s="3">
        <f t="shared" si="8"/>
        <v>108035</v>
      </c>
      <c r="AC147" t="str">
        <f>IF(AB147-S147&lt;0,"YES","NO")</f>
        <v>YES</v>
      </c>
      <c r="AD147">
        <f>IF(AC147="NO",0,AB147-S147)</f>
        <v>-9965</v>
      </c>
      <c r="AE147" s="43">
        <v>0.08</v>
      </c>
      <c r="AF147" s="3">
        <f t="shared" si="9"/>
        <v>-9226.8518518518504</v>
      </c>
      <c r="AG147" s="45">
        <f t="shared" si="10"/>
        <v>-10149.537037037036</v>
      </c>
      <c r="AH147" s="55"/>
    </row>
    <row r="148" spans="1:34" x14ac:dyDescent="0.25">
      <c r="A148" t="s">
        <v>706</v>
      </c>
      <c r="B148" t="s">
        <v>707</v>
      </c>
      <c r="C148" t="s">
        <v>708</v>
      </c>
      <c r="D148" t="s">
        <v>709</v>
      </c>
      <c r="E148" t="s">
        <v>710</v>
      </c>
      <c r="F148" t="s">
        <v>711</v>
      </c>
      <c r="G148" t="s">
        <v>5</v>
      </c>
      <c r="H148" t="s">
        <v>65</v>
      </c>
      <c r="I148" t="s">
        <v>66</v>
      </c>
      <c r="J148" t="s">
        <v>67</v>
      </c>
      <c r="K148" t="s">
        <v>3</v>
      </c>
      <c r="L148" t="s">
        <v>4</v>
      </c>
      <c r="M148" t="s">
        <v>49</v>
      </c>
      <c r="N148" t="s">
        <v>712</v>
      </c>
      <c r="O148" s="31" t="s">
        <v>713</v>
      </c>
      <c r="P148">
        <v>220</v>
      </c>
      <c r="R148">
        <v>2</v>
      </c>
      <c r="S148" s="31">
        <v>150000</v>
      </c>
      <c r="T148" s="39">
        <v>160000</v>
      </c>
      <c r="U148">
        <v>11035</v>
      </c>
      <c r="V148">
        <v>16000</v>
      </c>
      <c r="W148">
        <v>0</v>
      </c>
      <c r="X148" s="39">
        <v>30980</v>
      </c>
      <c r="Y148">
        <v>0</v>
      </c>
      <c r="Z148" s="31">
        <v>132965</v>
      </c>
      <c r="AA148">
        <v>8</v>
      </c>
      <c r="AB148" s="3">
        <f t="shared" si="8"/>
        <v>132965</v>
      </c>
      <c r="AC148" t="str">
        <f>IF(AB148-S148&lt;0,"YES","NO")</f>
        <v>YES</v>
      </c>
      <c r="AD148">
        <f>IF(AC148="NO",0,AB148-S148)</f>
        <v>-17035</v>
      </c>
      <c r="AE148" s="43">
        <v>0.08</v>
      </c>
      <c r="AF148" s="3">
        <f t="shared" si="9"/>
        <v>-15773.148148148148</v>
      </c>
      <c r="AG148" s="45">
        <f t="shared" si="10"/>
        <v>-17350.462962962964</v>
      </c>
      <c r="AH148" s="55"/>
    </row>
    <row r="149" spans="1:34" x14ac:dyDescent="0.25">
      <c r="A149" t="s">
        <v>714</v>
      </c>
      <c r="B149" t="s">
        <v>715</v>
      </c>
      <c r="C149" t="s">
        <v>716</v>
      </c>
      <c r="D149" t="s">
        <v>717</v>
      </c>
      <c r="E149" t="s">
        <v>718</v>
      </c>
      <c r="F149" t="s">
        <v>719</v>
      </c>
      <c r="G149" t="s">
        <v>5</v>
      </c>
      <c r="H149" t="s">
        <v>61</v>
      </c>
      <c r="I149" t="s">
        <v>84</v>
      </c>
      <c r="J149" t="s">
        <v>85</v>
      </c>
      <c r="K149" t="s">
        <v>3</v>
      </c>
      <c r="L149" t="s">
        <v>4</v>
      </c>
      <c r="M149" t="s">
        <v>49</v>
      </c>
      <c r="N149" t="s">
        <v>720</v>
      </c>
      <c r="O149" s="31" t="s">
        <v>721</v>
      </c>
      <c r="P149">
        <v>100</v>
      </c>
      <c r="Q149" t="s">
        <v>86</v>
      </c>
      <c r="R149">
        <v>1</v>
      </c>
      <c r="S149" s="31">
        <v>0</v>
      </c>
      <c r="T149" s="39">
        <v>0</v>
      </c>
      <c r="U149">
        <v>0</v>
      </c>
      <c r="V149">
        <v>0</v>
      </c>
      <c r="W149">
        <v>0</v>
      </c>
      <c r="X149" s="39">
        <v>0</v>
      </c>
      <c r="Y149">
        <v>0</v>
      </c>
      <c r="Z149" s="31">
        <v>0</v>
      </c>
      <c r="AA149">
        <v>8</v>
      </c>
      <c r="AB149" s="3">
        <f t="shared" si="8"/>
        <v>0</v>
      </c>
      <c r="AC149" t="str">
        <f>IF(AB149-S149&lt;0,"YES","NO")</f>
        <v>NO</v>
      </c>
      <c r="AD149">
        <f>IF(AC149="NO",0,AB149-S149)</f>
        <v>0</v>
      </c>
      <c r="AE149" s="43">
        <v>0.08</v>
      </c>
      <c r="AF149" s="3">
        <f t="shared" si="9"/>
        <v>0</v>
      </c>
      <c r="AG149" s="45">
        <f t="shared" si="10"/>
        <v>0</v>
      </c>
      <c r="AH149" s="55"/>
    </row>
    <row r="150" spans="1:34" x14ac:dyDescent="0.25">
      <c r="A150" t="s">
        <v>714</v>
      </c>
      <c r="B150" t="s">
        <v>715</v>
      </c>
      <c r="C150" t="s">
        <v>716</v>
      </c>
      <c r="D150" t="s">
        <v>717</v>
      </c>
      <c r="E150" t="s">
        <v>718</v>
      </c>
      <c r="F150" t="s">
        <v>719</v>
      </c>
      <c r="G150" t="s">
        <v>5</v>
      </c>
      <c r="H150" t="s">
        <v>65</v>
      </c>
      <c r="I150" t="s">
        <v>66</v>
      </c>
      <c r="J150" t="s">
        <v>67</v>
      </c>
      <c r="K150" t="s">
        <v>3</v>
      </c>
      <c r="L150" t="s">
        <v>4</v>
      </c>
      <c r="M150" t="s">
        <v>49</v>
      </c>
      <c r="N150" t="s">
        <v>720</v>
      </c>
      <c r="O150" s="31" t="s">
        <v>721</v>
      </c>
      <c r="P150">
        <v>220</v>
      </c>
      <c r="R150">
        <v>3</v>
      </c>
      <c r="S150" s="31">
        <v>225000</v>
      </c>
      <c r="T150" s="39">
        <v>240000</v>
      </c>
      <c r="U150">
        <v>35000.01</v>
      </c>
      <c r="V150">
        <v>24000</v>
      </c>
      <c r="W150">
        <v>0</v>
      </c>
      <c r="X150" s="39">
        <v>71199.990000000005</v>
      </c>
      <c r="Y150">
        <v>0</v>
      </c>
      <c r="Z150" s="31">
        <v>180999.99</v>
      </c>
      <c r="AA150">
        <v>8</v>
      </c>
      <c r="AB150" s="3">
        <f t="shared" si="8"/>
        <v>180999.99</v>
      </c>
      <c r="AC150" t="str">
        <f>IF(AB150-S150&lt;0,"YES","NO")</f>
        <v>YES</v>
      </c>
      <c r="AD150">
        <f>IF(AC150="NO",0,AB150-S150)</f>
        <v>-44000.010000000009</v>
      </c>
      <c r="AE150" s="43">
        <v>0.08</v>
      </c>
      <c r="AF150" s="3">
        <f t="shared" si="9"/>
        <v>-40740.750000000007</v>
      </c>
      <c r="AG150" s="45">
        <f t="shared" si="10"/>
        <v>-44814.825000000012</v>
      </c>
      <c r="AH150" s="55"/>
    </row>
    <row r="151" spans="1:34" x14ac:dyDescent="0.25">
      <c r="A151" t="s">
        <v>722</v>
      </c>
      <c r="B151" t="s">
        <v>723</v>
      </c>
      <c r="C151" t="s">
        <v>724</v>
      </c>
      <c r="D151" t="s">
        <v>725</v>
      </c>
      <c r="E151" t="s">
        <v>726</v>
      </c>
      <c r="F151" t="s">
        <v>727</v>
      </c>
      <c r="G151" t="s">
        <v>5</v>
      </c>
      <c r="H151" t="s">
        <v>61</v>
      </c>
      <c r="I151" t="s">
        <v>84</v>
      </c>
      <c r="J151" t="s">
        <v>85</v>
      </c>
      <c r="K151" t="s">
        <v>3</v>
      </c>
      <c r="L151" t="s">
        <v>4</v>
      </c>
      <c r="M151" t="s">
        <v>49</v>
      </c>
      <c r="N151" t="s">
        <v>728</v>
      </c>
      <c r="O151" s="31" t="s">
        <v>729</v>
      </c>
      <c r="P151">
        <v>100</v>
      </c>
      <c r="Q151" t="s">
        <v>86</v>
      </c>
      <c r="R151">
        <v>1</v>
      </c>
      <c r="S151" s="31">
        <v>0</v>
      </c>
      <c r="T151" s="39">
        <v>0</v>
      </c>
      <c r="U151">
        <v>0</v>
      </c>
      <c r="V151">
        <v>0</v>
      </c>
      <c r="W151">
        <v>0</v>
      </c>
      <c r="X151" s="39">
        <v>0</v>
      </c>
      <c r="Y151">
        <v>0</v>
      </c>
      <c r="Z151" s="31">
        <v>0</v>
      </c>
      <c r="AA151">
        <v>8</v>
      </c>
      <c r="AB151" s="3">
        <f t="shared" si="8"/>
        <v>0</v>
      </c>
      <c r="AC151" t="str">
        <f>IF(AB151-S151&lt;0,"YES","NO")</f>
        <v>NO</v>
      </c>
      <c r="AD151">
        <f>IF(AC151="NO",0,AB151-S151)</f>
        <v>0</v>
      </c>
      <c r="AE151" s="43">
        <v>0.08</v>
      </c>
      <c r="AF151" s="3">
        <f t="shared" si="9"/>
        <v>0</v>
      </c>
      <c r="AG151" s="45">
        <f t="shared" si="10"/>
        <v>0</v>
      </c>
      <c r="AH151" s="55"/>
    </row>
    <row r="152" spans="1:34" x14ac:dyDescent="0.25">
      <c r="A152" t="s">
        <v>722</v>
      </c>
      <c r="B152" t="s">
        <v>723</v>
      </c>
      <c r="C152" t="s">
        <v>724</v>
      </c>
      <c r="D152" t="s">
        <v>725</v>
      </c>
      <c r="E152" t="s">
        <v>726</v>
      </c>
      <c r="F152" t="s">
        <v>727</v>
      </c>
      <c r="G152" t="s">
        <v>5</v>
      </c>
      <c r="H152" t="s">
        <v>65</v>
      </c>
      <c r="I152" t="s">
        <v>66</v>
      </c>
      <c r="J152" t="s">
        <v>67</v>
      </c>
      <c r="K152" t="s">
        <v>3</v>
      </c>
      <c r="L152" t="s">
        <v>4</v>
      </c>
      <c r="M152" t="s">
        <v>49</v>
      </c>
      <c r="N152" t="s">
        <v>728</v>
      </c>
      <c r="O152" s="31" t="s">
        <v>729</v>
      </c>
      <c r="P152">
        <v>220</v>
      </c>
      <c r="R152">
        <v>6</v>
      </c>
      <c r="S152" s="31">
        <v>450000</v>
      </c>
      <c r="T152" s="39">
        <v>480000</v>
      </c>
      <c r="U152">
        <v>75000</v>
      </c>
      <c r="V152">
        <v>48000</v>
      </c>
      <c r="W152">
        <v>0</v>
      </c>
      <c r="X152" s="39">
        <v>153540</v>
      </c>
      <c r="Y152">
        <v>0</v>
      </c>
      <c r="Z152" s="31">
        <v>357000</v>
      </c>
      <c r="AA152">
        <v>8</v>
      </c>
      <c r="AB152" s="3">
        <f t="shared" si="8"/>
        <v>357000</v>
      </c>
      <c r="AC152" t="str">
        <f>IF(AB152-S152&lt;0,"YES","NO")</f>
        <v>YES</v>
      </c>
      <c r="AD152">
        <f>IF(AC152="NO",0,AB152-S152)</f>
        <v>-93000</v>
      </c>
      <c r="AE152" s="43">
        <v>0.08</v>
      </c>
      <c r="AF152" s="3">
        <f t="shared" si="9"/>
        <v>-86111.111111111109</v>
      </c>
      <c r="AG152" s="45">
        <f t="shared" si="10"/>
        <v>-94722.222222222234</v>
      </c>
      <c r="AH152" s="55"/>
    </row>
    <row r="153" spans="1:34" x14ac:dyDescent="0.25">
      <c r="A153" t="s">
        <v>730</v>
      </c>
      <c r="B153" t="s">
        <v>731</v>
      </c>
      <c r="C153" t="s">
        <v>732</v>
      </c>
      <c r="D153" t="s">
        <v>733</v>
      </c>
      <c r="E153" t="s">
        <v>734</v>
      </c>
      <c r="F153" t="s">
        <v>735</v>
      </c>
      <c r="G153" t="s">
        <v>2</v>
      </c>
      <c r="H153" t="s">
        <v>61</v>
      </c>
      <c r="I153" t="s">
        <v>62</v>
      </c>
      <c r="J153" t="s">
        <v>63</v>
      </c>
      <c r="K153" t="s">
        <v>3</v>
      </c>
      <c r="L153" t="s">
        <v>4</v>
      </c>
      <c r="M153" t="s">
        <v>49</v>
      </c>
      <c r="N153" t="s">
        <v>736</v>
      </c>
      <c r="O153" s="31" t="s">
        <v>737</v>
      </c>
      <c r="P153">
        <v>20000</v>
      </c>
      <c r="Q153" t="s">
        <v>64</v>
      </c>
      <c r="R153">
        <v>1</v>
      </c>
      <c r="S153" s="31">
        <v>0</v>
      </c>
      <c r="T153" s="39">
        <v>500000</v>
      </c>
      <c r="U153">
        <v>0</v>
      </c>
      <c r="V153">
        <v>0</v>
      </c>
      <c r="W153">
        <v>0</v>
      </c>
      <c r="X153" s="39">
        <v>0</v>
      </c>
      <c r="Y153">
        <v>0</v>
      </c>
      <c r="Z153" s="31">
        <v>0</v>
      </c>
      <c r="AA153">
        <v>8</v>
      </c>
      <c r="AB153" s="3">
        <f t="shared" si="8"/>
        <v>0</v>
      </c>
      <c r="AC153" t="str">
        <f>IF(AB153-S153&lt;0,"YES","NO")</f>
        <v>NO</v>
      </c>
      <c r="AD153">
        <f>IF(AC153="NO",0,AB153-S153)</f>
        <v>0</v>
      </c>
      <c r="AE153" s="43">
        <v>0.08</v>
      </c>
      <c r="AF153" s="3">
        <f t="shared" si="9"/>
        <v>0</v>
      </c>
      <c r="AG153" s="45">
        <f t="shared" si="10"/>
        <v>0</v>
      </c>
      <c r="AH153" s="55"/>
    </row>
    <row r="154" spans="1:34" x14ac:dyDescent="0.25">
      <c r="A154" t="s">
        <v>730</v>
      </c>
      <c r="B154" t="s">
        <v>731</v>
      </c>
      <c r="C154" t="s">
        <v>732</v>
      </c>
      <c r="D154" t="s">
        <v>733</v>
      </c>
      <c r="E154" t="s">
        <v>734</v>
      </c>
      <c r="F154" t="s">
        <v>735</v>
      </c>
      <c r="G154" t="s">
        <v>2</v>
      </c>
      <c r="H154" t="s">
        <v>65</v>
      </c>
      <c r="I154" t="s">
        <v>68</v>
      </c>
      <c r="J154" t="s">
        <v>69</v>
      </c>
      <c r="K154" t="s">
        <v>3</v>
      </c>
      <c r="L154" t="s">
        <v>4</v>
      </c>
      <c r="M154" t="s">
        <v>49</v>
      </c>
      <c r="N154" t="s">
        <v>736</v>
      </c>
      <c r="O154" s="31" t="s">
        <v>737</v>
      </c>
      <c r="P154">
        <v>220</v>
      </c>
      <c r="Q154" t="s">
        <v>70</v>
      </c>
      <c r="R154">
        <v>1</v>
      </c>
      <c r="S154" s="31">
        <v>59000</v>
      </c>
      <c r="T154" s="39">
        <v>60000</v>
      </c>
      <c r="U154">
        <v>6666.67</v>
      </c>
      <c r="V154">
        <v>0</v>
      </c>
      <c r="W154">
        <v>0</v>
      </c>
      <c r="X154" s="39">
        <v>12000</v>
      </c>
      <c r="Y154">
        <v>0</v>
      </c>
      <c r="Z154" s="31">
        <v>53333.33</v>
      </c>
      <c r="AA154">
        <v>8</v>
      </c>
      <c r="AB154" s="3">
        <f t="shared" si="8"/>
        <v>53333.33</v>
      </c>
      <c r="AC154" t="str">
        <f>IF(AB154-S154&lt;0,"YES","NO")</f>
        <v>YES</v>
      </c>
      <c r="AD154">
        <f>IF(AC154="NO",0,AB154-S154)</f>
        <v>-5666.6699999999983</v>
      </c>
      <c r="AE154" s="43">
        <v>0.08</v>
      </c>
      <c r="AF154" s="3">
        <f t="shared" si="9"/>
        <v>-5246.9166666666652</v>
      </c>
      <c r="AG154" s="45">
        <f t="shared" si="10"/>
        <v>-5771.6083333333318</v>
      </c>
      <c r="AH154" s="55"/>
    </row>
    <row r="155" spans="1:34" x14ac:dyDescent="0.25">
      <c r="A155" t="s">
        <v>730</v>
      </c>
      <c r="B155" t="s">
        <v>731</v>
      </c>
      <c r="C155" t="s">
        <v>732</v>
      </c>
      <c r="D155" t="s">
        <v>733</v>
      </c>
      <c r="E155" t="s">
        <v>734</v>
      </c>
      <c r="F155" t="s">
        <v>735</v>
      </c>
      <c r="G155" t="s">
        <v>2</v>
      </c>
      <c r="H155" t="s">
        <v>65</v>
      </c>
      <c r="I155" t="s">
        <v>71</v>
      </c>
      <c r="J155" t="s">
        <v>72</v>
      </c>
      <c r="K155" t="s">
        <v>3</v>
      </c>
      <c r="L155" t="s">
        <v>4</v>
      </c>
      <c r="M155" t="s">
        <v>49</v>
      </c>
      <c r="N155" t="s">
        <v>736</v>
      </c>
      <c r="O155" s="31" t="s">
        <v>737</v>
      </c>
      <c r="P155">
        <v>220</v>
      </c>
      <c r="Q155" t="s">
        <v>70</v>
      </c>
      <c r="R155">
        <v>1</v>
      </c>
      <c r="S155" s="31">
        <v>59000</v>
      </c>
      <c r="T155" s="39">
        <v>60000</v>
      </c>
      <c r="U155">
        <v>6666.67</v>
      </c>
      <c r="V155">
        <v>0</v>
      </c>
      <c r="W155">
        <v>0</v>
      </c>
      <c r="X155" s="39">
        <v>12000</v>
      </c>
      <c r="Y155">
        <v>0</v>
      </c>
      <c r="Z155" s="31">
        <v>53333.33</v>
      </c>
      <c r="AA155">
        <v>8</v>
      </c>
      <c r="AB155" s="3">
        <f t="shared" si="8"/>
        <v>53333.33</v>
      </c>
      <c r="AC155" t="str">
        <f>IF(AB155-S155&lt;0,"YES","NO")</f>
        <v>YES</v>
      </c>
      <c r="AD155">
        <f>IF(AC155="NO",0,AB155-S155)</f>
        <v>-5666.6699999999983</v>
      </c>
      <c r="AE155" s="43">
        <v>0.08</v>
      </c>
      <c r="AF155" s="3">
        <f t="shared" si="9"/>
        <v>-5246.9166666666652</v>
      </c>
      <c r="AG155" s="45">
        <f t="shared" si="10"/>
        <v>-5771.6083333333318</v>
      </c>
      <c r="AH155" s="55"/>
    </row>
    <row r="156" spans="1:34" x14ac:dyDescent="0.25">
      <c r="A156" t="s">
        <v>730</v>
      </c>
      <c r="B156" t="s">
        <v>731</v>
      </c>
      <c r="C156" t="s">
        <v>732</v>
      </c>
      <c r="D156" t="s">
        <v>733</v>
      </c>
      <c r="E156" t="s">
        <v>734</v>
      </c>
      <c r="F156" t="s">
        <v>735</v>
      </c>
      <c r="G156" t="s">
        <v>2</v>
      </c>
      <c r="H156" t="s">
        <v>65</v>
      </c>
      <c r="I156" t="s">
        <v>73</v>
      </c>
      <c r="J156" t="s">
        <v>74</v>
      </c>
      <c r="K156" t="s">
        <v>3</v>
      </c>
      <c r="L156" t="s">
        <v>4</v>
      </c>
      <c r="M156" t="s">
        <v>49</v>
      </c>
      <c r="N156" t="s">
        <v>736</v>
      </c>
      <c r="O156" s="31" t="s">
        <v>737</v>
      </c>
      <c r="P156">
        <v>220</v>
      </c>
      <c r="Q156" t="s">
        <v>70</v>
      </c>
      <c r="R156">
        <v>1</v>
      </c>
      <c r="S156" s="31">
        <v>59000</v>
      </c>
      <c r="T156" s="39">
        <v>60000</v>
      </c>
      <c r="U156">
        <v>6666.67</v>
      </c>
      <c r="V156">
        <v>0</v>
      </c>
      <c r="W156">
        <v>0</v>
      </c>
      <c r="X156" s="39">
        <v>12000</v>
      </c>
      <c r="Y156">
        <v>0</v>
      </c>
      <c r="Z156" s="31">
        <v>53333.33</v>
      </c>
      <c r="AA156">
        <v>8</v>
      </c>
      <c r="AB156" s="3">
        <f t="shared" si="8"/>
        <v>53333.33</v>
      </c>
      <c r="AC156" t="str">
        <f>IF(AB156-S156&lt;0,"YES","NO")</f>
        <v>YES</v>
      </c>
      <c r="AD156">
        <f>IF(AC156="NO",0,AB156-S156)</f>
        <v>-5666.6699999999983</v>
      </c>
      <c r="AE156" s="43">
        <v>0.08</v>
      </c>
      <c r="AF156" s="3">
        <f t="shared" si="9"/>
        <v>-5246.9166666666652</v>
      </c>
      <c r="AG156" s="45">
        <f t="shared" si="10"/>
        <v>-5771.6083333333318</v>
      </c>
      <c r="AH156" s="55"/>
    </row>
    <row r="157" spans="1:34" x14ac:dyDescent="0.25">
      <c r="A157" t="s">
        <v>738</v>
      </c>
      <c r="B157" t="s">
        <v>739</v>
      </c>
      <c r="C157" t="s">
        <v>740</v>
      </c>
      <c r="D157" t="s">
        <v>741</v>
      </c>
      <c r="E157" t="s">
        <v>742</v>
      </c>
      <c r="F157" t="s">
        <v>743</v>
      </c>
      <c r="G157" t="s">
        <v>5</v>
      </c>
      <c r="H157" t="s">
        <v>61</v>
      </c>
      <c r="I157" t="s">
        <v>84</v>
      </c>
      <c r="J157" t="s">
        <v>85</v>
      </c>
      <c r="K157" t="s">
        <v>3</v>
      </c>
      <c r="L157" t="s">
        <v>4</v>
      </c>
      <c r="M157" t="s">
        <v>49</v>
      </c>
      <c r="N157" t="s">
        <v>744</v>
      </c>
      <c r="O157" s="31" t="s">
        <v>745</v>
      </c>
      <c r="P157">
        <v>100</v>
      </c>
      <c r="Q157" t="s">
        <v>86</v>
      </c>
      <c r="R157">
        <v>1</v>
      </c>
      <c r="S157" s="31">
        <v>0</v>
      </c>
      <c r="T157" s="39">
        <v>0</v>
      </c>
      <c r="U157">
        <v>0</v>
      </c>
      <c r="V157">
        <v>0</v>
      </c>
      <c r="W157">
        <v>0</v>
      </c>
      <c r="X157" s="39">
        <v>0</v>
      </c>
      <c r="Y157">
        <v>0</v>
      </c>
      <c r="Z157" s="31">
        <v>0</v>
      </c>
      <c r="AA157">
        <v>8</v>
      </c>
      <c r="AB157" s="3">
        <f t="shared" si="8"/>
        <v>0</v>
      </c>
      <c r="AC157" t="str">
        <f>IF(AB157-S157&lt;0,"YES","NO")</f>
        <v>NO</v>
      </c>
      <c r="AD157">
        <f>IF(AC157="NO",0,AB157-S157)</f>
        <v>0</v>
      </c>
      <c r="AE157" s="43">
        <v>0.08</v>
      </c>
      <c r="AF157" s="3">
        <f t="shared" si="9"/>
        <v>0</v>
      </c>
      <c r="AG157" s="45">
        <f t="shared" si="10"/>
        <v>0</v>
      </c>
      <c r="AH157" s="55"/>
    </row>
    <row r="158" spans="1:34" x14ac:dyDescent="0.25">
      <c r="A158" t="s">
        <v>738</v>
      </c>
      <c r="B158" t="s">
        <v>739</v>
      </c>
      <c r="C158" t="s">
        <v>740</v>
      </c>
      <c r="D158" t="s">
        <v>741</v>
      </c>
      <c r="E158" t="s">
        <v>742</v>
      </c>
      <c r="F158" t="s">
        <v>743</v>
      </c>
      <c r="G158" t="s">
        <v>5</v>
      </c>
      <c r="H158" t="s">
        <v>65</v>
      </c>
      <c r="I158" t="s">
        <v>66</v>
      </c>
      <c r="J158" t="s">
        <v>67</v>
      </c>
      <c r="K158" t="s">
        <v>3</v>
      </c>
      <c r="L158" t="s">
        <v>4</v>
      </c>
      <c r="M158" t="s">
        <v>49</v>
      </c>
      <c r="N158" t="s">
        <v>744</v>
      </c>
      <c r="O158" s="31" t="s">
        <v>745</v>
      </c>
      <c r="P158">
        <v>220</v>
      </c>
      <c r="R158">
        <v>3</v>
      </c>
      <c r="S158" s="31">
        <v>225000</v>
      </c>
      <c r="T158" s="39">
        <v>240000</v>
      </c>
      <c r="U158">
        <v>35000.01</v>
      </c>
      <c r="V158">
        <v>24000</v>
      </c>
      <c r="W158">
        <v>0</v>
      </c>
      <c r="X158" s="39">
        <v>62150.01</v>
      </c>
      <c r="Y158">
        <v>0</v>
      </c>
      <c r="Z158" s="31">
        <v>180999.99</v>
      </c>
      <c r="AA158">
        <v>8</v>
      </c>
      <c r="AB158" s="3">
        <f t="shared" si="8"/>
        <v>180999.99</v>
      </c>
      <c r="AC158" t="str">
        <f>IF(AB158-S158&lt;0,"YES","NO")</f>
        <v>YES</v>
      </c>
      <c r="AD158">
        <f>IF(AC158="NO",0,AB158-S158)</f>
        <v>-44000.010000000009</v>
      </c>
      <c r="AE158" s="43">
        <v>0.08</v>
      </c>
      <c r="AF158" s="3">
        <f t="shared" si="9"/>
        <v>-40740.750000000007</v>
      </c>
      <c r="AG158" s="45">
        <f t="shared" si="10"/>
        <v>-44814.825000000012</v>
      </c>
      <c r="AH158" s="55"/>
    </row>
    <row r="159" spans="1:34" x14ac:dyDescent="0.25">
      <c r="A159" t="s">
        <v>746</v>
      </c>
      <c r="B159" t="s">
        <v>747</v>
      </c>
      <c r="C159" t="s">
        <v>748</v>
      </c>
      <c r="D159" t="s">
        <v>749</v>
      </c>
      <c r="E159" t="s">
        <v>750</v>
      </c>
      <c r="F159" t="s">
        <v>751</v>
      </c>
      <c r="G159" t="s">
        <v>5</v>
      </c>
      <c r="H159" t="s">
        <v>61</v>
      </c>
      <c r="I159" t="s">
        <v>84</v>
      </c>
      <c r="J159" t="s">
        <v>85</v>
      </c>
      <c r="K159" t="s">
        <v>3</v>
      </c>
      <c r="L159" t="s">
        <v>4</v>
      </c>
      <c r="M159" t="s">
        <v>49</v>
      </c>
      <c r="N159" t="s">
        <v>752</v>
      </c>
      <c r="O159" s="31" t="s">
        <v>753</v>
      </c>
      <c r="P159">
        <v>100</v>
      </c>
      <c r="Q159" t="s">
        <v>86</v>
      </c>
      <c r="R159">
        <v>1</v>
      </c>
      <c r="S159" s="31">
        <v>0</v>
      </c>
      <c r="T159" s="39">
        <v>0</v>
      </c>
      <c r="U159">
        <v>0</v>
      </c>
      <c r="V159">
        <v>0</v>
      </c>
      <c r="W159">
        <v>0</v>
      </c>
      <c r="X159" s="39">
        <v>0</v>
      </c>
      <c r="Y159">
        <v>0</v>
      </c>
      <c r="Z159" s="31">
        <v>0</v>
      </c>
      <c r="AA159">
        <v>8</v>
      </c>
      <c r="AB159" s="3">
        <f t="shared" si="8"/>
        <v>0</v>
      </c>
      <c r="AC159" t="str">
        <f>IF(AB159-S159&lt;0,"YES","NO")</f>
        <v>NO</v>
      </c>
      <c r="AD159">
        <f>IF(AC159="NO",0,AB159-S159)</f>
        <v>0</v>
      </c>
      <c r="AE159" s="43">
        <v>0.08</v>
      </c>
      <c r="AF159" s="3">
        <f t="shared" si="9"/>
        <v>0</v>
      </c>
      <c r="AG159" s="45">
        <f t="shared" si="10"/>
        <v>0</v>
      </c>
      <c r="AH159" s="55"/>
    </row>
    <row r="160" spans="1:34" x14ac:dyDescent="0.25">
      <c r="A160" t="s">
        <v>746</v>
      </c>
      <c r="B160" t="s">
        <v>747</v>
      </c>
      <c r="C160" t="s">
        <v>748</v>
      </c>
      <c r="D160" t="s">
        <v>749</v>
      </c>
      <c r="E160" t="s">
        <v>750</v>
      </c>
      <c r="F160" t="s">
        <v>751</v>
      </c>
      <c r="G160" t="s">
        <v>5</v>
      </c>
      <c r="H160" t="s">
        <v>65</v>
      </c>
      <c r="I160" t="s">
        <v>66</v>
      </c>
      <c r="J160" t="s">
        <v>67</v>
      </c>
      <c r="K160" t="s">
        <v>3</v>
      </c>
      <c r="L160" t="s">
        <v>4</v>
      </c>
      <c r="M160" t="s">
        <v>49</v>
      </c>
      <c r="N160" t="s">
        <v>752</v>
      </c>
      <c r="O160" s="31" t="s">
        <v>753</v>
      </c>
      <c r="P160">
        <v>220</v>
      </c>
      <c r="R160">
        <v>6</v>
      </c>
      <c r="S160" s="31">
        <v>450000</v>
      </c>
      <c r="T160" s="39">
        <v>480000</v>
      </c>
      <c r="U160">
        <v>75000</v>
      </c>
      <c r="V160">
        <v>48000</v>
      </c>
      <c r="W160">
        <v>0</v>
      </c>
      <c r="X160" s="39">
        <v>153540</v>
      </c>
      <c r="Y160">
        <v>0</v>
      </c>
      <c r="Z160" s="31">
        <v>357000</v>
      </c>
      <c r="AA160">
        <v>8</v>
      </c>
      <c r="AB160" s="3">
        <f t="shared" si="8"/>
        <v>357000</v>
      </c>
      <c r="AC160" t="str">
        <f>IF(AB160-S160&lt;0,"YES","NO")</f>
        <v>YES</v>
      </c>
      <c r="AD160">
        <f>IF(AC160="NO",0,AB160-S160)</f>
        <v>-93000</v>
      </c>
      <c r="AE160" s="43">
        <v>0.08</v>
      </c>
      <c r="AF160" s="3">
        <f t="shared" si="9"/>
        <v>-86111.111111111109</v>
      </c>
      <c r="AG160" s="45">
        <f t="shared" si="10"/>
        <v>-94722.222222222234</v>
      </c>
      <c r="AH160" s="55"/>
    </row>
    <row r="161" spans="1:34" x14ac:dyDescent="0.25">
      <c r="A161" t="s">
        <v>754</v>
      </c>
      <c r="B161" t="s">
        <v>755</v>
      </c>
      <c r="C161" t="s">
        <v>756</v>
      </c>
      <c r="D161" t="s">
        <v>757</v>
      </c>
      <c r="E161" t="s">
        <v>758</v>
      </c>
      <c r="F161" t="s">
        <v>759</v>
      </c>
      <c r="G161" t="s">
        <v>5</v>
      </c>
      <c r="H161" t="s">
        <v>61</v>
      </c>
      <c r="I161" t="s">
        <v>84</v>
      </c>
      <c r="J161" t="s">
        <v>85</v>
      </c>
      <c r="K161" t="s">
        <v>3</v>
      </c>
      <c r="L161" t="s">
        <v>4</v>
      </c>
      <c r="M161" t="s">
        <v>49</v>
      </c>
      <c r="N161" t="s">
        <v>760</v>
      </c>
      <c r="O161" s="31" t="s">
        <v>761</v>
      </c>
      <c r="P161">
        <v>100</v>
      </c>
      <c r="Q161" t="s">
        <v>86</v>
      </c>
      <c r="R161">
        <v>1</v>
      </c>
      <c r="S161" s="31">
        <v>0</v>
      </c>
      <c r="T161" s="39">
        <v>0</v>
      </c>
      <c r="U161">
        <v>0</v>
      </c>
      <c r="V161">
        <v>0</v>
      </c>
      <c r="W161">
        <v>0</v>
      </c>
      <c r="X161" s="39">
        <v>0</v>
      </c>
      <c r="Y161">
        <v>0</v>
      </c>
      <c r="Z161" s="31">
        <v>0</v>
      </c>
      <c r="AA161">
        <v>8</v>
      </c>
      <c r="AB161" s="3">
        <f t="shared" si="8"/>
        <v>0</v>
      </c>
      <c r="AC161" t="str">
        <f>IF(AB161-S161&lt;0,"YES","NO")</f>
        <v>NO</v>
      </c>
      <c r="AD161">
        <f>IF(AC161="NO",0,AB161-S161)</f>
        <v>0</v>
      </c>
      <c r="AE161" s="43">
        <v>0.08</v>
      </c>
      <c r="AF161" s="3">
        <f t="shared" si="9"/>
        <v>0</v>
      </c>
      <c r="AG161" s="45">
        <f t="shared" si="10"/>
        <v>0</v>
      </c>
      <c r="AH161" s="55"/>
    </row>
    <row r="162" spans="1:34" x14ac:dyDescent="0.25">
      <c r="A162" t="s">
        <v>754</v>
      </c>
      <c r="B162" t="s">
        <v>755</v>
      </c>
      <c r="C162" t="s">
        <v>756</v>
      </c>
      <c r="D162" t="s">
        <v>757</v>
      </c>
      <c r="E162" t="s">
        <v>758</v>
      </c>
      <c r="F162" t="s">
        <v>759</v>
      </c>
      <c r="G162" t="s">
        <v>5</v>
      </c>
      <c r="H162" t="s">
        <v>65</v>
      </c>
      <c r="I162" t="s">
        <v>66</v>
      </c>
      <c r="J162" t="s">
        <v>67</v>
      </c>
      <c r="K162" t="s">
        <v>3</v>
      </c>
      <c r="L162" t="s">
        <v>4</v>
      </c>
      <c r="M162" t="s">
        <v>49</v>
      </c>
      <c r="N162" t="s">
        <v>760</v>
      </c>
      <c r="O162" s="31" t="s">
        <v>761</v>
      </c>
      <c r="P162">
        <v>220</v>
      </c>
      <c r="R162">
        <v>2</v>
      </c>
      <c r="S162" s="31">
        <v>150000</v>
      </c>
      <c r="T162" s="39">
        <v>160000</v>
      </c>
      <c r="U162">
        <v>25000</v>
      </c>
      <c r="V162">
        <v>16000</v>
      </c>
      <c r="W162">
        <v>0</v>
      </c>
      <c r="X162" s="39">
        <v>51180</v>
      </c>
      <c r="Y162">
        <v>0</v>
      </c>
      <c r="Z162" s="31">
        <v>119000</v>
      </c>
      <c r="AA162">
        <v>8</v>
      </c>
      <c r="AB162" s="3">
        <f t="shared" si="8"/>
        <v>119000</v>
      </c>
      <c r="AC162" t="str">
        <f>IF(AB162-S162&lt;0,"YES","NO")</f>
        <v>YES</v>
      </c>
      <c r="AD162">
        <f>IF(AC162="NO",0,AB162-S162)</f>
        <v>-31000</v>
      </c>
      <c r="AE162" s="43">
        <v>0.08</v>
      </c>
      <c r="AF162" s="3">
        <f t="shared" si="9"/>
        <v>-28703.703703703701</v>
      </c>
      <c r="AG162" s="45">
        <f t="shared" si="10"/>
        <v>-31574.074074074073</v>
      </c>
      <c r="AH162" s="55"/>
    </row>
    <row r="163" spans="1:34" x14ac:dyDescent="0.25">
      <c r="A163" t="s">
        <v>754</v>
      </c>
      <c r="B163" t="s">
        <v>755</v>
      </c>
      <c r="C163" t="s">
        <v>756</v>
      </c>
      <c r="D163" t="s">
        <v>757</v>
      </c>
      <c r="E163" t="s">
        <v>758</v>
      </c>
      <c r="F163" t="s">
        <v>759</v>
      </c>
      <c r="G163" t="s">
        <v>5</v>
      </c>
      <c r="H163" t="s">
        <v>65</v>
      </c>
      <c r="I163" t="s">
        <v>78</v>
      </c>
      <c r="J163" t="s">
        <v>79</v>
      </c>
      <c r="K163" t="s">
        <v>3</v>
      </c>
      <c r="L163" t="s">
        <v>4</v>
      </c>
      <c r="M163" t="s">
        <v>49</v>
      </c>
      <c r="N163" t="s">
        <v>760</v>
      </c>
      <c r="O163" s="31" t="s">
        <v>761</v>
      </c>
      <c r="P163">
        <v>220</v>
      </c>
      <c r="R163">
        <v>2</v>
      </c>
      <c r="S163" s="31">
        <v>150000</v>
      </c>
      <c r="T163" s="39">
        <v>160000</v>
      </c>
      <c r="U163">
        <v>25000</v>
      </c>
      <c r="V163">
        <v>16000</v>
      </c>
      <c r="W163">
        <v>0</v>
      </c>
      <c r="X163" s="39">
        <v>51180</v>
      </c>
      <c r="Y163">
        <v>0</v>
      </c>
      <c r="Z163" s="31">
        <v>119000</v>
      </c>
      <c r="AA163">
        <v>8</v>
      </c>
      <c r="AB163" s="3">
        <f t="shared" si="8"/>
        <v>119000</v>
      </c>
      <c r="AC163" t="str">
        <f>IF(AB163-S163&lt;0,"YES","NO")</f>
        <v>YES</v>
      </c>
      <c r="AD163">
        <f>IF(AC163="NO",0,AB163-S163)</f>
        <v>-31000</v>
      </c>
      <c r="AE163" s="43">
        <v>0.08</v>
      </c>
      <c r="AF163" s="3">
        <f t="shared" si="9"/>
        <v>-28703.703703703701</v>
      </c>
      <c r="AG163" s="45">
        <f t="shared" si="10"/>
        <v>-31574.074074074073</v>
      </c>
      <c r="AH163" s="55"/>
    </row>
    <row r="164" spans="1:34" x14ac:dyDescent="0.25">
      <c r="A164" t="s">
        <v>754</v>
      </c>
      <c r="B164" t="s">
        <v>755</v>
      </c>
      <c r="C164" t="s">
        <v>756</v>
      </c>
      <c r="D164" t="s">
        <v>757</v>
      </c>
      <c r="E164" t="s">
        <v>758</v>
      </c>
      <c r="F164" t="s">
        <v>759</v>
      </c>
      <c r="G164" t="s">
        <v>5</v>
      </c>
      <c r="H164" t="s">
        <v>65</v>
      </c>
      <c r="I164" t="s">
        <v>80</v>
      </c>
      <c r="J164" t="s">
        <v>81</v>
      </c>
      <c r="K164" t="s">
        <v>3</v>
      </c>
      <c r="L164" t="s">
        <v>4</v>
      </c>
      <c r="M164" t="s">
        <v>49</v>
      </c>
      <c r="N164" t="s">
        <v>760</v>
      </c>
      <c r="O164" s="31" t="s">
        <v>761</v>
      </c>
      <c r="P164">
        <v>220</v>
      </c>
      <c r="R164">
        <v>2</v>
      </c>
      <c r="S164" s="31">
        <v>150000</v>
      </c>
      <c r="T164" s="39">
        <v>160000</v>
      </c>
      <c r="U164">
        <v>25000</v>
      </c>
      <c r="V164">
        <v>16000</v>
      </c>
      <c r="W164">
        <v>0</v>
      </c>
      <c r="X164" s="39">
        <v>51180</v>
      </c>
      <c r="Y164">
        <v>0</v>
      </c>
      <c r="Z164" s="31">
        <v>119000</v>
      </c>
      <c r="AA164">
        <v>8</v>
      </c>
      <c r="AB164" s="3">
        <f t="shared" si="8"/>
        <v>119000</v>
      </c>
      <c r="AC164" t="str">
        <f>IF(AB164-S164&lt;0,"YES","NO")</f>
        <v>YES</v>
      </c>
      <c r="AD164">
        <f>IF(AC164="NO",0,AB164-S164)</f>
        <v>-31000</v>
      </c>
      <c r="AE164" s="43">
        <v>0.08</v>
      </c>
      <c r="AF164" s="3">
        <f t="shared" si="9"/>
        <v>-28703.703703703701</v>
      </c>
      <c r="AG164" s="45">
        <f t="shared" si="10"/>
        <v>-31574.074074074073</v>
      </c>
      <c r="AH164" s="55"/>
    </row>
    <row r="165" spans="1:34" x14ac:dyDescent="0.25">
      <c r="A165" t="s">
        <v>762</v>
      </c>
      <c r="B165" t="s">
        <v>763</v>
      </c>
      <c r="C165" t="s">
        <v>764</v>
      </c>
      <c r="D165" t="s">
        <v>765</v>
      </c>
      <c r="E165" t="s">
        <v>766</v>
      </c>
      <c r="F165" t="s">
        <v>767</v>
      </c>
      <c r="G165" t="s">
        <v>5</v>
      </c>
      <c r="H165" t="s">
        <v>61</v>
      </c>
      <c r="I165" t="s">
        <v>62</v>
      </c>
      <c r="J165" t="s">
        <v>63</v>
      </c>
      <c r="K165" t="s">
        <v>3</v>
      </c>
      <c r="L165" t="s">
        <v>4</v>
      </c>
      <c r="M165" t="s">
        <v>49</v>
      </c>
      <c r="N165" t="s">
        <v>768</v>
      </c>
      <c r="O165" s="31" t="s">
        <v>769</v>
      </c>
      <c r="P165">
        <v>20000</v>
      </c>
      <c r="Q165" t="s">
        <v>64</v>
      </c>
      <c r="R165">
        <v>1</v>
      </c>
      <c r="S165" s="31">
        <v>0</v>
      </c>
      <c r="T165" s="39">
        <v>0</v>
      </c>
      <c r="U165">
        <v>0</v>
      </c>
      <c r="V165">
        <v>0</v>
      </c>
      <c r="W165">
        <v>0</v>
      </c>
      <c r="X165" s="39">
        <v>0</v>
      </c>
      <c r="Y165">
        <v>0</v>
      </c>
      <c r="Z165" s="31">
        <v>0</v>
      </c>
      <c r="AA165">
        <v>8</v>
      </c>
      <c r="AB165" s="3">
        <f t="shared" si="8"/>
        <v>0</v>
      </c>
      <c r="AC165" t="str">
        <f>IF(AB165-S165&lt;0,"YES","NO")</f>
        <v>NO</v>
      </c>
      <c r="AD165">
        <f>IF(AC165="NO",0,AB165-S165)</f>
        <v>0</v>
      </c>
      <c r="AE165" s="43">
        <v>0.08</v>
      </c>
      <c r="AF165" s="3">
        <f t="shared" si="9"/>
        <v>0</v>
      </c>
      <c r="AG165" s="45">
        <f t="shared" si="10"/>
        <v>0</v>
      </c>
      <c r="AH165" s="55"/>
    </row>
    <row r="166" spans="1:34" x14ac:dyDescent="0.25">
      <c r="A166" t="s">
        <v>762</v>
      </c>
      <c r="B166" t="s">
        <v>763</v>
      </c>
      <c r="C166" t="s">
        <v>764</v>
      </c>
      <c r="D166" t="s">
        <v>765</v>
      </c>
      <c r="E166" t="s">
        <v>766</v>
      </c>
      <c r="F166" t="s">
        <v>767</v>
      </c>
      <c r="G166" t="s">
        <v>5</v>
      </c>
      <c r="H166" t="s">
        <v>65</v>
      </c>
      <c r="I166" t="s">
        <v>95</v>
      </c>
      <c r="J166" t="s">
        <v>96</v>
      </c>
      <c r="K166" t="s">
        <v>3</v>
      </c>
      <c r="L166" t="s">
        <v>4</v>
      </c>
      <c r="M166" t="s">
        <v>49</v>
      </c>
      <c r="N166" t="s">
        <v>768</v>
      </c>
      <c r="O166" s="31" t="s">
        <v>769</v>
      </c>
      <c r="P166">
        <v>200</v>
      </c>
      <c r="R166">
        <v>6</v>
      </c>
      <c r="S166" s="31">
        <v>432000</v>
      </c>
      <c r="T166" s="39">
        <v>480000</v>
      </c>
      <c r="U166">
        <v>75000</v>
      </c>
      <c r="V166">
        <v>48000</v>
      </c>
      <c r="W166">
        <v>0</v>
      </c>
      <c r="X166" s="39">
        <v>153540</v>
      </c>
      <c r="Y166">
        <v>0</v>
      </c>
      <c r="Z166" s="31">
        <v>357000</v>
      </c>
      <c r="AA166">
        <v>8</v>
      </c>
      <c r="AB166" s="3">
        <f t="shared" si="8"/>
        <v>357000</v>
      </c>
      <c r="AC166" t="str">
        <f>IF(AB166-S166&lt;0,"YES","NO")</f>
        <v>YES</v>
      </c>
      <c r="AD166">
        <f>IF(AC166="NO",0,AB166-S166)</f>
        <v>-75000</v>
      </c>
      <c r="AE166" s="43">
        <v>0.08</v>
      </c>
      <c r="AF166" s="3">
        <f t="shared" si="9"/>
        <v>-69444.444444444438</v>
      </c>
      <c r="AG166" s="45">
        <f t="shared" si="10"/>
        <v>-76388.888888888891</v>
      </c>
      <c r="AH166" s="55"/>
    </row>
    <row r="167" spans="1:34" x14ac:dyDescent="0.25">
      <c r="A167" t="s">
        <v>770</v>
      </c>
      <c r="B167" t="s">
        <v>771</v>
      </c>
      <c r="C167" t="s">
        <v>772</v>
      </c>
      <c r="D167" t="s">
        <v>773</v>
      </c>
      <c r="E167" t="s">
        <v>774</v>
      </c>
      <c r="F167" t="s">
        <v>775</v>
      </c>
      <c r="G167" t="s">
        <v>5</v>
      </c>
      <c r="H167" t="s">
        <v>61</v>
      </c>
      <c r="I167" t="s">
        <v>84</v>
      </c>
      <c r="J167" t="s">
        <v>85</v>
      </c>
      <c r="K167" t="s">
        <v>3</v>
      </c>
      <c r="L167" t="s">
        <v>4</v>
      </c>
      <c r="M167" t="s">
        <v>49</v>
      </c>
      <c r="N167" t="s">
        <v>776</v>
      </c>
      <c r="O167" s="31" t="s">
        <v>777</v>
      </c>
      <c r="P167">
        <v>100</v>
      </c>
      <c r="Q167" t="s">
        <v>86</v>
      </c>
      <c r="R167">
        <v>1</v>
      </c>
      <c r="S167" s="31">
        <v>0</v>
      </c>
      <c r="T167" s="39">
        <v>0</v>
      </c>
      <c r="U167">
        <v>0</v>
      </c>
      <c r="V167">
        <v>0</v>
      </c>
      <c r="W167">
        <v>0</v>
      </c>
      <c r="X167" s="39">
        <v>0</v>
      </c>
      <c r="Y167">
        <v>0</v>
      </c>
      <c r="Z167" s="31">
        <v>0</v>
      </c>
      <c r="AA167">
        <v>8</v>
      </c>
      <c r="AB167" s="3">
        <f t="shared" si="8"/>
        <v>0</v>
      </c>
      <c r="AC167" t="str">
        <f>IF(AB167-S167&lt;0,"YES","NO")</f>
        <v>NO</v>
      </c>
      <c r="AD167">
        <f>IF(AC167="NO",0,AB167-S167)</f>
        <v>0</v>
      </c>
      <c r="AE167" s="43">
        <v>0.08</v>
      </c>
      <c r="AF167" s="3">
        <f t="shared" si="9"/>
        <v>0</v>
      </c>
      <c r="AG167" s="45">
        <f t="shared" si="10"/>
        <v>0</v>
      </c>
      <c r="AH167" s="55"/>
    </row>
    <row r="168" spans="1:34" x14ac:dyDescent="0.25">
      <c r="A168" t="s">
        <v>770</v>
      </c>
      <c r="B168" t="s">
        <v>771</v>
      </c>
      <c r="C168" t="s">
        <v>772</v>
      </c>
      <c r="D168" t="s">
        <v>773</v>
      </c>
      <c r="E168" t="s">
        <v>774</v>
      </c>
      <c r="F168" t="s">
        <v>775</v>
      </c>
      <c r="G168" t="s">
        <v>5</v>
      </c>
      <c r="H168" t="s">
        <v>65</v>
      </c>
      <c r="I168" t="s">
        <v>66</v>
      </c>
      <c r="J168" t="s">
        <v>67</v>
      </c>
      <c r="K168" t="s">
        <v>3</v>
      </c>
      <c r="L168" t="s">
        <v>4</v>
      </c>
      <c r="M168" t="s">
        <v>49</v>
      </c>
      <c r="N168" t="s">
        <v>776</v>
      </c>
      <c r="O168" s="31" t="s">
        <v>777</v>
      </c>
      <c r="P168">
        <v>220</v>
      </c>
      <c r="R168">
        <v>6</v>
      </c>
      <c r="S168" s="31">
        <v>450000</v>
      </c>
      <c r="T168" s="39">
        <v>480000</v>
      </c>
      <c r="U168">
        <v>75000</v>
      </c>
      <c r="V168">
        <v>49000.02</v>
      </c>
      <c r="W168">
        <v>0</v>
      </c>
      <c r="X168" s="39">
        <v>153319.98000000001</v>
      </c>
      <c r="Y168">
        <v>0</v>
      </c>
      <c r="Z168" s="31">
        <v>355999.98</v>
      </c>
      <c r="AA168">
        <v>8</v>
      </c>
      <c r="AB168" s="3">
        <f t="shared" si="8"/>
        <v>355999.98</v>
      </c>
      <c r="AC168" t="str">
        <f>IF(AB168-S168&lt;0,"YES","NO")</f>
        <v>YES</v>
      </c>
      <c r="AD168">
        <f>IF(AC168="NO",0,AB168-S168)</f>
        <v>-94000.020000000019</v>
      </c>
      <c r="AE168" s="43">
        <v>0.08</v>
      </c>
      <c r="AF168" s="3">
        <f t="shared" si="9"/>
        <v>-87037.055555555562</v>
      </c>
      <c r="AG168" s="45">
        <f t="shared" si="10"/>
        <v>-95740.761111111133</v>
      </c>
      <c r="AH168" s="55"/>
    </row>
    <row r="169" spans="1:34" x14ac:dyDescent="0.25">
      <c r="A169" t="s">
        <v>778</v>
      </c>
      <c r="B169" t="s">
        <v>779</v>
      </c>
      <c r="C169" t="s">
        <v>780</v>
      </c>
      <c r="D169" t="s">
        <v>781</v>
      </c>
      <c r="E169" t="s">
        <v>782</v>
      </c>
      <c r="F169" t="s">
        <v>783</v>
      </c>
      <c r="G169" t="s">
        <v>5</v>
      </c>
      <c r="H169" t="s">
        <v>61</v>
      </c>
      <c r="I169" t="s">
        <v>84</v>
      </c>
      <c r="J169" t="s">
        <v>85</v>
      </c>
      <c r="K169" t="s">
        <v>3</v>
      </c>
      <c r="L169" t="s">
        <v>4</v>
      </c>
      <c r="M169" t="s">
        <v>49</v>
      </c>
      <c r="N169" t="s">
        <v>784</v>
      </c>
      <c r="O169" s="31" t="s">
        <v>785</v>
      </c>
      <c r="P169">
        <v>100</v>
      </c>
      <c r="Q169" t="s">
        <v>86</v>
      </c>
      <c r="R169">
        <v>1</v>
      </c>
      <c r="S169" s="31">
        <v>0</v>
      </c>
      <c r="T169" s="39">
        <v>0</v>
      </c>
      <c r="U169">
        <v>0</v>
      </c>
      <c r="V169">
        <v>0</v>
      </c>
      <c r="W169">
        <v>0</v>
      </c>
      <c r="X169" s="39">
        <v>0</v>
      </c>
      <c r="Y169">
        <v>0</v>
      </c>
      <c r="Z169" s="31">
        <v>0</v>
      </c>
      <c r="AA169">
        <v>8</v>
      </c>
      <c r="AB169" s="3">
        <f t="shared" si="8"/>
        <v>0</v>
      </c>
      <c r="AC169" t="str">
        <f>IF(AB169-S169&lt;0,"YES","NO")</f>
        <v>NO</v>
      </c>
      <c r="AD169">
        <f>IF(AC169="NO",0,AB169-S169)</f>
        <v>0</v>
      </c>
      <c r="AE169" s="43">
        <v>0.08</v>
      </c>
      <c r="AF169" s="3">
        <f t="shared" si="9"/>
        <v>0</v>
      </c>
      <c r="AG169" s="45">
        <f t="shared" si="10"/>
        <v>0</v>
      </c>
      <c r="AH169" s="55"/>
    </row>
    <row r="170" spans="1:34" x14ac:dyDescent="0.25">
      <c r="A170" t="s">
        <v>778</v>
      </c>
      <c r="B170" t="s">
        <v>779</v>
      </c>
      <c r="C170" t="s">
        <v>780</v>
      </c>
      <c r="D170" t="s">
        <v>781</v>
      </c>
      <c r="E170" t="s">
        <v>782</v>
      </c>
      <c r="F170" t="s">
        <v>783</v>
      </c>
      <c r="G170" t="s">
        <v>5</v>
      </c>
      <c r="H170" t="s">
        <v>65</v>
      </c>
      <c r="I170" t="s">
        <v>78</v>
      </c>
      <c r="J170" t="s">
        <v>79</v>
      </c>
      <c r="K170" t="s">
        <v>3</v>
      </c>
      <c r="L170" t="s">
        <v>4</v>
      </c>
      <c r="M170" t="s">
        <v>49</v>
      </c>
      <c r="N170" t="s">
        <v>784</v>
      </c>
      <c r="O170" s="31" t="s">
        <v>785</v>
      </c>
      <c r="P170">
        <v>220</v>
      </c>
      <c r="R170">
        <v>6</v>
      </c>
      <c r="S170" s="31">
        <v>450000</v>
      </c>
      <c r="T170" s="39">
        <v>480000</v>
      </c>
      <c r="U170">
        <v>79999.98</v>
      </c>
      <c r="V170">
        <v>49000.02</v>
      </c>
      <c r="W170">
        <v>0</v>
      </c>
      <c r="X170" s="39">
        <v>167749.98000000001</v>
      </c>
      <c r="Y170">
        <v>0</v>
      </c>
      <c r="Z170" s="31">
        <v>351000</v>
      </c>
      <c r="AA170">
        <v>8</v>
      </c>
      <c r="AB170" s="3">
        <f t="shared" si="8"/>
        <v>351000</v>
      </c>
      <c r="AC170" t="str">
        <f>IF(AB170-S170&lt;0,"YES","NO")</f>
        <v>YES</v>
      </c>
      <c r="AD170">
        <f>IF(AC170="NO",0,AB170-S170)</f>
        <v>-99000</v>
      </c>
      <c r="AE170" s="43">
        <v>0.08</v>
      </c>
      <c r="AF170" s="3">
        <f t="shared" si="9"/>
        <v>-91666.666666666657</v>
      </c>
      <c r="AG170" s="45">
        <f t="shared" si="10"/>
        <v>-100833.33333333333</v>
      </c>
      <c r="AH170" s="55"/>
    </row>
    <row r="171" spans="1:34" x14ac:dyDescent="0.25">
      <c r="A171" t="s">
        <v>786</v>
      </c>
      <c r="B171" t="s">
        <v>787</v>
      </c>
      <c r="C171" t="s">
        <v>788</v>
      </c>
      <c r="D171" t="s">
        <v>789</v>
      </c>
      <c r="E171" t="s">
        <v>790</v>
      </c>
      <c r="F171" t="s">
        <v>791</v>
      </c>
      <c r="G171" t="s">
        <v>5</v>
      </c>
      <c r="H171" t="s">
        <v>61</v>
      </c>
      <c r="I171" t="s">
        <v>93</v>
      </c>
      <c r="J171" t="s">
        <v>94</v>
      </c>
      <c r="K171" t="s">
        <v>3</v>
      </c>
      <c r="L171" t="s">
        <v>4</v>
      </c>
      <c r="M171" t="s">
        <v>49</v>
      </c>
      <c r="N171" t="s">
        <v>792</v>
      </c>
      <c r="O171" s="31" t="s">
        <v>793</v>
      </c>
      <c r="P171">
        <v>20</v>
      </c>
      <c r="Q171" t="s">
        <v>86</v>
      </c>
      <c r="R171">
        <v>1</v>
      </c>
      <c r="S171" s="31">
        <v>0</v>
      </c>
      <c r="T171" s="39">
        <v>0</v>
      </c>
      <c r="U171">
        <v>0</v>
      </c>
      <c r="V171">
        <v>0</v>
      </c>
      <c r="W171">
        <v>0</v>
      </c>
      <c r="X171" s="39">
        <v>0</v>
      </c>
      <c r="Y171">
        <v>0</v>
      </c>
      <c r="Z171" s="31">
        <v>0</v>
      </c>
      <c r="AA171">
        <v>8</v>
      </c>
      <c r="AB171" s="3">
        <f t="shared" si="8"/>
        <v>0</v>
      </c>
      <c r="AC171" t="str">
        <f>IF(AB171-S171&lt;0,"YES","NO")</f>
        <v>NO</v>
      </c>
      <c r="AD171">
        <f>IF(AC171="NO",0,AB171-S171)</f>
        <v>0</v>
      </c>
      <c r="AE171" s="43">
        <v>0.08</v>
      </c>
      <c r="AF171" s="3">
        <f t="shared" si="9"/>
        <v>0</v>
      </c>
      <c r="AG171" s="45">
        <f t="shared" si="10"/>
        <v>0</v>
      </c>
      <c r="AH171" s="55"/>
    </row>
    <row r="172" spans="1:34" x14ac:dyDescent="0.25">
      <c r="A172" t="s">
        <v>786</v>
      </c>
      <c r="B172" t="s">
        <v>787</v>
      </c>
      <c r="C172" t="s">
        <v>788</v>
      </c>
      <c r="D172" t="s">
        <v>789</v>
      </c>
      <c r="E172" t="s">
        <v>790</v>
      </c>
      <c r="F172" t="s">
        <v>791</v>
      </c>
      <c r="G172" t="s">
        <v>5</v>
      </c>
      <c r="H172" t="s">
        <v>65</v>
      </c>
      <c r="I172" t="s">
        <v>95</v>
      </c>
      <c r="J172" t="s">
        <v>96</v>
      </c>
      <c r="K172" t="s">
        <v>3</v>
      </c>
      <c r="L172" t="s">
        <v>4</v>
      </c>
      <c r="M172" t="s">
        <v>49</v>
      </c>
      <c r="N172" t="s">
        <v>792</v>
      </c>
      <c r="O172" s="31" t="s">
        <v>793</v>
      </c>
      <c r="P172">
        <v>200</v>
      </c>
      <c r="R172">
        <v>6</v>
      </c>
      <c r="S172" s="31">
        <v>432000</v>
      </c>
      <c r="T172" s="39">
        <v>480000</v>
      </c>
      <c r="U172">
        <v>75000</v>
      </c>
      <c r="V172">
        <v>48000</v>
      </c>
      <c r="W172">
        <v>0</v>
      </c>
      <c r="X172" s="39">
        <v>153540</v>
      </c>
      <c r="Y172">
        <v>0</v>
      </c>
      <c r="Z172" s="31">
        <v>357000</v>
      </c>
      <c r="AA172">
        <v>8</v>
      </c>
      <c r="AB172" s="3">
        <f t="shared" si="8"/>
        <v>357000</v>
      </c>
      <c r="AC172" t="str">
        <f>IF(AB172-S172&lt;0,"YES","NO")</f>
        <v>YES</v>
      </c>
      <c r="AD172">
        <f>IF(AC172="NO",0,AB172-S172)</f>
        <v>-75000</v>
      </c>
      <c r="AE172" s="43">
        <v>0.08</v>
      </c>
      <c r="AF172" s="3">
        <f t="shared" si="9"/>
        <v>-69444.444444444438</v>
      </c>
      <c r="AG172" s="45">
        <f t="shared" si="10"/>
        <v>-76388.888888888891</v>
      </c>
      <c r="AH172" s="55"/>
    </row>
    <row r="173" spans="1:34" x14ac:dyDescent="0.25">
      <c r="A173" t="s">
        <v>794</v>
      </c>
      <c r="B173" t="s">
        <v>795</v>
      </c>
      <c r="C173" t="s">
        <v>796</v>
      </c>
      <c r="D173" t="s">
        <v>797</v>
      </c>
      <c r="E173" t="s">
        <v>798</v>
      </c>
      <c r="F173" t="s">
        <v>799</v>
      </c>
      <c r="G173" t="s">
        <v>5</v>
      </c>
      <c r="H173" t="s">
        <v>61</v>
      </c>
      <c r="I173" t="s">
        <v>62</v>
      </c>
      <c r="J173" t="s">
        <v>63</v>
      </c>
      <c r="K173" t="s">
        <v>3</v>
      </c>
      <c r="L173" t="s">
        <v>4</v>
      </c>
      <c r="M173" t="s">
        <v>49</v>
      </c>
      <c r="N173" t="s">
        <v>800</v>
      </c>
      <c r="O173" s="31" t="s">
        <v>801</v>
      </c>
      <c r="P173">
        <v>20000</v>
      </c>
      <c r="Q173" t="s">
        <v>64</v>
      </c>
      <c r="R173">
        <v>1</v>
      </c>
      <c r="S173" s="31">
        <v>0</v>
      </c>
      <c r="T173" s="39">
        <v>0</v>
      </c>
      <c r="U173">
        <v>0</v>
      </c>
      <c r="V173">
        <v>0</v>
      </c>
      <c r="W173">
        <v>0</v>
      </c>
      <c r="X173" s="39">
        <v>0</v>
      </c>
      <c r="Y173">
        <v>0</v>
      </c>
      <c r="Z173" s="31">
        <v>0</v>
      </c>
      <c r="AA173">
        <v>8</v>
      </c>
      <c r="AB173" s="3">
        <f t="shared" si="8"/>
        <v>0</v>
      </c>
      <c r="AC173" t="str">
        <f>IF(AB173-S173&lt;0,"YES","NO")</f>
        <v>NO</v>
      </c>
      <c r="AD173">
        <f>IF(AC173="NO",0,AB173-S173)</f>
        <v>0</v>
      </c>
      <c r="AE173" s="43">
        <v>0.08</v>
      </c>
      <c r="AF173" s="3">
        <f t="shared" si="9"/>
        <v>0</v>
      </c>
      <c r="AG173" s="45">
        <f t="shared" si="10"/>
        <v>0</v>
      </c>
      <c r="AH173" s="55"/>
    </row>
    <row r="174" spans="1:34" x14ac:dyDescent="0.25">
      <c r="A174" t="s">
        <v>794</v>
      </c>
      <c r="B174" t="s">
        <v>795</v>
      </c>
      <c r="C174" t="s">
        <v>796</v>
      </c>
      <c r="D174" t="s">
        <v>797</v>
      </c>
      <c r="E174" t="s">
        <v>798</v>
      </c>
      <c r="F174" t="s">
        <v>799</v>
      </c>
      <c r="G174" t="s">
        <v>5</v>
      </c>
      <c r="H174" t="s">
        <v>61</v>
      </c>
      <c r="I174" t="s">
        <v>84</v>
      </c>
      <c r="J174" t="s">
        <v>85</v>
      </c>
      <c r="K174" t="s">
        <v>3</v>
      </c>
      <c r="L174" t="s">
        <v>4</v>
      </c>
      <c r="M174" t="s">
        <v>49</v>
      </c>
      <c r="N174" t="s">
        <v>800</v>
      </c>
      <c r="O174" s="31" t="s">
        <v>801</v>
      </c>
      <c r="P174">
        <v>100</v>
      </c>
      <c r="Q174" t="s">
        <v>86</v>
      </c>
      <c r="R174">
        <v>1</v>
      </c>
      <c r="S174" s="31">
        <v>0</v>
      </c>
      <c r="T174" s="39">
        <v>0</v>
      </c>
      <c r="U174">
        <v>0</v>
      </c>
      <c r="V174">
        <v>0</v>
      </c>
      <c r="W174">
        <v>0</v>
      </c>
      <c r="X174" s="39">
        <v>0</v>
      </c>
      <c r="Y174">
        <v>0</v>
      </c>
      <c r="Z174" s="31">
        <v>0</v>
      </c>
      <c r="AA174">
        <v>8</v>
      </c>
      <c r="AB174" s="3">
        <f t="shared" si="8"/>
        <v>0</v>
      </c>
      <c r="AC174" t="str">
        <f>IF(AB174-S174&lt;0,"YES","NO")</f>
        <v>NO</v>
      </c>
      <c r="AD174">
        <f>IF(AC174="NO",0,AB174-S174)</f>
        <v>0</v>
      </c>
      <c r="AE174" s="43">
        <v>0.08</v>
      </c>
      <c r="AF174" s="3">
        <f t="shared" si="9"/>
        <v>0</v>
      </c>
      <c r="AG174" s="45">
        <f t="shared" si="10"/>
        <v>0</v>
      </c>
      <c r="AH174" s="55"/>
    </row>
    <row r="175" spans="1:34" x14ac:dyDescent="0.25">
      <c r="A175" t="s">
        <v>794</v>
      </c>
      <c r="B175" t="s">
        <v>795</v>
      </c>
      <c r="C175" t="s">
        <v>796</v>
      </c>
      <c r="D175" t="s">
        <v>797</v>
      </c>
      <c r="E175" t="s">
        <v>798</v>
      </c>
      <c r="F175" t="s">
        <v>799</v>
      </c>
      <c r="G175" t="s">
        <v>5</v>
      </c>
      <c r="H175" t="s">
        <v>65</v>
      </c>
      <c r="I175" t="s">
        <v>87</v>
      </c>
      <c r="J175" t="s">
        <v>88</v>
      </c>
      <c r="K175" t="s">
        <v>3</v>
      </c>
      <c r="L175" t="s">
        <v>4</v>
      </c>
      <c r="M175" t="s">
        <v>49</v>
      </c>
      <c r="N175" t="s">
        <v>800</v>
      </c>
      <c r="O175" s="31" t="s">
        <v>801</v>
      </c>
      <c r="P175">
        <v>220</v>
      </c>
      <c r="Q175" t="s">
        <v>89</v>
      </c>
      <c r="R175">
        <v>3</v>
      </c>
      <c r="S175" s="31">
        <v>177000</v>
      </c>
      <c r="T175" s="39">
        <v>210000</v>
      </c>
      <c r="U175">
        <v>35000.01</v>
      </c>
      <c r="V175">
        <v>21000</v>
      </c>
      <c r="W175">
        <v>0</v>
      </c>
      <c r="X175" s="39">
        <v>68880</v>
      </c>
      <c r="Y175">
        <v>0</v>
      </c>
      <c r="Z175" s="31">
        <v>153999.99</v>
      </c>
      <c r="AA175">
        <v>8</v>
      </c>
      <c r="AB175" s="3">
        <f t="shared" si="8"/>
        <v>153999.99</v>
      </c>
      <c r="AC175" t="str">
        <f>IF(AB175-S175&lt;0,"YES","NO")</f>
        <v>YES</v>
      </c>
      <c r="AD175">
        <f>IF(AC175="NO",0,AB175-S175)</f>
        <v>-23000.010000000009</v>
      </c>
      <c r="AE175" s="43">
        <v>0.08</v>
      </c>
      <c r="AF175" s="3">
        <f t="shared" si="9"/>
        <v>-21296.305555555562</v>
      </c>
      <c r="AG175" s="45">
        <f t="shared" si="10"/>
        <v>-23425.936111111121</v>
      </c>
      <c r="AH175" s="55"/>
    </row>
    <row r="176" spans="1:34" x14ac:dyDescent="0.25">
      <c r="A176" t="s">
        <v>794</v>
      </c>
      <c r="B176" t="s">
        <v>795</v>
      </c>
      <c r="C176" t="s">
        <v>796</v>
      </c>
      <c r="D176" t="s">
        <v>797</v>
      </c>
      <c r="E176" t="s">
        <v>798</v>
      </c>
      <c r="F176" t="s">
        <v>799</v>
      </c>
      <c r="G176" t="s">
        <v>5</v>
      </c>
      <c r="H176" t="s">
        <v>65</v>
      </c>
      <c r="I176" t="s">
        <v>82</v>
      </c>
      <c r="J176" t="s">
        <v>83</v>
      </c>
      <c r="K176" t="s">
        <v>3</v>
      </c>
      <c r="L176" t="s">
        <v>4</v>
      </c>
      <c r="M176" t="s">
        <v>49</v>
      </c>
      <c r="N176" t="s">
        <v>800</v>
      </c>
      <c r="O176" s="31" t="s">
        <v>801</v>
      </c>
      <c r="P176">
        <v>220</v>
      </c>
      <c r="R176">
        <v>2</v>
      </c>
      <c r="S176" s="31">
        <v>150000</v>
      </c>
      <c r="T176" s="39">
        <v>160000</v>
      </c>
      <c r="U176">
        <v>0</v>
      </c>
      <c r="V176">
        <v>17000</v>
      </c>
      <c r="W176">
        <v>0</v>
      </c>
      <c r="X176" s="39">
        <v>31460</v>
      </c>
      <c r="Y176">
        <v>0</v>
      </c>
      <c r="Z176" s="31">
        <v>143000</v>
      </c>
      <c r="AA176">
        <v>8</v>
      </c>
      <c r="AB176" s="3">
        <f t="shared" si="8"/>
        <v>143000</v>
      </c>
      <c r="AC176" t="str">
        <f>IF(AB176-S176&lt;0,"YES","NO")</f>
        <v>YES</v>
      </c>
      <c r="AD176">
        <f>IF(AC176="NO",0,AB176-S176)</f>
        <v>-7000</v>
      </c>
      <c r="AE176" s="43">
        <v>0.08</v>
      </c>
      <c r="AF176" s="3">
        <f t="shared" si="9"/>
        <v>-6481.4814814814808</v>
      </c>
      <c r="AG176" s="45">
        <f t="shared" si="10"/>
        <v>-7129.6296296296296</v>
      </c>
      <c r="AH176" s="55"/>
    </row>
    <row r="177" spans="1:34" x14ac:dyDescent="0.25">
      <c r="A177" t="s">
        <v>794</v>
      </c>
      <c r="B177" t="s">
        <v>795</v>
      </c>
      <c r="C177" t="s">
        <v>796</v>
      </c>
      <c r="D177" t="s">
        <v>797</v>
      </c>
      <c r="E177" t="s">
        <v>798</v>
      </c>
      <c r="F177" t="s">
        <v>799</v>
      </c>
      <c r="G177" t="s">
        <v>5</v>
      </c>
      <c r="H177" t="s">
        <v>65</v>
      </c>
      <c r="I177" t="s">
        <v>78</v>
      </c>
      <c r="J177" t="s">
        <v>79</v>
      </c>
      <c r="K177" t="s">
        <v>3</v>
      </c>
      <c r="L177" t="s">
        <v>4</v>
      </c>
      <c r="M177" t="s">
        <v>49</v>
      </c>
      <c r="N177" t="s">
        <v>800</v>
      </c>
      <c r="O177" s="31" t="s">
        <v>801</v>
      </c>
      <c r="P177">
        <v>220</v>
      </c>
      <c r="R177">
        <v>2</v>
      </c>
      <c r="S177" s="31">
        <v>150000</v>
      </c>
      <c r="T177" s="39">
        <v>160000</v>
      </c>
      <c r="U177">
        <v>0</v>
      </c>
      <c r="V177">
        <v>17000</v>
      </c>
      <c r="W177">
        <v>0</v>
      </c>
      <c r="X177" s="39">
        <v>31460</v>
      </c>
      <c r="Y177">
        <v>0</v>
      </c>
      <c r="Z177" s="31">
        <v>143000</v>
      </c>
      <c r="AA177">
        <v>8</v>
      </c>
      <c r="AB177" s="3">
        <f t="shared" si="8"/>
        <v>143000</v>
      </c>
      <c r="AC177" t="str">
        <f>IF(AB177-S177&lt;0,"YES","NO")</f>
        <v>YES</v>
      </c>
      <c r="AD177">
        <f>IF(AC177="NO",0,AB177-S177)</f>
        <v>-7000</v>
      </c>
      <c r="AE177" s="43">
        <v>0.08</v>
      </c>
      <c r="AF177" s="3">
        <f t="shared" si="9"/>
        <v>-6481.4814814814808</v>
      </c>
      <c r="AG177" s="45">
        <f t="shared" si="10"/>
        <v>-7129.6296296296296</v>
      </c>
      <c r="AH177" s="55"/>
    </row>
    <row r="178" spans="1:34" x14ac:dyDescent="0.25">
      <c r="A178" t="s">
        <v>802</v>
      </c>
      <c r="B178" t="s">
        <v>803</v>
      </c>
      <c r="C178" t="s">
        <v>804</v>
      </c>
      <c r="D178" t="s">
        <v>805</v>
      </c>
      <c r="E178" t="s">
        <v>806</v>
      </c>
      <c r="F178" t="s">
        <v>807</v>
      </c>
      <c r="G178" t="s">
        <v>5</v>
      </c>
      <c r="H178" t="s">
        <v>61</v>
      </c>
      <c r="I178" t="s">
        <v>62</v>
      </c>
      <c r="J178" t="s">
        <v>63</v>
      </c>
      <c r="K178" t="s">
        <v>3</v>
      </c>
      <c r="L178" t="s">
        <v>4</v>
      </c>
      <c r="M178" t="s">
        <v>49</v>
      </c>
      <c r="N178" t="s">
        <v>808</v>
      </c>
      <c r="O178" s="31" t="s">
        <v>809</v>
      </c>
      <c r="P178">
        <v>20000</v>
      </c>
      <c r="Q178" t="s">
        <v>64</v>
      </c>
      <c r="R178">
        <v>1</v>
      </c>
      <c r="S178" s="31">
        <v>0</v>
      </c>
      <c r="T178" s="39">
        <v>0</v>
      </c>
      <c r="U178">
        <v>0</v>
      </c>
      <c r="V178">
        <v>0</v>
      </c>
      <c r="W178">
        <v>0</v>
      </c>
      <c r="X178" s="39">
        <v>0</v>
      </c>
      <c r="Y178">
        <v>0</v>
      </c>
      <c r="Z178" s="31">
        <v>0</v>
      </c>
      <c r="AA178">
        <v>8</v>
      </c>
      <c r="AB178" s="3">
        <f t="shared" si="8"/>
        <v>0</v>
      </c>
      <c r="AC178" t="str">
        <f>IF(AB178-S178&lt;0,"YES","NO")</f>
        <v>NO</v>
      </c>
      <c r="AD178">
        <f>IF(AC178="NO",0,AB178-S178)</f>
        <v>0</v>
      </c>
      <c r="AE178" s="43">
        <v>0.08</v>
      </c>
      <c r="AF178" s="3">
        <f t="shared" si="9"/>
        <v>0</v>
      </c>
      <c r="AG178" s="45">
        <f t="shared" si="10"/>
        <v>0</v>
      </c>
      <c r="AH178" s="55"/>
    </row>
    <row r="179" spans="1:34" x14ac:dyDescent="0.25">
      <c r="A179" t="s">
        <v>802</v>
      </c>
      <c r="B179" t="s">
        <v>803</v>
      </c>
      <c r="C179" t="s">
        <v>804</v>
      </c>
      <c r="D179" t="s">
        <v>805</v>
      </c>
      <c r="E179" t="s">
        <v>806</v>
      </c>
      <c r="F179" t="s">
        <v>807</v>
      </c>
      <c r="G179" t="s">
        <v>5</v>
      </c>
      <c r="H179" t="s">
        <v>65</v>
      </c>
      <c r="I179" t="s">
        <v>66</v>
      </c>
      <c r="J179" t="s">
        <v>67</v>
      </c>
      <c r="K179" t="s">
        <v>3</v>
      </c>
      <c r="L179" t="s">
        <v>4</v>
      </c>
      <c r="M179" t="s">
        <v>49</v>
      </c>
      <c r="N179" t="s">
        <v>808</v>
      </c>
      <c r="O179" s="31" t="s">
        <v>809</v>
      </c>
      <c r="P179">
        <v>220</v>
      </c>
      <c r="R179">
        <v>3</v>
      </c>
      <c r="S179" s="31">
        <v>225000</v>
      </c>
      <c r="T179" s="39">
        <v>240000</v>
      </c>
      <c r="U179">
        <v>35000.01</v>
      </c>
      <c r="V179">
        <v>24000</v>
      </c>
      <c r="W179">
        <v>0</v>
      </c>
      <c r="X179" s="39">
        <v>80250</v>
      </c>
      <c r="Y179">
        <v>0</v>
      </c>
      <c r="Z179" s="31">
        <v>180999.99</v>
      </c>
      <c r="AA179">
        <v>8</v>
      </c>
      <c r="AB179" s="3">
        <f t="shared" si="8"/>
        <v>180999.99</v>
      </c>
      <c r="AC179" t="str">
        <f>IF(AB179-S179&lt;0,"YES","NO")</f>
        <v>YES</v>
      </c>
      <c r="AD179">
        <f>IF(AC179="NO",0,AB179-S179)</f>
        <v>-44000.010000000009</v>
      </c>
      <c r="AE179" s="43">
        <v>0.08</v>
      </c>
      <c r="AF179" s="3">
        <f t="shared" si="9"/>
        <v>-40740.750000000007</v>
      </c>
      <c r="AG179" s="45">
        <f t="shared" si="10"/>
        <v>-44814.825000000012</v>
      </c>
      <c r="AH179" s="55"/>
    </row>
    <row r="180" spans="1:34" x14ac:dyDescent="0.25">
      <c r="A180" t="s">
        <v>810</v>
      </c>
      <c r="B180" t="s">
        <v>811</v>
      </c>
      <c r="C180" t="s">
        <v>812</v>
      </c>
      <c r="D180" t="s">
        <v>813</v>
      </c>
      <c r="E180" t="s">
        <v>814</v>
      </c>
      <c r="F180" t="s">
        <v>815</v>
      </c>
      <c r="G180" t="s">
        <v>5</v>
      </c>
      <c r="H180" t="s">
        <v>61</v>
      </c>
      <c r="I180" t="s">
        <v>93</v>
      </c>
      <c r="J180" t="s">
        <v>94</v>
      </c>
      <c r="K180" t="s">
        <v>3</v>
      </c>
      <c r="L180" t="s">
        <v>4</v>
      </c>
      <c r="M180" t="s">
        <v>49</v>
      </c>
      <c r="N180" t="s">
        <v>816</v>
      </c>
      <c r="O180" s="31" t="s">
        <v>817</v>
      </c>
      <c r="P180">
        <v>20</v>
      </c>
      <c r="Q180" t="s">
        <v>86</v>
      </c>
      <c r="R180">
        <v>1</v>
      </c>
      <c r="S180" s="31">
        <v>0</v>
      </c>
      <c r="T180" s="39">
        <v>0</v>
      </c>
      <c r="U180">
        <v>0</v>
      </c>
      <c r="V180">
        <v>0</v>
      </c>
      <c r="W180">
        <v>0</v>
      </c>
      <c r="X180" s="39">
        <v>0</v>
      </c>
      <c r="Y180">
        <v>0</v>
      </c>
      <c r="Z180" s="31">
        <v>0</v>
      </c>
      <c r="AA180">
        <v>8</v>
      </c>
      <c r="AB180" s="3">
        <f t="shared" si="8"/>
        <v>0</v>
      </c>
      <c r="AC180" t="str">
        <f>IF(AB180-S180&lt;0,"YES","NO")</f>
        <v>NO</v>
      </c>
      <c r="AD180">
        <f>IF(AC180="NO",0,AB180-S180)</f>
        <v>0</v>
      </c>
      <c r="AE180" s="43">
        <v>0.08</v>
      </c>
      <c r="AF180" s="3">
        <f t="shared" si="9"/>
        <v>0</v>
      </c>
      <c r="AG180" s="45">
        <f t="shared" si="10"/>
        <v>0</v>
      </c>
      <c r="AH180" s="55"/>
    </row>
    <row r="181" spans="1:34" x14ac:dyDescent="0.25">
      <c r="A181" t="s">
        <v>810</v>
      </c>
      <c r="B181" t="s">
        <v>811</v>
      </c>
      <c r="C181" t="s">
        <v>812</v>
      </c>
      <c r="D181" t="s">
        <v>813</v>
      </c>
      <c r="E181" t="s">
        <v>814</v>
      </c>
      <c r="F181" t="s">
        <v>815</v>
      </c>
      <c r="G181" t="s">
        <v>5</v>
      </c>
      <c r="H181" t="s">
        <v>65</v>
      </c>
      <c r="I181" t="s">
        <v>95</v>
      </c>
      <c r="J181" t="s">
        <v>96</v>
      </c>
      <c r="K181" t="s">
        <v>3</v>
      </c>
      <c r="L181" t="s">
        <v>4</v>
      </c>
      <c r="M181" t="s">
        <v>49</v>
      </c>
      <c r="N181" t="s">
        <v>816</v>
      </c>
      <c r="O181" s="31" t="s">
        <v>817</v>
      </c>
      <c r="P181">
        <v>200</v>
      </c>
      <c r="R181">
        <v>6</v>
      </c>
      <c r="S181" s="31">
        <v>432000</v>
      </c>
      <c r="T181" s="39">
        <v>480000</v>
      </c>
      <c r="U181">
        <v>79999.98</v>
      </c>
      <c r="V181">
        <v>48000</v>
      </c>
      <c r="W181">
        <v>0</v>
      </c>
      <c r="X181" s="39">
        <v>157440</v>
      </c>
      <c r="Y181">
        <v>0</v>
      </c>
      <c r="Z181" s="31">
        <v>352000.02</v>
      </c>
      <c r="AA181">
        <v>8</v>
      </c>
      <c r="AB181" s="3">
        <f t="shared" si="8"/>
        <v>352000.02</v>
      </c>
      <c r="AC181" t="str">
        <f>IF(AB181-S181&lt;0,"YES","NO")</f>
        <v>YES</v>
      </c>
      <c r="AD181">
        <f>IF(AC181="NO",0,AB181-S181)</f>
        <v>-79999.979999999981</v>
      </c>
      <c r="AE181" s="43">
        <v>0.08</v>
      </c>
      <c r="AF181" s="3">
        <f t="shared" si="9"/>
        <v>-74074.055555555533</v>
      </c>
      <c r="AG181" s="45">
        <f t="shared" si="10"/>
        <v>-81481.461111111086</v>
      </c>
      <c r="AH181" s="55"/>
    </row>
    <row r="182" spans="1:34" x14ac:dyDescent="0.25">
      <c r="A182" t="s">
        <v>818</v>
      </c>
      <c r="B182" t="s">
        <v>795</v>
      </c>
      <c r="C182" t="s">
        <v>819</v>
      </c>
      <c r="D182" t="s">
        <v>820</v>
      </c>
      <c r="E182" t="s">
        <v>821</v>
      </c>
      <c r="F182" t="s">
        <v>822</v>
      </c>
      <c r="G182" t="s">
        <v>5</v>
      </c>
      <c r="H182" t="s">
        <v>61</v>
      </c>
      <c r="I182" t="s">
        <v>84</v>
      </c>
      <c r="J182" t="s">
        <v>85</v>
      </c>
      <c r="K182" t="s">
        <v>3</v>
      </c>
      <c r="L182" t="s">
        <v>4</v>
      </c>
      <c r="M182" t="s">
        <v>49</v>
      </c>
      <c r="N182" t="s">
        <v>823</v>
      </c>
      <c r="O182" s="31" t="s">
        <v>824</v>
      </c>
      <c r="P182">
        <v>100</v>
      </c>
      <c r="Q182" t="s">
        <v>86</v>
      </c>
      <c r="R182">
        <v>1</v>
      </c>
      <c r="S182" s="31">
        <v>0</v>
      </c>
      <c r="T182" s="39">
        <v>0</v>
      </c>
      <c r="U182">
        <v>0</v>
      </c>
      <c r="V182">
        <v>0</v>
      </c>
      <c r="W182">
        <v>0</v>
      </c>
      <c r="X182" s="39">
        <v>0</v>
      </c>
      <c r="Y182">
        <v>0</v>
      </c>
      <c r="Z182" s="31">
        <v>0</v>
      </c>
      <c r="AA182">
        <v>8</v>
      </c>
      <c r="AB182" s="3">
        <f t="shared" si="8"/>
        <v>0</v>
      </c>
      <c r="AC182" t="str">
        <f>IF(AB182-S182&lt;0,"YES","NO")</f>
        <v>NO</v>
      </c>
      <c r="AD182">
        <f>IF(AC182="NO",0,AB182-S182)</f>
        <v>0</v>
      </c>
      <c r="AE182" s="43">
        <v>0.08</v>
      </c>
      <c r="AF182" s="3">
        <f t="shared" si="9"/>
        <v>0</v>
      </c>
      <c r="AG182" s="45">
        <f t="shared" si="10"/>
        <v>0</v>
      </c>
      <c r="AH182" s="55"/>
    </row>
    <row r="183" spans="1:34" x14ac:dyDescent="0.25">
      <c r="A183" t="s">
        <v>818</v>
      </c>
      <c r="B183" t="s">
        <v>795</v>
      </c>
      <c r="C183" t="s">
        <v>819</v>
      </c>
      <c r="D183" t="s">
        <v>820</v>
      </c>
      <c r="E183" t="s">
        <v>821</v>
      </c>
      <c r="F183" t="s">
        <v>822</v>
      </c>
      <c r="G183" t="s">
        <v>5</v>
      </c>
      <c r="H183" t="s">
        <v>65</v>
      </c>
      <c r="I183" t="s">
        <v>82</v>
      </c>
      <c r="J183" t="s">
        <v>83</v>
      </c>
      <c r="K183" t="s">
        <v>3</v>
      </c>
      <c r="L183" t="s">
        <v>4</v>
      </c>
      <c r="M183" t="s">
        <v>49</v>
      </c>
      <c r="N183" t="s">
        <v>823</v>
      </c>
      <c r="O183" s="31" t="s">
        <v>824</v>
      </c>
      <c r="P183">
        <v>220</v>
      </c>
      <c r="R183">
        <v>6</v>
      </c>
      <c r="S183" s="31">
        <v>450000</v>
      </c>
      <c r="T183" s="39">
        <v>480000</v>
      </c>
      <c r="U183">
        <v>75000</v>
      </c>
      <c r="V183">
        <v>48000</v>
      </c>
      <c r="W183">
        <v>0</v>
      </c>
      <c r="X183" s="39">
        <v>274999.98</v>
      </c>
      <c r="Y183">
        <v>0</v>
      </c>
      <c r="Z183" s="31">
        <v>357000</v>
      </c>
      <c r="AA183">
        <v>8</v>
      </c>
      <c r="AB183" s="3">
        <f t="shared" si="8"/>
        <v>357000</v>
      </c>
      <c r="AC183" t="str">
        <f>IF(AB183-S183&lt;0,"YES","NO")</f>
        <v>YES</v>
      </c>
      <c r="AD183">
        <f>IF(AC183="NO",0,AB183-S183)</f>
        <v>-93000</v>
      </c>
      <c r="AE183" s="43">
        <v>0.08</v>
      </c>
      <c r="AF183" s="3">
        <f t="shared" si="9"/>
        <v>-86111.111111111109</v>
      </c>
      <c r="AG183" s="45">
        <f t="shared" si="10"/>
        <v>-94722.222222222234</v>
      </c>
      <c r="AH183" s="55"/>
    </row>
    <row r="184" spans="1:34" x14ac:dyDescent="0.25">
      <c r="A184" t="s">
        <v>825</v>
      </c>
      <c r="B184" t="s">
        <v>826</v>
      </c>
      <c r="C184" t="s">
        <v>827</v>
      </c>
      <c r="D184" t="s">
        <v>828</v>
      </c>
      <c r="E184" t="s">
        <v>829</v>
      </c>
      <c r="F184" t="s">
        <v>830</v>
      </c>
      <c r="G184" t="s">
        <v>5</v>
      </c>
      <c r="H184" t="s">
        <v>61</v>
      </c>
      <c r="I184" t="s">
        <v>84</v>
      </c>
      <c r="J184" t="s">
        <v>85</v>
      </c>
      <c r="K184" t="s">
        <v>3</v>
      </c>
      <c r="L184" t="s">
        <v>4</v>
      </c>
      <c r="M184" t="s">
        <v>49</v>
      </c>
      <c r="N184" t="s">
        <v>831</v>
      </c>
      <c r="O184" s="31" t="s">
        <v>832</v>
      </c>
      <c r="P184">
        <v>100</v>
      </c>
      <c r="Q184" t="s">
        <v>86</v>
      </c>
      <c r="R184">
        <v>1</v>
      </c>
      <c r="S184" s="31">
        <v>0</v>
      </c>
      <c r="T184" s="39">
        <v>0</v>
      </c>
      <c r="U184">
        <v>0</v>
      </c>
      <c r="V184">
        <v>0</v>
      </c>
      <c r="W184">
        <v>0</v>
      </c>
      <c r="X184" s="39">
        <v>0</v>
      </c>
      <c r="Y184">
        <v>0</v>
      </c>
      <c r="Z184" s="31">
        <v>0</v>
      </c>
      <c r="AA184">
        <v>8</v>
      </c>
      <c r="AB184" s="3">
        <f t="shared" si="8"/>
        <v>0</v>
      </c>
      <c r="AC184" t="str">
        <f>IF(AB184-S184&lt;0,"YES","NO")</f>
        <v>NO</v>
      </c>
      <c r="AD184">
        <f>IF(AC184="NO",0,AB184-S184)</f>
        <v>0</v>
      </c>
      <c r="AE184" s="43">
        <v>0.08</v>
      </c>
      <c r="AF184" s="3">
        <f t="shared" si="9"/>
        <v>0</v>
      </c>
      <c r="AG184" s="45">
        <f t="shared" si="10"/>
        <v>0</v>
      </c>
      <c r="AH184" s="55"/>
    </row>
    <row r="185" spans="1:34" x14ac:dyDescent="0.25">
      <c r="A185" t="s">
        <v>825</v>
      </c>
      <c r="B185" t="s">
        <v>826</v>
      </c>
      <c r="C185" t="s">
        <v>827</v>
      </c>
      <c r="D185" t="s">
        <v>828</v>
      </c>
      <c r="E185" t="s">
        <v>829</v>
      </c>
      <c r="F185" t="s">
        <v>830</v>
      </c>
      <c r="G185" t="s">
        <v>5</v>
      </c>
      <c r="H185" t="s">
        <v>65</v>
      </c>
      <c r="I185" t="s">
        <v>66</v>
      </c>
      <c r="J185" t="s">
        <v>67</v>
      </c>
      <c r="K185" t="s">
        <v>3</v>
      </c>
      <c r="L185" t="s">
        <v>4</v>
      </c>
      <c r="M185" t="s">
        <v>49</v>
      </c>
      <c r="N185" t="s">
        <v>831</v>
      </c>
      <c r="O185" s="31" t="s">
        <v>832</v>
      </c>
      <c r="P185">
        <v>220</v>
      </c>
      <c r="R185">
        <v>6</v>
      </c>
      <c r="S185" s="31">
        <v>450000</v>
      </c>
      <c r="T185" s="39">
        <v>480000</v>
      </c>
      <c r="U185">
        <v>79999.98</v>
      </c>
      <c r="V185">
        <v>48000</v>
      </c>
      <c r="W185">
        <v>0</v>
      </c>
      <c r="X185" s="39">
        <v>150400.01999999999</v>
      </c>
      <c r="Y185">
        <v>0</v>
      </c>
      <c r="Z185" s="31">
        <v>352000.02</v>
      </c>
      <c r="AA185">
        <v>8</v>
      </c>
      <c r="AB185" s="3">
        <f t="shared" si="8"/>
        <v>352000.02</v>
      </c>
      <c r="AC185" t="str">
        <f>IF(AB185-S185&lt;0,"YES","NO")</f>
        <v>YES</v>
      </c>
      <c r="AD185">
        <f>IF(AC185="NO",0,AB185-S185)</f>
        <v>-97999.979999999981</v>
      </c>
      <c r="AE185" s="43">
        <v>0.08</v>
      </c>
      <c r="AF185" s="3">
        <f t="shared" si="9"/>
        <v>-90740.722222222204</v>
      </c>
      <c r="AG185" s="45">
        <f t="shared" si="10"/>
        <v>-99814.794444444429</v>
      </c>
      <c r="AH185" s="55"/>
    </row>
    <row r="186" spans="1:34" x14ac:dyDescent="0.25">
      <c r="A186" t="s">
        <v>833</v>
      </c>
      <c r="B186" t="s">
        <v>834</v>
      </c>
      <c r="C186" t="s">
        <v>835</v>
      </c>
      <c r="D186" t="s">
        <v>836</v>
      </c>
      <c r="E186" t="s">
        <v>837</v>
      </c>
      <c r="F186" t="s">
        <v>838</v>
      </c>
      <c r="G186" t="s">
        <v>5</v>
      </c>
      <c r="H186" t="s">
        <v>61</v>
      </c>
      <c r="I186" t="s">
        <v>93</v>
      </c>
      <c r="J186" t="s">
        <v>94</v>
      </c>
      <c r="K186" t="s">
        <v>3</v>
      </c>
      <c r="L186" t="s">
        <v>4</v>
      </c>
      <c r="M186" t="s">
        <v>49</v>
      </c>
      <c r="N186" t="s">
        <v>839</v>
      </c>
      <c r="O186" s="31" t="s">
        <v>840</v>
      </c>
      <c r="P186">
        <v>20</v>
      </c>
      <c r="Q186" t="s">
        <v>86</v>
      </c>
      <c r="R186">
        <v>1</v>
      </c>
      <c r="S186" s="31">
        <v>0</v>
      </c>
      <c r="T186" s="39">
        <v>0</v>
      </c>
      <c r="U186">
        <v>0</v>
      </c>
      <c r="V186">
        <v>0</v>
      </c>
      <c r="W186">
        <v>0</v>
      </c>
      <c r="X186" s="39">
        <v>0</v>
      </c>
      <c r="Y186">
        <v>0</v>
      </c>
      <c r="Z186" s="31">
        <v>0</v>
      </c>
      <c r="AA186">
        <v>8</v>
      </c>
      <c r="AB186" s="3">
        <f t="shared" si="8"/>
        <v>0</v>
      </c>
      <c r="AC186" t="str">
        <f>IF(AB186-S186&lt;0,"YES","NO")</f>
        <v>NO</v>
      </c>
      <c r="AD186">
        <f>IF(AC186="NO",0,AB186-S186)</f>
        <v>0</v>
      </c>
      <c r="AE186" s="43">
        <v>0.08</v>
      </c>
      <c r="AF186" s="3">
        <f t="shared" si="9"/>
        <v>0</v>
      </c>
      <c r="AG186" s="45">
        <f t="shared" si="10"/>
        <v>0</v>
      </c>
      <c r="AH186" s="55"/>
    </row>
    <row r="187" spans="1:34" x14ac:dyDescent="0.25">
      <c r="A187" t="s">
        <v>833</v>
      </c>
      <c r="B187" t="s">
        <v>834</v>
      </c>
      <c r="C187" t="s">
        <v>835</v>
      </c>
      <c r="D187" t="s">
        <v>836</v>
      </c>
      <c r="E187" t="s">
        <v>837</v>
      </c>
      <c r="F187" t="s">
        <v>838</v>
      </c>
      <c r="G187" t="s">
        <v>5</v>
      </c>
      <c r="H187" t="s">
        <v>65</v>
      </c>
      <c r="I187" t="s">
        <v>95</v>
      </c>
      <c r="J187" t="s">
        <v>96</v>
      </c>
      <c r="K187" t="s">
        <v>3</v>
      </c>
      <c r="L187" t="s">
        <v>4</v>
      </c>
      <c r="M187" t="s">
        <v>49</v>
      </c>
      <c r="N187" t="s">
        <v>839</v>
      </c>
      <c r="O187" s="31" t="s">
        <v>840</v>
      </c>
      <c r="P187">
        <v>200</v>
      </c>
      <c r="R187">
        <v>6</v>
      </c>
      <c r="S187" s="31">
        <v>432000</v>
      </c>
      <c r="T187" s="39">
        <v>480000</v>
      </c>
      <c r="U187">
        <v>75000</v>
      </c>
      <c r="V187">
        <v>40000.019999999997</v>
      </c>
      <c r="W187">
        <v>0</v>
      </c>
      <c r="X187" s="39">
        <v>137049.96</v>
      </c>
      <c r="Y187">
        <v>0</v>
      </c>
      <c r="Z187" s="31">
        <v>364999.98</v>
      </c>
      <c r="AA187">
        <v>8</v>
      </c>
      <c r="AB187" s="3">
        <f t="shared" si="8"/>
        <v>364999.98</v>
      </c>
      <c r="AC187" t="str">
        <f>IF(AB187-S187&lt;0,"YES","NO")</f>
        <v>YES</v>
      </c>
      <c r="AD187">
        <f>IF(AC187="NO",0,AB187-S187)</f>
        <v>-67000.020000000019</v>
      </c>
      <c r="AE187" s="43">
        <v>0.08</v>
      </c>
      <c r="AF187" s="3">
        <f t="shared" si="9"/>
        <v>-62037.055555555569</v>
      </c>
      <c r="AG187" s="45">
        <f t="shared" si="10"/>
        <v>-68240.761111111133</v>
      </c>
      <c r="AH187" s="55"/>
    </row>
    <row r="188" spans="1:34" x14ac:dyDescent="0.25">
      <c r="A188" t="s">
        <v>841</v>
      </c>
      <c r="B188" t="s">
        <v>842</v>
      </c>
      <c r="C188" t="s">
        <v>843</v>
      </c>
      <c r="D188" t="s">
        <v>677</v>
      </c>
      <c r="E188" t="s">
        <v>844</v>
      </c>
      <c r="F188" t="s">
        <v>845</v>
      </c>
      <c r="G188" t="s">
        <v>5</v>
      </c>
      <c r="H188" t="s">
        <v>61</v>
      </c>
      <c r="I188" t="s">
        <v>62</v>
      </c>
      <c r="J188" t="s">
        <v>63</v>
      </c>
      <c r="K188" t="s">
        <v>3</v>
      </c>
      <c r="L188" t="s">
        <v>4</v>
      </c>
      <c r="M188" t="s">
        <v>49</v>
      </c>
      <c r="N188" t="s">
        <v>846</v>
      </c>
      <c r="O188" s="31" t="s">
        <v>847</v>
      </c>
      <c r="P188">
        <v>20000</v>
      </c>
      <c r="Q188" t="s">
        <v>64</v>
      </c>
      <c r="R188">
        <v>1</v>
      </c>
      <c r="S188" s="31">
        <v>0</v>
      </c>
      <c r="T188" s="39">
        <v>0</v>
      </c>
      <c r="U188">
        <v>0</v>
      </c>
      <c r="V188">
        <v>0</v>
      </c>
      <c r="W188">
        <v>0</v>
      </c>
      <c r="X188" s="39">
        <v>0</v>
      </c>
      <c r="Y188">
        <v>0</v>
      </c>
      <c r="Z188" s="31">
        <v>0</v>
      </c>
      <c r="AA188">
        <v>8</v>
      </c>
      <c r="AB188" s="3">
        <f t="shared" si="8"/>
        <v>0</v>
      </c>
      <c r="AC188" t="str">
        <f>IF(AB188-S188&lt;0,"YES","NO")</f>
        <v>NO</v>
      </c>
      <c r="AD188">
        <f>IF(AC188="NO",0,AB188-S188)</f>
        <v>0</v>
      </c>
      <c r="AE188" s="43">
        <v>0.08</v>
      </c>
      <c r="AF188" s="3">
        <f t="shared" si="9"/>
        <v>0</v>
      </c>
      <c r="AG188" s="45">
        <f t="shared" si="10"/>
        <v>0</v>
      </c>
      <c r="AH188" s="55"/>
    </row>
    <row r="189" spans="1:34" x14ac:dyDescent="0.25">
      <c r="A189" t="s">
        <v>841</v>
      </c>
      <c r="B189" t="s">
        <v>842</v>
      </c>
      <c r="C189" t="s">
        <v>843</v>
      </c>
      <c r="D189" t="s">
        <v>677</v>
      </c>
      <c r="E189" t="s">
        <v>844</v>
      </c>
      <c r="F189" t="s">
        <v>845</v>
      </c>
      <c r="G189" t="s">
        <v>5</v>
      </c>
      <c r="H189" t="s">
        <v>65</v>
      </c>
      <c r="I189" t="s">
        <v>90</v>
      </c>
      <c r="J189" t="s">
        <v>91</v>
      </c>
      <c r="K189" t="s">
        <v>3</v>
      </c>
      <c r="L189" t="s">
        <v>4</v>
      </c>
      <c r="M189" t="s">
        <v>49</v>
      </c>
      <c r="N189" t="s">
        <v>846</v>
      </c>
      <c r="O189" s="31" t="s">
        <v>847</v>
      </c>
      <c r="P189">
        <v>220</v>
      </c>
      <c r="Q189" t="s">
        <v>92</v>
      </c>
      <c r="R189">
        <v>2</v>
      </c>
      <c r="S189" s="31">
        <v>118000</v>
      </c>
      <c r="T189" s="39">
        <v>140000</v>
      </c>
      <c r="U189">
        <v>20000</v>
      </c>
      <c r="V189">
        <v>13000</v>
      </c>
      <c r="W189">
        <v>0</v>
      </c>
      <c r="X189" s="39">
        <v>41400</v>
      </c>
      <c r="Y189">
        <v>0</v>
      </c>
      <c r="Z189" s="31">
        <v>107000</v>
      </c>
      <c r="AA189">
        <v>8</v>
      </c>
      <c r="AB189" s="3">
        <f t="shared" si="8"/>
        <v>107000</v>
      </c>
      <c r="AC189" t="str">
        <f>IF(AB189-S189&lt;0,"YES","NO")</f>
        <v>YES</v>
      </c>
      <c r="AD189">
        <f>IF(AC189="NO",0,AB189-S189)</f>
        <v>-11000</v>
      </c>
      <c r="AE189" s="43">
        <v>0.08</v>
      </c>
      <c r="AF189" s="3">
        <f t="shared" si="9"/>
        <v>-10185.185185185184</v>
      </c>
      <c r="AG189" s="45">
        <f t="shared" si="10"/>
        <v>-11203.703703703704</v>
      </c>
      <c r="AH189" s="55"/>
    </row>
    <row r="190" spans="1:34" x14ac:dyDescent="0.25">
      <c r="A190" t="s">
        <v>848</v>
      </c>
      <c r="B190" t="s">
        <v>849</v>
      </c>
      <c r="C190" t="s">
        <v>850</v>
      </c>
      <c r="D190" t="s">
        <v>851</v>
      </c>
      <c r="E190" t="s">
        <v>852</v>
      </c>
      <c r="F190" t="s">
        <v>853</v>
      </c>
      <c r="G190" t="s">
        <v>5</v>
      </c>
      <c r="H190" t="s">
        <v>61</v>
      </c>
      <c r="I190" t="s">
        <v>84</v>
      </c>
      <c r="J190" t="s">
        <v>85</v>
      </c>
      <c r="K190" t="s">
        <v>3</v>
      </c>
      <c r="L190" t="s">
        <v>4</v>
      </c>
      <c r="M190" t="s">
        <v>49</v>
      </c>
      <c r="N190" t="s">
        <v>854</v>
      </c>
      <c r="O190" s="31" t="s">
        <v>855</v>
      </c>
      <c r="P190">
        <v>100</v>
      </c>
      <c r="Q190" t="s">
        <v>86</v>
      </c>
      <c r="R190">
        <v>1</v>
      </c>
      <c r="S190" s="31">
        <v>0</v>
      </c>
      <c r="T190" s="39">
        <v>0</v>
      </c>
      <c r="U190">
        <v>0</v>
      </c>
      <c r="V190">
        <v>0</v>
      </c>
      <c r="W190">
        <v>0</v>
      </c>
      <c r="X190" s="39">
        <v>0</v>
      </c>
      <c r="Y190">
        <v>0</v>
      </c>
      <c r="Z190" s="31">
        <v>0</v>
      </c>
      <c r="AA190">
        <v>8</v>
      </c>
      <c r="AB190" s="3">
        <f t="shared" si="8"/>
        <v>0</v>
      </c>
      <c r="AC190" t="str">
        <f>IF(AB190-S190&lt;0,"YES","NO")</f>
        <v>NO</v>
      </c>
      <c r="AD190">
        <f>IF(AC190="NO",0,AB190-S190)</f>
        <v>0</v>
      </c>
      <c r="AE190" s="43">
        <v>0.08</v>
      </c>
      <c r="AF190" s="3">
        <f t="shared" si="9"/>
        <v>0</v>
      </c>
      <c r="AG190" s="45">
        <f t="shared" si="10"/>
        <v>0</v>
      </c>
      <c r="AH190" s="55"/>
    </row>
    <row r="191" spans="1:34" x14ac:dyDescent="0.25">
      <c r="A191" t="s">
        <v>848</v>
      </c>
      <c r="B191" t="s">
        <v>849</v>
      </c>
      <c r="C191" t="s">
        <v>850</v>
      </c>
      <c r="D191" t="s">
        <v>851</v>
      </c>
      <c r="E191" t="s">
        <v>852</v>
      </c>
      <c r="F191" t="s">
        <v>853</v>
      </c>
      <c r="G191" t="s">
        <v>5</v>
      </c>
      <c r="H191" t="s">
        <v>65</v>
      </c>
      <c r="I191" t="s">
        <v>66</v>
      </c>
      <c r="J191" t="s">
        <v>67</v>
      </c>
      <c r="K191" t="s">
        <v>3</v>
      </c>
      <c r="L191" t="s">
        <v>4</v>
      </c>
      <c r="M191" t="s">
        <v>49</v>
      </c>
      <c r="N191" t="s">
        <v>854</v>
      </c>
      <c r="O191" s="31" t="s">
        <v>855</v>
      </c>
      <c r="P191">
        <v>220</v>
      </c>
      <c r="R191">
        <v>6</v>
      </c>
      <c r="S191" s="31">
        <v>450000</v>
      </c>
      <c r="T191" s="39">
        <v>480000</v>
      </c>
      <c r="U191">
        <v>75000</v>
      </c>
      <c r="V191">
        <v>48000</v>
      </c>
      <c r="W191">
        <v>0</v>
      </c>
      <c r="X191" s="39">
        <v>117840</v>
      </c>
      <c r="Y191">
        <v>0</v>
      </c>
      <c r="Z191" s="31">
        <v>357000</v>
      </c>
      <c r="AA191">
        <v>8</v>
      </c>
      <c r="AB191" s="3">
        <f t="shared" si="8"/>
        <v>357000</v>
      </c>
      <c r="AC191" t="str">
        <f>IF(AB191-S191&lt;0,"YES","NO")</f>
        <v>YES</v>
      </c>
      <c r="AD191">
        <f>IF(AC191="NO",0,AB191-S191)</f>
        <v>-93000</v>
      </c>
      <c r="AE191" s="43">
        <v>0.08</v>
      </c>
      <c r="AF191" s="3">
        <f t="shared" si="9"/>
        <v>-86111.111111111109</v>
      </c>
      <c r="AG191" s="45">
        <f t="shared" si="10"/>
        <v>-94722.222222222234</v>
      </c>
      <c r="AH191" s="55"/>
    </row>
    <row r="192" spans="1:34" x14ac:dyDescent="0.25">
      <c r="A192" t="s">
        <v>856</v>
      </c>
      <c r="B192" t="s">
        <v>857</v>
      </c>
      <c r="C192" t="s">
        <v>858</v>
      </c>
      <c r="D192" t="s">
        <v>859</v>
      </c>
      <c r="E192" t="s">
        <v>860</v>
      </c>
      <c r="F192" t="s">
        <v>861</v>
      </c>
      <c r="G192" t="s">
        <v>5</v>
      </c>
      <c r="H192" t="s">
        <v>65</v>
      </c>
      <c r="I192" t="s">
        <v>109</v>
      </c>
      <c r="J192" t="s">
        <v>110</v>
      </c>
      <c r="K192" t="s">
        <v>3</v>
      </c>
      <c r="L192" t="s">
        <v>4</v>
      </c>
      <c r="M192" t="s">
        <v>49</v>
      </c>
      <c r="N192" t="s">
        <v>862</v>
      </c>
      <c r="O192" s="31" t="s">
        <v>863</v>
      </c>
      <c r="P192">
        <v>380</v>
      </c>
      <c r="R192">
        <v>6</v>
      </c>
      <c r="S192" s="31">
        <v>396000</v>
      </c>
      <c r="T192" s="39">
        <v>420000</v>
      </c>
      <c r="U192">
        <v>75000</v>
      </c>
      <c r="V192">
        <v>18000</v>
      </c>
      <c r="W192">
        <v>0</v>
      </c>
      <c r="X192" s="39">
        <v>127320</v>
      </c>
      <c r="Y192">
        <v>0</v>
      </c>
      <c r="Z192" s="31">
        <v>327000</v>
      </c>
      <c r="AA192">
        <v>8</v>
      </c>
      <c r="AB192" s="3">
        <f t="shared" si="8"/>
        <v>327000</v>
      </c>
      <c r="AC192" t="str">
        <f>IF(AB192-S192&lt;0,"YES","NO")</f>
        <v>YES</v>
      </c>
      <c r="AD192">
        <f>IF(AC192="NO",0,AB192-S192)</f>
        <v>-69000</v>
      </c>
      <c r="AE192" s="43">
        <v>0.08</v>
      </c>
      <c r="AF192" s="3">
        <f t="shared" si="9"/>
        <v>-63888.888888888883</v>
      </c>
      <c r="AG192" s="45">
        <f t="shared" si="10"/>
        <v>-70277.777777777781</v>
      </c>
      <c r="AH192" s="55"/>
    </row>
    <row r="193" spans="1:34" x14ac:dyDescent="0.25">
      <c r="A193" t="s">
        <v>864</v>
      </c>
      <c r="B193" t="s">
        <v>865</v>
      </c>
      <c r="C193" t="s">
        <v>866</v>
      </c>
      <c r="D193" t="s">
        <v>867</v>
      </c>
      <c r="E193" t="s">
        <v>868</v>
      </c>
      <c r="F193" t="s">
        <v>869</v>
      </c>
      <c r="G193" t="s">
        <v>5</v>
      </c>
      <c r="H193" t="s">
        <v>65</v>
      </c>
      <c r="I193" t="s">
        <v>87</v>
      </c>
      <c r="J193" t="s">
        <v>88</v>
      </c>
      <c r="K193" t="s">
        <v>3</v>
      </c>
      <c r="L193" t="s">
        <v>4</v>
      </c>
      <c r="M193" t="s">
        <v>49</v>
      </c>
      <c r="N193" t="s">
        <v>870</v>
      </c>
      <c r="O193" s="31" t="s">
        <v>871</v>
      </c>
      <c r="P193">
        <v>220</v>
      </c>
      <c r="Q193" t="s">
        <v>89</v>
      </c>
      <c r="R193">
        <v>1</v>
      </c>
      <c r="S193" s="31">
        <v>59000</v>
      </c>
      <c r="T193" s="39">
        <v>70000</v>
      </c>
      <c r="U193">
        <v>0</v>
      </c>
      <c r="V193">
        <v>6500</v>
      </c>
      <c r="W193">
        <v>0</v>
      </c>
      <c r="X193" s="39">
        <v>8890</v>
      </c>
      <c r="Y193">
        <v>0</v>
      </c>
      <c r="Z193" s="31">
        <v>63500</v>
      </c>
      <c r="AA193">
        <v>8</v>
      </c>
      <c r="AB193" s="3">
        <f t="shared" si="8"/>
        <v>63500</v>
      </c>
      <c r="AC193" t="str">
        <f>IF(AB193-S193&lt;0,"YES","NO")</f>
        <v>NO</v>
      </c>
      <c r="AD193">
        <f>IF(AC193="NO",0,AB193-S193)</f>
        <v>0</v>
      </c>
      <c r="AE193" s="43">
        <v>0.08</v>
      </c>
      <c r="AF193" s="3">
        <f t="shared" si="9"/>
        <v>0</v>
      </c>
      <c r="AG193" s="45">
        <f t="shared" si="10"/>
        <v>0</v>
      </c>
      <c r="AH193" s="55"/>
    </row>
    <row r="194" spans="1:34" x14ac:dyDescent="0.25">
      <c r="A194" t="s">
        <v>864</v>
      </c>
      <c r="B194" t="s">
        <v>865</v>
      </c>
      <c r="C194" t="s">
        <v>866</v>
      </c>
      <c r="D194" t="s">
        <v>867</v>
      </c>
      <c r="E194" t="s">
        <v>868</v>
      </c>
      <c r="F194" t="s">
        <v>869</v>
      </c>
      <c r="G194" t="s">
        <v>5</v>
      </c>
      <c r="H194" t="s">
        <v>65</v>
      </c>
      <c r="I194" t="s">
        <v>90</v>
      </c>
      <c r="J194" t="s">
        <v>91</v>
      </c>
      <c r="K194" t="s">
        <v>3</v>
      </c>
      <c r="L194" t="s">
        <v>4</v>
      </c>
      <c r="M194" t="s">
        <v>49</v>
      </c>
      <c r="N194" t="s">
        <v>870</v>
      </c>
      <c r="O194" s="31" t="s">
        <v>871</v>
      </c>
      <c r="P194">
        <v>220</v>
      </c>
      <c r="Q194" t="s">
        <v>92</v>
      </c>
      <c r="R194">
        <v>1</v>
      </c>
      <c r="S194" s="31">
        <v>59000</v>
      </c>
      <c r="T194" s="39">
        <v>70000</v>
      </c>
      <c r="U194">
        <v>0</v>
      </c>
      <c r="V194">
        <v>6500</v>
      </c>
      <c r="W194">
        <v>0</v>
      </c>
      <c r="X194" s="39">
        <v>8890</v>
      </c>
      <c r="Y194">
        <v>0</v>
      </c>
      <c r="Z194" s="31">
        <v>63500</v>
      </c>
      <c r="AA194">
        <v>8</v>
      </c>
      <c r="AB194" s="3">
        <f t="shared" si="8"/>
        <v>63500</v>
      </c>
      <c r="AC194" t="str">
        <f>IF(AB194-S194&lt;0,"YES","NO")</f>
        <v>NO</v>
      </c>
      <c r="AD194">
        <f>IF(AC194="NO",0,AB194-S194)</f>
        <v>0</v>
      </c>
      <c r="AE194" s="43">
        <v>0.08</v>
      </c>
      <c r="AF194" s="3">
        <f t="shared" si="9"/>
        <v>0</v>
      </c>
      <c r="AG194" s="45">
        <f t="shared" si="10"/>
        <v>0</v>
      </c>
      <c r="AH194" s="55"/>
    </row>
    <row r="195" spans="1:34" x14ac:dyDescent="0.25">
      <c r="A195" t="s">
        <v>864</v>
      </c>
      <c r="B195" t="s">
        <v>865</v>
      </c>
      <c r="C195" t="s">
        <v>866</v>
      </c>
      <c r="D195" t="s">
        <v>867</v>
      </c>
      <c r="E195" t="s">
        <v>868</v>
      </c>
      <c r="F195" t="s">
        <v>869</v>
      </c>
      <c r="G195" t="s">
        <v>5</v>
      </c>
      <c r="H195" t="s">
        <v>65</v>
      </c>
      <c r="I195" t="s">
        <v>71</v>
      </c>
      <c r="J195" t="s">
        <v>72</v>
      </c>
      <c r="K195" t="s">
        <v>3</v>
      </c>
      <c r="L195" t="s">
        <v>4</v>
      </c>
      <c r="M195" t="s">
        <v>49</v>
      </c>
      <c r="N195" t="s">
        <v>870</v>
      </c>
      <c r="O195" s="31" t="s">
        <v>871</v>
      </c>
      <c r="P195">
        <v>220</v>
      </c>
      <c r="Q195" t="s">
        <v>70</v>
      </c>
      <c r="R195">
        <v>3</v>
      </c>
      <c r="S195" s="31">
        <v>177000</v>
      </c>
      <c r="T195" s="39">
        <v>195000</v>
      </c>
      <c r="U195">
        <v>35000.01</v>
      </c>
      <c r="V195">
        <v>19500</v>
      </c>
      <c r="W195">
        <v>0</v>
      </c>
      <c r="X195" s="39">
        <v>54669.99</v>
      </c>
      <c r="Y195">
        <v>0</v>
      </c>
      <c r="Z195" s="31">
        <v>140499.99</v>
      </c>
      <c r="AA195">
        <v>8</v>
      </c>
      <c r="AB195" s="3">
        <f t="shared" si="8"/>
        <v>140499.99</v>
      </c>
      <c r="AC195" t="str">
        <f>IF(AB195-S195&lt;0,"YES","NO")</f>
        <v>YES</v>
      </c>
      <c r="AD195">
        <f>IF(AC195="NO",0,AB195-S195)</f>
        <v>-36500.010000000009</v>
      </c>
      <c r="AE195" s="43">
        <v>0.08</v>
      </c>
      <c r="AF195" s="3">
        <f t="shared" si="9"/>
        <v>-33796.305555555562</v>
      </c>
      <c r="AG195" s="45">
        <f t="shared" si="10"/>
        <v>-37175.936111111121</v>
      </c>
      <c r="AH195" s="55"/>
    </row>
    <row r="196" spans="1:34" x14ac:dyDescent="0.25">
      <c r="A196" t="s">
        <v>872</v>
      </c>
      <c r="B196" t="s">
        <v>873</v>
      </c>
      <c r="C196" t="s">
        <v>874</v>
      </c>
      <c r="D196" t="s">
        <v>875</v>
      </c>
      <c r="E196" t="s">
        <v>876</v>
      </c>
      <c r="F196" t="s">
        <v>877</v>
      </c>
      <c r="G196" t="s">
        <v>5</v>
      </c>
      <c r="H196" t="s">
        <v>61</v>
      </c>
      <c r="I196" t="s">
        <v>62</v>
      </c>
      <c r="J196" t="s">
        <v>63</v>
      </c>
      <c r="K196" t="s">
        <v>3</v>
      </c>
      <c r="L196" t="s">
        <v>4</v>
      </c>
      <c r="M196" t="s">
        <v>49</v>
      </c>
      <c r="N196" t="s">
        <v>878</v>
      </c>
      <c r="O196" s="31" t="s">
        <v>879</v>
      </c>
      <c r="P196">
        <v>20000</v>
      </c>
      <c r="Q196" t="s">
        <v>64</v>
      </c>
      <c r="R196">
        <v>1</v>
      </c>
      <c r="S196" s="31">
        <v>0</v>
      </c>
      <c r="T196" s="39">
        <v>0</v>
      </c>
      <c r="U196">
        <v>0</v>
      </c>
      <c r="V196">
        <v>0</v>
      </c>
      <c r="W196">
        <v>0</v>
      </c>
      <c r="X196" s="39">
        <v>0</v>
      </c>
      <c r="Y196">
        <v>0</v>
      </c>
      <c r="Z196" s="31">
        <v>0</v>
      </c>
      <c r="AA196">
        <v>8</v>
      </c>
      <c r="AB196" s="3">
        <f t="shared" si="8"/>
        <v>0</v>
      </c>
      <c r="AC196" t="str">
        <f>IF(AB196-S196&lt;0,"YES","NO")</f>
        <v>NO</v>
      </c>
      <c r="AD196">
        <f>IF(AC196="NO",0,AB196-S196)</f>
        <v>0</v>
      </c>
      <c r="AE196" s="43">
        <v>0.08</v>
      </c>
      <c r="AF196" s="3">
        <f t="shared" si="9"/>
        <v>0</v>
      </c>
      <c r="AG196" s="45">
        <f t="shared" si="10"/>
        <v>0</v>
      </c>
      <c r="AH196" s="55"/>
    </row>
    <row r="197" spans="1:34" x14ac:dyDescent="0.25">
      <c r="A197" t="s">
        <v>872</v>
      </c>
      <c r="B197" t="s">
        <v>873</v>
      </c>
      <c r="C197" t="s">
        <v>874</v>
      </c>
      <c r="D197" t="s">
        <v>875</v>
      </c>
      <c r="E197" t="s">
        <v>876</v>
      </c>
      <c r="F197" t="s">
        <v>877</v>
      </c>
      <c r="G197" t="s">
        <v>5</v>
      </c>
      <c r="H197" t="s">
        <v>65</v>
      </c>
      <c r="I197" t="s">
        <v>71</v>
      </c>
      <c r="J197" t="s">
        <v>72</v>
      </c>
      <c r="K197" t="s">
        <v>3</v>
      </c>
      <c r="L197" t="s">
        <v>4</v>
      </c>
      <c r="M197" t="s">
        <v>49</v>
      </c>
      <c r="N197" t="s">
        <v>878</v>
      </c>
      <c r="O197" s="31" t="s">
        <v>879</v>
      </c>
      <c r="P197">
        <v>220</v>
      </c>
      <c r="Q197" t="s">
        <v>70</v>
      </c>
      <c r="R197">
        <v>3</v>
      </c>
      <c r="S197" s="31">
        <v>177000</v>
      </c>
      <c r="T197" s="39">
        <v>195000</v>
      </c>
      <c r="U197">
        <v>35000.01</v>
      </c>
      <c r="V197">
        <v>19500</v>
      </c>
      <c r="W197">
        <v>0</v>
      </c>
      <c r="X197" s="39">
        <v>63099.99</v>
      </c>
      <c r="Y197">
        <v>0</v>
      </c>
      <c r="Z197" s="31">
        <v>140499.99</v>
      </c>
      <c r="AA197">
        <v>8</v>
      </c>
      <c r="AB197" s="3">
        <f t="shared" si="8"/>
        <v>140499.99</v>
      </c>
      <c r="AC197" t="str">
        <f>IF(AB197-S197&lt;0,"YES","NO")</f>
        <v>YES</v>
      </c>
      <c r="AD197">
        <f>IF(AC197="NO",0,AB197-S197)</f>
        <v>-36500.010000000009</v>
      </c>
      <c r="AE197" s="43">
        <v>0.08</v>
      </c>
      <c r="AF197" s="3">
        <f t="shared" si="9"/>
        <v>-33796.305555555562</v>
      </c>
      <c r="AG197" s="45">
        <f t="shared" si="10"/>
        <v>-37175.936111111121</v>
      </c>
      <c r="AH197" s="55"/>
    </row>
    <row r="198" spans="1:34" x14ac:dyDescent="0.25">
      <c r="A198" t="s">
        <v>880</v>
      </c>
      <c r="B198" t="s">
        <v>881</v>
      </c>
      <c r="C198" t="s">
        <v>882</v>
      </c>
      <c r="D198" t="s">
        <v>883</v>
      </c>
      <c r="E198" t="s">
        <v>884</v>
      </c>
      <c r="F198" t="s">
        <v>885</v>
      </c>
      <c r="G198" t="s">
        <v>5</v>
      </c>
      <c r="H198" t="s">
        <v>61</v>
      </c>
      <c r="I198" t="s">
        <v>84</v>
      </c>
      <c r="J198" t="s">
        <v>85</v>
      </c>
      <c r="K198" t="s">
        <v>3</v>
      </c>
      <c r="L198" t="s">
        <v>4</v>
      </c>
      <c r="M198" t="s">
        <v>49</v>
      </c>
      <c r="N198" t="s">
        <v>886</v>
      </c>
      <c r="O198" s="31" t="s">
        <v>887</v>
      </c>
      <c r="P198">
        <v>100</v>
      </c>
      <c r="Q198" t="s">
        <v>86</v>
      </c>
      <c r="R198">
        <v>1</v>
      </c>
      <c r="S198" s="31">
        <v>0</v>
      </c>
      <c r="T198" s="39">
        <v>0</v>
      </c>
      <c r="U198">
        <v>0</v>
      </c>
      <c r="V198">
        <v>0</v>
      </c>
      <c r="W198">
        <v>0</v>
      </c>
      <c r="X198" s="39">
        <v>0</v>
      </c>
      <c r="Y198">
        <v>0</v>
      </c>
      <c r="Z198" s="31">
        <v>0</v>
      </c>
      <c r="AA198">
        <v>8</v>
      </c>
      <c r="AB198" s="3">
        <f t="shared" ref="AB198:AB261" si="11">Z198</f>
        <v>0</v>
      </c>
      <c r="AC198" t="str">
        <f>IF(AB198-S198&lt;0,"YES","NO")</f>
        <v>NO</v>
      </c>
      <c r="AD198">
        <f>IF(AC198="NO",0,AB198-S198)</f>
        <v>0</v>
      </c>
      <c r="AE198" s="43">
        <v>0.08</v>
      </c>
      <c r="AF198" s="3">
        <f t="shared" ref="AF198:AF261" si="12">AD198/(1+AE198)</f>
        <v>0</v>
      </c>
      <c r="AG198" s="45">
        <f t="shared" ref="AG198:AG261" si="13">AF198*1.1</f>
        <v>0</v>
      </c>
      <c r="AH198" s="55"/>
    </row>
    <row r="199" spans="1:34" x14ac:dyDescent="0.25">
      <c r="A199" t="s">
        <v>880</v>
      </c>
      <c r="B199" t="s">
        <v>881</v>
      </c>
      <c r="C199" t="s">
        <v>882</v>
      </c>
      <c r="D199" t="s">
        <v>883</v>
      </c>
      <c r="E199" t="s">
        <v>884</v>
      </c>
      <c r="F199" t="s">
        <v>885</v>
      </c>
      <c r="G199" t="s">
        <v>5</v>
      </c>
      <c r="H199" t="s">
        <v>65</v>
      </c>
      <c r="I199" t="s">
        <v>78</v>
      </c>
      <c r="J199" t="s">
        <v>79</v>
      </c>
      <c r="K199" t="s">
        <v>3</v>
      </c>
      <c r="L199" t="s">
        <v>4</v>
      </c>
      <c r="M199" t="s">
        <v>49</v>
      </c>
      <c r="N199" t="s">
        <v>886</v>
      </c>
      <c r="O199" s="31" t="s">
        <v>887</v>
      </c>
      <c r="P199">
        <v>220</v>
      </c>
      <c r="R199">
        <v>6</v>
      </c>
      <c r="S199" s="31">
        <v>450000</v>
      </c>
      <c r="T199" s="39">
        <v>480000</v>
      </c>
      <c r="U199">
        <v>75000</v>
      </c>
      <c r="V199">
        <v>49000.02</v>
      </c>
      <c r="W199">
        <v>0</v>
      </c>
      <c r="X199" s="39">
        <v>131959.98000000001</v>
      </c>
      <c r="Y199">
        <v>0</v>
      </c>
      <c r="Z199" s="31">
        <v>355999.98</v>
      </c>
      <c r="AA199">
        <v>8</v>
      </c>
      <c r="AB199" s="3">
        <f t="shared" si="11"/>
        <v>355999.98</v>
      </c>
      <c r="AC199" t="str">
        <f>IF(AB199-S199&lt;0,"YES","NO")</f>
        <v>YES</v>
      </c>
      <c r="AD199">
        <f>IF(AC199="NO",0,AB199-S199)</f>
        <v>-94000.020000000019</v>
      </c>
      <c r="AE199" s="43">
        <v>0.08</v>
      </c>
      <c r="AF199" s="3">
        <f t="shared" si="12"/>
        <v>-87037.055555555562</v>
      </c>
      <c r="AG199" s="45">
        <f t="shared" si="13"/>
        <v>-95740.761111111133</v>
      </c>
      <c r="AH199" s="55"/>
    </row>
    <row r="200" spans="1:34" x14ac:dyDescent="0.25">
      <c r="A200" t="s">
        <v>888</v>
      </c>
      <c r="B200" t="s">
        <v>889</v>
      </c>
      <c r="C200" t="s">
        <v>890</v>
      </c>
      <c r="D200" t="s">
        <v>891</v>
      </c>
      <c r="E200" t="s">
        <v>892</v>
      </c>
      <c r="F200" t="s">
        <v>893</v>
      </c>
      <c r="G200" t="s">
        <v>5</v>
      </c>
      <c r="H200" t="s">
        <v>61</v>
      </c>
      <c r="I200" t="s">
        <v>84</v>
      </c>
      <c r="J200" t="s">
        <v>85</v>
      </c>
      <c r="K200" t="s">
        <v>3</v>
      </c>
      <c r="L200" t="s">
        <v>4</v>
      </c>
      <c r="M200" t="s">
        <v>49</v>
      </c>
      <c r="N200" t="s">
        <v>894</v>
      </c>
      <c r="O200" s="31" t="s">
        <v>895</v>
      </c>
      <c r="P200">
        <v>100</v>
      </c>
      <c r="Q200" t="s">
        <v>86</v>
      </c>
      <c r="R200">
        <v>1</v>
      </c>
      <c r="S200" s="31">
        <v>0</v>
      </c>
      <c r="T200" s="39">
        <v>0</v>
      </c>
      <c r="U200">
        <v>0</v>
      </c>
      <c r="V200">
        <v>0</v>
      </c>
      <c r="W200">
        <v>0</v>
      </c>
      <c r="X200" s="39">
        <v>0</v>
      </c>
      <c r="Y200">
        <v>0</v>
      </c>
      <c r="Z200" s="31">
        <v>0</v>
      </c>
      <c r="AA200">
        <v>8</v>
      </c>
      <c r="AB200" s="3">
        <f t="shared" si="11"/>
        <v>0</v>
      </c>
      <c r="AC200" t="str">
        <f>IF(AB200-S200&lt;0,"YES","NO")</f>
        <v>NO</v>
      </c>
      <c r="AD200">
        <f>IF(AC200="NO",0,AB200-S200)</f>
        <v>0</v>
      </c>
      <c r="AE200" s="43">
        <v>0.08</v>
      </c>
      <c r="AF200" s="3">
        <f t="shared" si="12"/>
        <v>0</v>
      </c>
      <c r="AG200" s="45">
        <f t="shared" si="13"/>
        <v>0</v>
      </c>
      <c r="AH200" s="55"/>
    </row>
    <row r="201" spans="1:34" x14ac:dyDescent="0.25">
      <c r="A201" t="s">
        <v>888</v>
      </c>
      <c r="B201" t="s">
        <v>889</v>
      </c>
      <c r="C201" t="s">
        <v>890</v>
      </c>
      <c r="D201" t="s">
        <v>891</v>
      </c>
      <c r="E201" t="s">
        <v>892</v>
      </c>
      <c r="F201" t="s">
        <v>893</v>
      </c>
      <c r="G201" t="s">
        <v>5</v>
      </c>
      <c r="H201" t="s">
        <v>65</v>
      </c>
      <c r="I201" t="s">
        <v>78</v>
      </c>
      <c r="J201" t="s">
        <v>79</v>
      </c>
      <c r="K201" t="s">
        <v>3</v>
      </c>
      <c r="L201" t="s">
        <v>4</v>
      </c>
      <c r="M201" t="s">
        <v>49</v>
      </c>
      <c r="N201" t="s">
        <v>894</v>
      </c>
      <c r="O201" s="31" t="s">
        <v>895</v>
      </c>
      <c r="P201">
        <v>220</v>
      </c>
      <c r="R201">
        <v>2</v>
      </c>
      <c r="S201" s="31">
        <v>150000</v>
      </c>
      <c r="T201" s="39">
        <v>160000</v>
      </c>
      <c r="U201">
        <v>20000</v>
      </c>
      <c r="V201">
        <v>10000</v>
      </c>
      <c r="W201">
        <v>0</v>
      </c>
      <c r="X201" s="39">
        <v>33000</v>
      </c>
      <c r="Y201">
        <v>0</v>
      </c>
      <c r="Z201" s="31">
        <v>130000</v>
      </c>
      <c r="AA201">
        <v>8</v>
      </c>
      <c r="AB201" s="3">
        <f t="shared" si="11"/>
        <v>130000</v>
      </c>
      <c r="AC201" t="str">
        <f>IF(AB201-S201&lt;0,"YES","NO")</f>
        <v>YES</v>
      </c>
      <c r="AD201">
        <f>IF(AC201="NO",0,AB201-S201)</f>
        <v>-20000</v>
      </c>
      <c r="AE201" s="43">
        <v>0.08</v>
      </c>
      <c r="AF201" s="3">
        <f t="shared" si="12"/>
        <v>-18518.518518518518</v>
      </c>
      <c r="AG201" s="45">
        <f t="shared" si="13"/>
        <v>-20370.370370370372</v>
      </c>
      <c r="AH201" s="55"/>
    </row>
    <row r="202" spans="1:34" x14ac:dyDescent="0.25">
      <c r="A202" t="s">
        <v>896</v>
      </c>
      <c r="B202" t="s">
        <v>889</v>
      </c>
      <c r="C202" t="s">
        <v>897</v>
      </c>
      <c r="D202" t="s">
        <v>898</v>
      </c>
      <c r="E202" t="s">
        <v>899</v>
      </c>
      <c r="F202" t="s">
        <v>900</v>
      </c>
      <c r="G202" t="s">
        <v>5</v>
      </c>
      <c r="H202" t="s">
        <v>61</v>
      </c>
      <c r="I202" t="s">
        <v>62</v>
      </c>
      <c r="J202" t="s">
        <v>63</v>
      </c>
      <c r="K202" t="s">
        <v>3</v>
      </c>
      <c r="L202" t="s">
        <v>4</v>
      </c>
      <c r="M202" t="s">
        <v>49</v>
      </c>
      <c r="N202" t="s">
        <v>901</v>
      </c>
      <c r="O202" s="31" t="s">
        <v>902</v>
      </c>
      <c r="P202">
        <v>20000</v>
      </c>
      <c r="Q202" t="s">
        <v>64</v>
      </c>
      <c r="R202">
        <v>1</v>
      </c>
      <c r="S202" s="31">
        <v>0</v>
      </c>
      <c r="T202" s="39">
        <v>0</v>
      </c>
      <c r="U202">
        <v>0</v>
      </c>
      <c r="V202">
        <v>0</v>
      </c>
      <c r="W202">
        <v>0</v>
      </c>
      <c r="X202" s="39">
        <v>0</v>
      </c>
      <c r="Y202">
        <v>0</v>
      </c>
      <c r="Z202" s="31">
        <v>0</v>
      </c>
      <c r="AA202">
        <v>8</v>
      </c>
      <c r="AB202" s="3">
        <f t="shared" si="11"/>
        <v>0</v>
      </c>
      <c r="AC202" t="str">
        <f>IF(AB202-S202&lt;0,"YES","NO")</f>
        <v>NO</v>
      </c>
      <c r="AD202">
        <f>IF(AC202="NO",0,AB202-S202)</f>
        <v>0</v>
      </c>
      <c r="AE202" s="43">
        <v>0.08</v>
      </c>
      <c r="AF202" s="3">
        <f t="shared" si="12"/>
        <v>0</v>
      </c>
      <c r="AG202" s="45">
        <f t="shared" si="13"/>
        <v>0</v>
      </c>
      <c r="AH202" s="55"/>
    </row>
    <row r="203" spans="1:34" x14ac:dyDescent="0.25">
      <c r="A203" t="s">
        <v>896</v>
      </c>
      <c r="B203" t="s">
        <v>889</v>
      </c>
      <c r="C203" t="s">
        <v>897</v>
      </c>
      <c r="D203" t="s">
        <v>898</v>
      </c>
      <c r="E203" t="s">
        <v>899</v>
      </c>
      <c r="F203" t="s">
        <v>900</v>
      </c>
      <c r="G203" t="s">
        <v>5</v>
      </c>
      <c r="H203" t="s">
        <v>65</v>
      </c>
      <c r="I203" t="s">
        <v>68</v>
      </c>
      <c r="J203" t="s">
        <v>69</v>
      </c>
      <c r="K203" t="s">
        <v>3</v>
      </c>
      <c r="L203" t="s">
        <v>4</v>
      </c>
      <c r="M203" t="s">
        <v>49</v>
      </c>
      <c r="N203" t="s">
        <v>901</v>
      </c>
      <c r="O203" s="31" t="s">
        <v>902</v>
      </c>
      <c r="P203">
        <v>220</v>
      </c>
      <c r="Q203" t="s">
        <v>70</v>
      </c>
      <c r="R203">
        <v>2</v>
      </c>
      <c r="S203" s="31">
        <v>118000</v>
      </c>
      <c r="T203" s="39">
        <v>130000</v>
      </c>
      <c r="U203">
        <v>11666.66</v>
      </c>
      <c r="V203">
        <v>10000</v>
      </c>
      <c r="W203">
        <v>0</v>
      </c>
      <c r="X203" s="39">
        <v>24666.66</v>
      </c>
      <c r="Y203">
        <v>0</v>
      </c>
      <c r="Z203" s="31">
        <v>108333.34</v>
      </c>
      <c r="AA203">
        <v>8</v>
      </c>
      <c r="AB203" s="3">
        <f t="shared" si="11"/>
        <v>108333.34</v>
      </c>
      <c r="AC203" t="str">
        <f>IF(AB203-S203&lt;0,"YES","NO")</f>
        <v>YES</v>
      </c>
      <c r="AD203">
        <f>IF(AC203="NO",0,AB203-S203)</f>
        <v>-9666.6600000000035</v>
      </c>
      <c r="AE203" s="43">
        <v>0.08</v>
      </c>
      <c r="AF203" s="3">
        <f t="shared" si="12"/>
        <v>-8950.6111111111131</v>
      </c>
      <c r="AG203" s="45">
        <f t="shared" si="13"/>
        <v>-9845.6722222222252</v>
      </c>
      <c r="AH203" s="55"/>
    </row>
    <row r="204" spans="1:34" x14ac:dyDescent="0.25">
      <c r="A204" t="s">
        <v>896</v>
      </c>
      <c r="B204" t="s">
        <v>889</v>
      </c>
      <c r="C204" t="s">
        <v>897</v>
      </c>
      <c r="D204" t="s">
        <v>898</v>
      </c>
      <c r="E204" t="s">
        <v>899</v>
      </c>
      <c r="F204" t="s">
        <v>900</v>
      </c>
      <c r="G204" t="s">
        <v>5</v>
      </c>
      <c r="H204" t="s">
        <v>65</v>
      </c>
      <c r="I204" t="s">
        <v>71</v>
      </c>
      <c r="J204" t="s">
        <v>72</v>
      </c>
      <c r="K204" t="s">
        <v>3</v>
      </c>
      <c r="L204" t="s">
        <v>4</v>
      </c>
      <c r="M204" t="s">
        <v>49</v>
      </c>
      <c r="N204" t="s">
        <v>901</v>
      </c>
      <c r="O204" s="31" t="s">
        <v>902</v>
      </c>
      <c r="P204">
        <v>220</v>
      </c>
      <c r="Q204" t="s">
        <v>70</v>
      </c>
      <c r="R204">
        <v>2</v>
      </c>
      <c r="S204" s="31">
        <v>118000</v>
      </c>
      <c r="T204" s="39">
        <v>130000</v>
      </c>
      <c r="U204">
        <v>11666.66</v>
      </c>
      <c r="V204">
        <v>10000</v>
      </c>
      <c r="W204">
        <v>0</v>
      </c>
      <c r="X204" s="39">
        <v>24666.66</v>
      </c>
      <c r="Y204">
        <v>0</v>
      </c>
      <c r="Z204" s="31">
        <v>108333.34</v>
      </c>
      <c r="AA204">
        <v>8</v>
      </c>
      <c r="AB204" s="3">
        <f t="shared" si="11"/>
        <v>108333.34</v>
      </c>
      <c r="AC204" t="str">
        <f>IF(AB204-S204&lt;0,"YES","NO")</f>
        <v>YES</v>
      </c>
      <c r="AD204">
        <f>IF(AC204="NO",0,AB204-S204)</f>
        <v>-9666.6600000000035</v>
      </c>
      <c r="AE204" s="43">
        <v>0.08</v>
      </c>
      <c r="AF204" s="3">
        <f t="shared" si="12"/>
        <v>-8950.6111111111131</v>
      </c>
      <c r="AG204" s="45">
        <f t="shared" si="13"/>
        <v>-9845.6722222222252</v>
      </c>
      <c r="AH204" s="55"/>
    </row>
    <row r="205" spans="1:34" x14ac:dyDescent="0.25">
      <c r="A205" t="s">
        <v>896</v>
      </c>
      <c r="B205" t="s">
        <v>889</v>
      </c>
      <c r="C205" t="s">
        <v>897</v>
      </c>
      <c r="D205" t="s">
        <v>898</v>
      </c>
      <c r="E205" t="s">
        <v>899</v>
      </c>
      <c r="F205" t="s">
        <v>900</v>
      </c>
      <c r="G205" t="s">
        <v>5</v>
      </c>
      <c r="H205" t="s">
        <v>65</v>
      </c>
      <c r="I205" t="s">
        <v>73</v>
      </c>
      <c r="J205" t="s">
        <v>74</v>
      </c>
      <c r="K205" t="s">
        <v>3</v>
      </c>
      <c r="L205" t="s">
        <v>4</v>
      </c>
      <c r="M205" t="s">
        <v>49</v>
      </c>
      <c r="N205" t="s">
        <v>901</v>
      </c>
      <c r="O205" s="31" t="s">
        <v>902</v>
      </c>
      <c r="P205">
        <v>220</v>
      </c>
      <c r="Q205" t="s">
        <v>70</v>
      </c>
      <c r="R205">
        <v>2</v>
      </c>
      <c r="S205" s="31">
        <v>118000</v>
      </c>
      <c r="T205" s="39">
        <v>130000</v>
      </c>
      <c r="U205">
        <v>11666.66</v>
      </c>
      <c r="V205">
        <v>10000</v>
      </c>
      <c r="W205">
        <v>0</v>
      </c>
      <c r="X205" s="39">
        <v>24666.66</v>
      </c>
      <c r="Y205">
        <v>0</v>
      </c>
      <c r="Z205" s="31">
        <v>108333.34</v>
      </c>
      <c r="AA205">
        <v>8</v>
      </c>
      <c r="AB205" s="3">
        <f t="shared" si="11"/>
        <v>108333.34</v>
      </c>
      <c r="AC205" t="str">
        <f>IF(AB205-S205&lt;0,"YES","NO")</f>
        <v>YES</v>
      </c>
      <c r="AD205">
        <f>IF(AC205="NO",0,AB205-S205)</f>
        <v>-9666.6600000000035</v>
      </c>
      <c r="AE205" s="43">
        <v>0.08</v>
      </c>
      <c r="AF205" s="3">
        <f t="shared" si="12"/>
        <v>-8950.6111111111131</v>
      </c>
      <c r="AG205" s="45">
        <f t="shared" si="13"/>
        <v>-9845.6722222222252</v>
      </c>
      <c r="AH205" s="55"/>
    </row>
    <row r="206" spans="1:34" x14ac:dyDescent="0.25">
      <c r="A206" t="s">
        <v>903</v>
      </c>
      <c r="B206" t="s">
        <v>904</v>
      </c>
      <c r="C206" t="s">
        <v>905</v>
      </c>
      <c r="D206" t="s">
        <v>906</v>
      </c>
      <c r="E206" t="s">
        <v>907</v>
      </c>
      <c r="F206" t="s">
        <v>908</v>
      </c>
      <c r="G206" t="s">
        <v>5</v>
      </c>
      <c r="H206" t="s">
        <v>65</v>
      </c>
      <c r="I206" t="s">
        <v>66</v>
      </c>
      <c r="J206" t="s">
        <v>67</v>
      </c>
      <c r="K206" t="s">
        <v>3</v>
      </c>
      <c r="L206" t="s">
        <v>4</v>
      </c>
      <c r="M206" t="s">
        <v>49</v>
      </c>
      <c r="N206" t="s">
        <v>909</v>
      </c>
      <c r="O206" s="31" t="s">
        <v>910</v>
      </c>
      <c r="P206">
        <v>220</v>
      </c>
      <c r="R206">
        <v>6</v>
      </c>
      <c r="S206" s="31">
        <v>450000</v>
      </c>
      <c r="T206" s="39">
        <v>480000</v>
      </c>
      <c r="U206">
        <v>75000</v>
      </c>
      <c r="V206">
        <v>25000.02</v>
      </c>
      <c r="W206">
        <v>0</v>
      </c>
      <c r="X206" s="39">
        <v>174999.96</v>
      </c>
      <c r="Y206">
        <v>0</v>
      </c>
      <c r="Z206" s="31">
        <v>379999.98</v>
      </c>
      <c r="AA206">
        <v>8</v>
      </c>
      <c r="AB206" s="3">
        <f t="shared" si="11"/>
        <v>379999.98</v>
      </c>
      <c r="AC206" t="str">
        <f>IF(AB206-S206&lt;0,"YES","NO")</f>
        <v>YES</v>
      </c>
      <c r="AD206">
        <f>IF(AC206="NO",0,AB206-S206)</f>
        <v>-70000.020000000019</v>
      </c>
      <c r="AE206" s="43">
        <v>0.08</v>
      </c>
      <c r="AF206" s="3">
        <f t="shared" si="12"/>
        <v>-64814.833333333343</v>
      </c>
      <c r="AG206" s="45">
        <f t="shared" si="13"/>
        <v>-71296.31666666668</v>
      </c>
      <c r="AH206" s="55"/>
    </row>
    <row r="207" spans="1:34" x14ac:dyDescent="0.25">
      <c r="A207" t="s">
        <v>911</v>
      </c>
      <c r="B207" t="s">
        <v>912</v>
      </c>
      <c r="C207" t="s">
        <v>913</v>
      </c>
      <c r="D207" t="s">
        <v>914</v>
      </c>
      <c r="E207" t="s">
        <v>915</v>
      </c>
      <c r="F207" t="s">
        <v>916</v>
      </c>
      <c r="G207" t="s">
        <v>5</v>
      </c>
      <c r="H207" t="s">
        <v>65</v>
      </c>
      <c r="I207" t="s">
        <v>66</v>
      </c>
      <c r="J207" t="s">
        <v>67</v>
      </c>
      <c r="K207" t="s">
        <v>3</v>
      </c>
      <c r="L207" t="s">
        <v>4</v>
      </c>
      <c r="M207" t="s">
        <v>49</v>
      </c>
      <c r="N207" t="s">
        <v>917</v>
      </c>
      <c r="O207" s="31" t="s">
        <v>918</v>
      </c>
      <c r="P207">
        <v>220</v>
      </c>
      <c r="R207">
        <v>6</v>
      </c>
      <c r="S207" s="31">
        <v>450000</v>
      </c>
      <c r="T207" s="39">
        <v>480000</v>
      </c>
      <c r="U207">
        <v>75000</v>
      </c>
      <c r="V207">
        <v>25000.02</v>
      </c>
      <c r="W207">
        <v>0</v>
      </c>
      <c r="X207" s="39">
        <v>135799.98000000001</v>
      </c>
      <c r="Y207">
        <v>0</v>
      </c>
      <c r="Z207" s="31">
        <v>379999.98</v>
      </c>
      <c r="AA207">
        <v>8</v>
      </c>
      <c r="AB207" s="3">
        <f t="shared" si="11"/>
        <v>379999.98</v>
      </c>
      <c r="AC207" t="str">
        <f>IF(AB207-S207&lt;0,"YES","NO")</f>
        <v>YES</v>
      </c>
      <c r="AD207">
        <f>IF(AC207="NO",0,AB207-S207)</f>
        <v>-70000.020000000019</v>
      </c>
      <c r="AE207" s="43">
        <v>0.08</v>
      </c>
      <c r="AF207" s="3">
        <f t="shared" si="12"/>
        <v>-64814.833333333343</v>
      </c>
      <c r="AG207" s="45">
        <f t="shared" si="13"/>
        <v>-71296.31666666668</v>
      </c>
      <c r="AH207" s="55"/>
    </row>
    <row r="208" spans="1:34" x14ac:dyDescent="0.25">
      <c r="A208" t="s">
        <v>919</v>
      </c>
      <c r="B208" t="s">
        <v>920</v>
      </c>
      <c r="C208" t="s">
        <v>921</v>
      </c>
      <c r="D208" t="s">
        <v>922</v>
      </c>
      <c r="E208" t="s">
        <v>923</v>
      </c>
      <c r="F208" t="s">
        <v>924</v>
      </c>
      <c r="G208" t="s">
        <v>5</v>
      </c>
      <c r="H208" t="s">
        <v>61</v>
      </c>
      <c r="I208" t="s">
        <v>84</v>
      </c>
      <c r="J208" t="s">
        <v>85</v>
      </c>
      <c r="K208" t="s">
        <v>3</v>
      </c>
      <c r="L208" t="s">
        <v>4</v>
      </c>
      <c r="M208" t="s">
        <v>49</v>
      </c>
      <c r="N208" t="s">
        <v>925</v>
      </c>
      <c r="O208" s="31" t="s">
        <v>926</v>
      </c>
      <c r="P208">
        <v>100</v>
      </c>
      <c r="Q208" t="s">
        <v>86</v>
      </c>
      <c r="R208">
        <v>1</v>
      </c>
      <c r="S208" s="31">
        <v>0</v>
      </c>
      <c r="T208" s="39">
        <v>0</v>
      </c>
      <c r="U208">
        <v>0</v>
      </c>
      <c r="V208">
        <v>0</v>
      </c>
      <c r="W208">
        <v>0</v>
      </c>
      <c r="X208" s="39">
        <v>0</v>
      </c>
      <c r="Y208">
        <v>0</v>
      </c>
      <c r="Z208" s="31">
        <v>0</v>
      </c>
      <c r="AA208">
        <v>8</v>
      </c>
      <c r="AB208" s="3">
        <f t="shared" si="11"/>
        <v>0</v>
      </c>
      <c r="AC208" t="str">
        <f>IF(AB208-S208&lt;0,"YES","NO")</f>
        <v>NO</v>
      </c>
      <c r="AD208">
        <f>IF(AC208="NO",0,AB208-S208)</f>
        <v>0</v>
      </c>
      <c r="AE208" s="43">
        <v>0.08</v>
      </c>
      <c r="AF208" s="3">
        <f t="shared" si="12"/>
        <v>0</v>
      </c>
      <c r="AG208" s="45">
        <f t="shared" si="13"/>
        <v>0</v>
      </c>
      <c r="AH208" s="55"/>
    </row>
    <row r="209" spans="1:34" x14ac:dyDescent="0.25">
      <c r="A209" t="s">
        <v>919</v>
      </c>
      <c r="B209" t="s">
        <v>920</v>
      </c>
      <c r="C209" t="s">
        <v>921</v>
      </c>
      <c r="D209" t="s">
        <v>922</v>
      </c>
      <c r="E209" t="s">
        <v>923</v>
      </c>
      <c r="F209" t="s">
        <v>924</v>
      </c>
      <c r="G209" t="s">
        <v>5</v>
      </c>
      <c r="H209" t="s">
        <v>65</v>
      </c>
      <c r="I209" t="s">
        <v>66</v>
      </c>
      <c r="J209" t="s">
        <v>67</v>
      </c>
      <c r="K209" t="s">
        <v>3</v>
      </c>
      <c r="L209" t="s">
        <v>4</v>
      </c>
      <c r="M209" t="s">
        <v>49</v>
      </c>
      <c r="N209" t="s">
        <v>925</v>
      </c>
      <c r="O209" s="31" t="s">
        <v>926</v>
      </c>
      <c r="P209">
        <v>220</v>
      </c>
      <c r="R209">
        <v>2</v>
      </c>
      <c r="S209" s="31">
        <v>150000</v>
      </c>
      <c r="T209" s="39">
        <v>160000</v>
      </c>
      <c r="U209">
        <v>20000</v>
      </c>
      <c r="V209">
        <v>16000</v>
      </c>
      <c r="W209">
        <v>0</v>
      </c>
      <c r="X209" s="39">
        <v>44800</v>
      </c>
      <c r="Y209">
        <v>0</v>
      </c>
      <c r="Z209" s="31">
        <v>124000</v>
      </c>
      <c r="AA209">
        <v>8</v>
      </c>
      <c r="AB209" s="3">
        <f t="shared" si="11"/>
        <v>124000</v>
      </c>
      <c r="AC209" t="str">
        <f>IF(AB209-S209&lt;0,"YES","NO")</f>
        <v>YES</v>
      </c>
      <c r="AD209">
        <f>IF(AC209="NO",0,AB209-S209)</f>
        <v>-26000</v>
      </c>
      <c r="AE209" s="43">
        <v>0.08</v>
      </c>
      <c r="AF209" s="3">
        <f t="shared" si="12"/>
        <v>-24074.074074074073</v>
      </c>
      <c r="AG209" s="45">
        <f t="shared" si="13"/>
        <v>-26481.481481481482</v>
      </c>
      <c r="AH209" s="55"/>
    </row>
    <row r="210" spans="1:34" x14ac:dyDescent="0.25">
      <c r="A210" t="s">
        <v>927</v>
      </c>
      <c r="B210" t="s">
        <v>928</v>
      </c>
      <c r="C210" t="s">
        <v>929</v>
      </c>
      <c r="D210" t="s">
        <v>930</v>
      </c>
      <c r="E210" t="s">
        <v>931</v>
      </c>
      <c r="F210" t="s">
        <v>932</v>
      </c>
      <c r="G210" t="s">
        <v>5</v>
      </c>
      <c r="H210" t="s">
        <v>61</v>
      </c>
      <c r="I210" t="s">
        <v>62</v>
      </c>
      <c r="J210" t="s">
        <v>63</v>
      </c>
      <c r="K210" t="s">
        <v>3</v>
      </c>
      <c r="L210" t="s">
        <v>4</v>
      </c>
      <c r="M210" t="s">
        <v>49</v>
      </c>
      <c r="N210" t="s">
        <v>933</v>
      </c>
      <c r="O210" s="31" t="s">
        <v>934</v>
      </c>
      <c r="P210">
        <v>20000</v>
      </c>
      <c r="Q210" t="s">
        <v>64</v>
      </c>
      <c r="R210">
        <v>1</v>
      </c>
      <c r="S210" s="31">
        <v>0</v>
      </c>
      <c r="T210" s="39">
        <v>0</v>
      </c>
      <c r="U210">
        <v>0</v>
      </c>
      <c r="V210">
        <v>0</v>
      </c>
      <c r="W210">
        <v>0</v>
      </c>
      <c r="X210" s="39">
        <v>0</v>
      </c>
      <c r="Y210">
        <v>0</v>
      </c>
      <c r="Z210" s="31">
        <v>0</v>
      </c>
      <c r="AA210">
        <v>8</v>
      </c>
      <c r="AB210" s="3">
        <f t="shared" si="11"/>
        <v>0</v>
      </c>
      <c r="AC210" t="str">
        <f>IF(AB210-S210&lt;0,"YES","NO")</f>
        <v>NO</v>
      </c>
      <c r="AD210">
        <f>IF(AC210="NO",0,AB210-S210)</f>
        <v>0</v>
      </c>
      <c r="AE210" s="43">
        <v>0.08</v>
      </c>
      <c r="AF210" s="3">
        <f t="shared" si="12"/>
        <v>0</v>
      </c>
      <c r="AG210" s="45">
        <f t="shared" si="13"/>
        <v>0</v>
      </c>
      <c r="AH210" s="55"/>
    </row>
    <row r="211" spans="1:34" x14ac:dyDescent="0.25">
      <c r="A211" t="s">
        <v>927</v>
      </c>
      <c r="B211" t="s">
        <v>928</v>
      </c>
      <c r="C211" t="s">
        <v>929</v>
      </c>
      <c r="D211" t="s">
        <v>930</v>
      </c>
      <c r="E211" t="s">
        <v>931</v>
      </c>
      <c r="F211" t="s">
        <v>932</v>
      </c>
      <c r="G211" t="s">
        <v>5</v>
      </c>
      <c r="H211" t="s">
        <v>65</v>
      </c>
      <c r="I211" t="s">
        <v>66</v>
      </c>
      <c r="J211" t="s">
        <v>67</v>
      </c>
      <c r="K211" t="s">
        <v>3</v>
      </c>
      <c r="L211" t="s">
        <v>4</v>
      </c>
      <c r="M211" t="s">
        <v>49</v>
      </c>
      <c r="N211" t="s">
        <v>933</v>
      </c>
      <c r="O211" s="31" t="s">
        <v>934</v>
      </c>
      <c r="P211">
        <v>220</v>
      </c>
      <c r="R211">
        <v>2</v>
      </c>
      <c r="S211" s="31">
        <v>150000</v>
      </c>
      <c r="T211" s="39">
        <v>160000</v>
      </c>
      <c r="U211">
        <v>20000</v>
      </c>
      <c r="V211">
        <v>16000</v>
      </c>
      <c r="W211">
        <v>0</v>
      </c>
      <c r="X211" s="39">
        <v>38600</v>
      </c>
      <c r="Y211">
        <v>0</v>
      </c>
      <c r="Z211" s="31">
        <v>124000</v>
      </c>
      <c r="AA211">
        <v>8</v>
      </c>
      <c r="AB211" s="3">
        <f t="shared" si="11"/>
        <v>124000</v>
      </c>
      <c r="AC211" t="str">
        <f>IF(AB211-S211&lt;0,"YES","NO")</f>
        <v>YES</v>
      </c>
      <c r="AD211">
        <f>IF(AC211="NO",0,AB211-S211)</f>
        <v>-26000</v>
      </c>
      <c r="AE211" s="43">
        <v>0.08</v>
      </c>
      <c r="AF211" s="3">
        <f t="shared" si="12"/>
        <v>-24074.074074074073</v>
      </c>
      <c r="AG211" s="45">
        <f t="shared" si="13"/>
        <v>-26481.481481481482</v>
      </c>
      <c r="AH211" s="55"/>
    </row>
    <row r="212" spans="1:34" x14ac:dyDescent="0.25">
      <c r="A212" t="s">
        <v>935</v>
      </c>
      <c r="B212" t="s">
        <v>936</v>
      </c>
      <c r="C212" t="s">
        <v>937</v>
      </c>
      <c r="D212" t="s">
        <v>938</v>
      </c>
      <c r="E212" t="s">
        <v>939</v>
      </c>
      <c r="F212" t="s">
        <v>940</v>
      </c>
      <c r="G212" t="s">
        <v>5</v>
      </c>
      <c r="H212" t="s">
        <v>61</v>
      </c>
      <c r="I212" t="s">
        <v>93</v>
      </c>
      <c r="J212" t="s">
        <v>94</v>
      </c>
      <c r="K212" t="s">
        <v>3</v>
      </c>
      <c r="L212" t="s">
        <v>4</v>
      </c>
      <c r="M212" t="s">
        <v>49</v>
      </c>
      <c r="N212" t="s">
        <v>941</v>
      </c>
      <c r="O212" s="31" t="s">
        <v>942</v>
      </c>
      <c r="P212">
        <v>20</v>
      </c>
      <c r="Q212" t="s">
        <v>86</v>
      </c>
      <c r="R212">
        <v>1</v>
      </c>
      <c r="S212" s="31">
        <v>0</v>
      </c>
      <c r="T212" s="39">
        <v>0</v>
      </c>
      <c r="U212">
        <v>0</v>
      </c>
      <c r="V212">
        <v>0</v>
      </c>
      <c r="W212">
        <v>0</v>
      </c>
      <c r="X212" s="39">
        <v>0</v>
      </c>
      <c r="Y212">
        <v>0</v>
      </c>
      <c r="Z212" s="31">
        <v>0</v>
      </c>
      <c r="AA212">
        <v>8</v>
      </c>
      <c r="AB212" s="3">
        <f t="shared" si="11"/>
        <v>0</v>
      </c>
      <c r="AC212" t="str">
        <f>IF(AB212-S212&lt;0,"YES","NO")</f>
        <v>NO</v>
      </c>
      <c r="AD212">
        <f>IF(AC212="NO",0,AB212-S212)</f>
        <v>0</v>
      </c>
      <c r="AE212" s="43">
        <v>0.08</v>
      </c>
      <c r="AF212" s="3">
        <f t="shared" si="12"/>
        <v>0</v>
      </c>
      <c r="AG212" s="45">
        <f t="shared" si="13"/>
        <v>0</v>
      </c>
      <c r="AH212" s="55"/>
    </row>
    <row r="213" spans="1:34" x14ac:dyDescent="0.25">
      <c r="A213" t="s">
        <v>935</v>
      </c>
      <c r="B213" t="s">
        <v>936</v>
      </c>
      <c r="C213" t="s">
        <v>937</v>
      </c>
      <c r="D213" t="s">
        <v>938</v>
      </c>
      <c r="E213" t="s">
        <v>939</v>
      </c>
      <c r="F213" t="s">
        <v>940</v>
      </c>
      <c r="G213" t="s">
        <v>5</v>
      </c>
      <c r="H213" t="s">
        <v>65</v>
      </c>
      <c r="I213" t="s">
        <v>100</v>
      </c>
      <c r="J213" t="s">
        <v>101</v>
      </c>
      <c r="K213" t="s">
        <v>3</v>
      </c>
      <c r="L213" t="s">
        <v>4</v>
      </c>
      <c r="M213" t="s">
        <v>49</v>
      </c>
      <c r="N213" t="s">
        <v>941</v>
      </c>
      <c r="O213" s="31" t="s">
        <v>942</v>
      </c>
      <c r="P213">
        <v>200</v>
      </c>
      <c r="R213">
        <v>6</v>
      </c>
      <c r="S213" s="31">
        <v>432000</v>
      </c>
      <c r="T213" s="39">
        <v>480000</v>
      </c>
      <c r="U213">
        <v>75000</v>
      </c>
      <c r="V213">
        <v>48000</v>
      </c>
      <c r="W213">
        <v>0</v>
      </c>
      <c r="X213" s="39">
        <v>124980</v>
      </c>
      <c r="Y213">
        <v>0</v>
      </c>
      <c r="Z213" s="31">
        <v>357000</v>
      </c>
      <c r="AA213">
        <v>8</v>
      </c>
      <c r="AB213" s="3">
        <f t="shared" si="11"/>
        <v>357000</v>
      </c>
      <c r="AC213" t="str">
        <f>IF(AB213-S213&lt;0,"YES","NO")</f>
        <v>YES</v>
      </c>
      <c r="AD213">
        <f>IF(AC213="NO",0,AB213-S213)</f>
        <v>-75000</v>
      </c>
      <c r="AE213" s="43">
        <v>0.08</v>
      </c>
      <c r="AF213" s="3">
        <f t="shared" si="12"/>
        <v>-69444.444444444438</v>
      </c>
      <c r="AG213" s="45">
        <f t="shared" si="13"/>
        <v>-76388.888888888891</v>
      </c>
      <c r="AH213" s="55"/>
    </row>
    <row r="214" spans="1:34" x14ac:dyDescent="0.25">
      <c r="A214" t="s">
        <v>943</v>
      </c>
      <c r="B214" t="s">
        <v>944</v>
      </c>
      <c r="C214" t="s">
        <v>945</v>
      </c>
      <c r="D214" t="s">
        <v>946</v>
      </c>
      <c r="E214" t="s">
        <v>947</v>
      </c>
      <c r="F214" t="s">
        <v>948</v>
      </c>
      <c r="G214" t="s">
        <v>5</v>
      </c>
      <c r="H214" t="s">
        <v>61</v>
      </c>
      <c r="I214" t="s">
        <v>93</v>
      </c>
      <c r="J214" t="s">
        <v>94</v>
      </c>
      <c r="K214" t="s">
        <v>3</v>
      </c>
      <c r="L214" t="s">
        <v>4</v>
      </c>
      <c r="M214" t="s">
        <v>49</v>
      </c>
      <c r="N214" t="s">
        <v>949</v>
      </c>
      <c r="O214" s="31" t="s">
        <v>950</v>
      </c>
      <c r="P214">
        <v>20</v>
      </c>
      <c r="Q214" t="s">
        <v>86</v>
      </c>
      <c r="R214">
        <v>1</v>
      </c>
      <c r="S214" s="31">
        <v>0</v>
      </c>
      <c r="T214" s="39">
        <v>0</v>
      </c>
      <c r="U214">
        <v>0</v>
      </c>
      <c r="V214">
        <v>0</v>
      </c>
      <c r="W214">
        <v>0</v>
      </c>
      <c r="X214" s="39">
        <v>0</v>
      </c>
      <c r="Y214">
        <v>0</v>
      </c>
      <c r="Z214" s="31">
        <v>0</v>
      </c>
      <c r="AA214">
        <v>8</v>
      </c>
      <c r="AB214" s="3">
        <f t="shared" si="11"/>
        <v>0</v>
      </c>
      <c r="AC214" t="str">
        <f>IF(AB214-S214&lt;0,"YES","NO")</f>
        <v>NO</v>
      </c>
      <c r="AD214">
        <f>IF(AC214="NO",0,AB214-S214)</f>
        <v>0</v>
      </c>
      <c r="AE214" s="43">
        <v>0.08</v>
      </c>
      <c r="AF214" s="3">
        <f t="shared" si="12"/>
        <v>0</v>
      </c>
      <c r="AG214" s="45">
        <f t="shared" si="13"/>
        <v>0</v>
      </c>
      <c r="AH214" s="55"/>
    </row>
    <row r="215" spans="1:34" x14ac:dyDescent="0.25">
      <c r="A215" t="s">
        <v>943</v>
      </c>
      <c r="B215" t="s">
        <v>944</v>
      </c>
      <c r="C215" t="s">
        <v>945</v>
      </c>
      <c r="D215" t="s">
        <v>946</v>
      </c>
      <c r="E215" t="s">
        <v>947</v>
      </c>
      <c r="F215" t="s">
        <v>948</v>
      </c>
      <c r="G215" t="s">
        <v>5</v>
      </c>
      <c r="H215" t="s">
        <v>65</v>
      </c>
      <c r="I215" t="s">
        <v>100</v>
      </c>
      <c r="J215" t="s">
        <v>101</v>
      </c>
      <c r="K215" t="s">
        <v>3</v>
      </c>
      <c r="L215" t="s">
        <v>4</v>
      </c>
      <c r="M215" t="s">
        <v>49</v>
      </c>
      <c r="N215" t="s">
        <v>949</v>
      </c>
      <c r="O215" s="31" t="s">
        <v>950</v>
      </c>
      <c r="P215">
        <v>200</v>
      </c>
      <c r="R215">
        <v>6</v>
      </c>
      <c r="S215" s="31">
        <v>432000</v>
      </c>
      <c r="T215" s="39">
        <v>480000</v>
      </c>
      <c r="U215">
        <v>75000</v>
      </c>
      <c r="V215">
        <v>48000</v>
      </c>
      <c r="W215">
        <v>0</v>
      </c>
      <c r="X215" s="39">
        <v>124980</v>
      </c>
      <c r="Y215">
        <v>0</v>
      </c>
      <c r="Z215" s="31">
        <v>357000</v>
      </c>
      <c r="AA215">
        <v>8</v>
      </c>
      <c r="AB215" s="3">
        <f t="shared" si="11"/>
        <v>357000</v>
      </c>
      <c r="AC215" t="str">
        <f>IF(AB215-S215&lt;0,"YES","NO")</f>
        <v>YES</v>
      </c>
      <c r="AD215">
        <f>IF(AC215="NO",0,AB215-S215)</f>
        <v>-75000</v>
      </c>
      <c r="AE215" s="43">
        <v>0.08</v>
      </c>
      <c r="AF215" s="3">
        <f t="shared" si="12"/>
        <v>-69444.444444444438</v>
      </c>
      <c r="AG215" s="45">
        <f t="shared" si="13"/>
        <v>-76388.888888888891</v>
      </c>
      <c r="AH215" s="55"/>
    </row>
    <row r="216" spans="1:34" x14ac:dyDescent="0.25">
      <c r="A216" t="s">
        <v>951</v>
      </c>
      <c r="B216" t="s">
        <v>952</v>
      </c>
      <c r="C216" t="s">
        <v>953</v>
      </c>
      <c r="D216" t="s">
        <v>954</v>
      </c>
      <c r="E216" t="s">
        <v>955</v>
      </c>
      <c r="F216" t="s">
        <v>956</v>
      </c>
      <c r="G216" t="s">
        <v>5</v>
      </c>
      <c r="H216" t="s">
        <v>61</v>
      </c>
      <c r="I216" t="s">
        <v>84</v>
      </c>
      <c r="J216" t="s">
        <v>85</v>
      </c>
      <c r="K216" t="s">
        <v>3</v>
      </c>
      <c r="L216" t="s">
        <v>4</v>
      </c>
      <c r="M216" t="s">
        <v>49</v>
      </c>
      <c r="N216" t="s">
        <v>957</v>
      </c>
      <c r="O216" s="31" t="s">
        <v>958</v>
      </c>
      <c r="P216">
        <v>100</v>
      </c>
      <c r="Q216" t="s">
        <v>86</v>
      </c>
      <c r="R216">
        <v>1</v>
      </c>
      <c r="S216" s="31">
        <v>0</v>
      </c>
      <c r="T216" s="39">
        <v>0</v>
      </c>
      <c r="U216">
        <v>0</v>
      </c>
      <c r="V216">
        <v>0</v>
      </c>
      <c r="W216">
        <v>0</v>
      </c>
      <c r="X216" s="39">
        <v>0</v>
      </c>
      <c r="Y216">
        <v>0</v>
      </c>
      <c r="Z216" s="31">
        <v>0</v>
      </c>
      <c r="AA216">
        <v>8</v>
      </c>
      <c r="AB216" s="3">
        <f t="shared" si="11"/>
        <v>0</v>
      </c>
      <c r="AC216" t="str">
        <f>IF(AB216-S216&lt;0,"YES","NO")</f>
        <v>NO</v>
      </c>
      <c r="AD216">
        <f>IF(AC216="NO",0,AB216-S216)</f>
        <v>0</v>
      </c>
      <c r="AE216" s="43">
        <v>0.08</v>
      </c>
      <c r="AF216" s="3">
        <f t="shared" si="12"/>
        <v>0</v>
      </c>
      <c r="AG216" s="45">
        <f t="shared" si="13"/>
        <v>0</v>
      </c>
      <c r="AH216" s="55"/>
    </row>
    <row r="217" spans="1:34" x14ac:dyDescent="0.25">
      <c r="A217" t="s">
        <v>951</v>
      </c>
      <c r="B217" t="s">
        <v>952</v>
      </c>
      <c r="C217" t="s">
        <v>953</v>
      </c>
      <c r="D217" t="s">
        <v>954</v>
      </c>
      <c r="E217" t="s">
        <v>955</v>
      </c>
      <c r="F217" t="s">
        <v>956</v>
      </c>
      <c r="G217" t="s">
        <v>5</v>
      </c>
      <c r="H217" t="s">
        <v>65</v>
      </c>
      <c r="I217" t="s">
        <v>66</v>
      </c>
      <c r="J217" t="s">
        <v>67</v>
      </c>
      <c r="K217" t="s">
        <v>3</v>
      </c>
      <c r="L217" t="s">
        <v>4</v>
      </c>
      <c r="M217" t="s">
        <v>49</v>
      </c>
      <c r="N217" t="s">
        <v>957</v>
      </c>
      <c r="O217" s="31" t="s">
        <v>958</v>
      </c>
      <c r="P217">
        <v>220</v>
      </c>
      <c r="R217">
        <v>3</v>
      </c>
      <c r="S217" s="31">
        <v>225000</v>
      </c>
      <c r="T217" s="39">
        <v>240000</v>
      </c>
      <c r="U217">
        <v>35000.01</v>
      </c>
      <c r="V217">
        <v>24000</v>
      </c>
      <c r="W217">
        <v>0</v>
      </c>
      <c r="X217" s="39">
        <v>60339.99</v>
      </c>
      <c r="Y217">
        <v>0</v>
      </c>
      <c r="Z217" s="31">
        <v>180999.99</v>
      </c>
      <c r="AA217">
        <v>8</v>
      </c>
      <c r="AB217" s="3">
        <f t="shared" si="11"/>
        <v>180999.99</v>
      </c>
      <c r="AC217" t="str">
        <f>IF(AB217-S217&lt;0,"YES","NO")</f>
        <v>YES</v>
      </c>
      <c r="AD217">
        <f>IF(AC217="NO",0,AB217-S217)</f>
        <v>-44000.010000000009</v>
      </c>
      <c r="AE217" s="43">
        <v>0.08</v>
      </c>
      <c r="AF217" s="3">
        <f t="shared" si="12"/>
        <v>-40740.750000000007</v>
      </c>
      <c r="AG217" s="45">
        <f t="shared" si="13"/>
        <v>-44814.825000000012</v>
      </c>
      <c r="AH217" s="55"/>
    </row>
    <row r="218" spans="1:34" x14ac:dyDescent="0.25">
      <c r="A218" t="s">
        <v>959</v>
      </c>
      <c r="B218" t="s">
        <v>960</v>
      </c>
      <c r="C218" t="s">
        <v>961</v>
      </c>
      <c r="D218" t="s">
        <v>962</v>
      </c>
      <c r="E218" t="s">
        <v>963</v>
      </c>
      <c r="F218" t="s">
        <v>964</v>
      </c>
      <c r="G218" t="s">
        <v>5</v>
      </c>
      <c r="H218" t="s">
        <v>61</v>
      </c>
      <c r="I218" t="s">
        <v>84</v>
      </c>
      <c r="J218" t="s">
        <v>85</v>
      </c>
      <c r="K218" t="s">
        <v>3</v>
      </c>
      <c r="L218" t="s">
        <v>4</v>
      </c>
      <c r="M218" t="s">
        <v>49</v>
      </c>
      <c r="N218" t="s">
        <v>965</v>
      </c>
      <c r="O218" s="31" t="s">
        <v>966</v>
      </c>
      <c r="P218">
        <v>100</v>
      </c>
      <c r="Q218" t="s">
        <v>86</v>
      </c>
      <c r="R218">
        <v>1</v>
      </c>
      <c r="S218" s="31">
        <v>0</v>
      </c>
      <c r="T218" s="39">
        <v>0</v>
      </c>
      <c r="U218">
        <v>0</v>
      </c>
      <c r="V218">
        <v>0</v>
      </c>
      <c r="W218">
        <v>0</v>
      </c>
      <c r="X218" s="39">
        <v>0</v>
      </c>
      <c r="Y218">
        <v>0</v>
      </c>
      <c r="Z218" s="31">
        <v>0</v>
      </c>
      <c r="AA218">
        <v>8</v>
      </c>
      <c r="AB218" s="3">
        <f t="shared" si="11"/>
        <v>0</v>
      </c>
      <c r="AC218" t="str">
        <f>IF(AB218-S218&lt;0,"YES","NO")</f>
        <v>NO</v>
      </c>
      <c r="AD218">
        <f>IF(AC218="NO",0,AB218-S218)</f>
        <v>0</v>
      </c>
      <c r="AE218" s="43">
        <v>0.08</v>
      </c>
      <c r="AF218" s="3">
        <f t="shared" si="12"/>
        <v>0</v>
      </c>
      <c r="AG218" s="45">
        <f t="shared" si="13"/>
        <v>0</v>
      </c>
      <c r="AH218" s="55"/>
    </row>
    <row r="219" spans="1:34" x14ac:dyDescent="0.25">
      <c r="A219" t="s">
        <v>959</v>
      </c>
      <c r="B219" t="s">
        <v>960</v>
      </c>
      <c r="C219" t="s">
        <v>961</v>
      </c>
      <c r="D219" t="s">
        <v>962</v>
      </c>
      <c r="E219" t="s">
        <v>963</v>
      </c>
      <c r="F219" t="s">
        <v>964</v>
      </c>
      <c r="G219" t="s">
        <v>5</v>
      </c>
      <c r="H219" t="s">
        <v>65</v>
      </c>
      <c r="I219" t="s">
        <v>66</v>
      </c>
      <c r="J219" t="s">
        <v>67</v>
      </c>
      <c r="K219" t="s">
        <v>3</v>
      </c>
      <c r="L219" t="s">
        <v>4</v>
      </c>
      <c r="M219" t="s">
        <v>49</v>
      </c>
      <c r="N219" t="s">
        <v>965</v>
      </c>
      <c r="O219" s="31" t="s">
        <v>966</v>
      </c>
      <c r="P219">
        <v>220</v>
      </c>
      <c r="R219">
        <v>2</v>
      </c>
      <c r="S219" s="31">
        <v>150000</v>
      </c>
      <c r="T219" s="39">
        <v>160000</v>
      </c>
      <c r="U219">
        <v>20000</v>
      </c>
      <c r="V219">
        <v>16000</v>
      </c>
      <c r="W219">
        <v>0</v>
      </c>
      <c r="X219" s="39">
        <v>44800</v>
      </c>
      <c r="Y219">
        <v>0</v>
      </c>
      <c r="Z219" s="31">
        <v>124000</v>
      </c>
      <c r="AA219">
        <v>8</v>
      </c>
      <c r="AB219" s="3">
        <f t="shared" si="11"/>
        <v>124000</v>
      </c>
      <c r="AC219" t="str">
        <f>IF(AB219-S219&lt;0,"YES","NO")</f>
        <v>YES</v>
      </c>
      <c r="AD219">
        <f>IF(AC219="NO",0,AB219-S219)</f>
        <v>-26000</v>
      </c>
      <c r="AE219" s="43">
        <v>0.08</v>
      </c>
      <c r="AF219" s="3">
        <f t="shared" si="12"/>
        <v>-24074.074074074073</v>
      </c>
      <c r="AG219" s="45">
        <f t="shared" si="13"/>
        <v>-26481.481481481482</v>
      </c>
      <c r="AH219" s="55"/>
    </row>
    <row r="220" spans="1:34" x14ac:dyDescent="0.25">
      <c r="A220" t="s">
        <v>967</v>
      </c>
      <c r="B220" t="s">
        <v>968</v>
      </c>
      <c r="C220" t="s">
        <v>969</v>
      </c>
      <c r="D220" t="s">
        <v>970</v>
      </c>
      <c r="E220" t="s">
        <v>971</v>
      </c>
      <c r="F220" t="s">
        <v>972</v>
      </c>
      <c r="G220" t="s">
        <v>5</v>
      </c>
      <c r="H220" t="s">
        <v>65</v>
      </c>
      <c r="I220" t="s">
        <v>66</v>
      </c>
      <c r="J220" t="s">
        <v>67</v>
      </c>
      <c r="K220" t="s">
        <v>3</v>
      </c>
      <c r="L220" t="s">
        <v>4</v>
      </c>
      <c r="M220" t="s">
        <v>49</v>
      </c>
      <c r="N220" t="s">
        <v>973</v>
      </c>
      <c r="O220" s="31" t="s">
        <v>974</v>
      </c>
      <c r="P220">
        <v>220</v>
      </c>
      <c r="R220">
        <v>6</v>
      </c>
      <c r="S220" s="31">
        <v>450000</v>
      </c>
      <c r="T220" s="39">
        <v>480000</v>
      </c>
      <c r="U220">
        <v>75000</v>
      </c>
      <c r="V220">
        <v>48000</v>
      </c>
      <c r="W220">
        <v>0</v>
      </c>
      <c r="X220" s="39">
        <v>146400</v>
      </c>
      <c r="Y220">
        <v>0</v>
      </c>
      <c r="Z220" s="31">
        <v>357000</v>
      </c>
      <c r="AA220">
        <v>8</v>
      </c>
      <c r="AB220" s="3">
        <f t="shared" si="11"/>
        <v>357000</v>
      </c>
      <c r="AC220" t="str">
        <f>IF(AB220-S220&lt;0,"YES","NO")</f>
        <v>YES</v>
      </c>
      <c r="AD220">
        <f>IF(AC220="NO",0,AB220-S220)</f>
        <v>-93000</v>
      </c>
      <c r="AE220" s="43">
        <v>0.08</v>
      </c>
      <c r="AF220" s="3">
        <f t="shared" si="12"/>
        <v>-86111.111111111109</v>
      </c>
      <c r="AG220" s="45">
        <f t="shared" si="13"/>
        <v>-94722.222222222234</v>
      </c>
      <c r="AH220" s="55"/>
    </row>
    <row r="221" spans="1:34" x14ac:dyDescent="0.25">
      <c r="A221" t="s">
        <v>975</v>
      </c>
      <c r="B221" t="s">
        <v>976</v>
      </c>
      <c r="C221" t="s">
        <v>977</v>
      </c>
      <c r="D221" t="s">
        <v>978</v>
      </c>
      <c r="E221" t="s">
        <v>979</v>
      </c>
      <c r="F221" t="s">
        <v>956</v>
      </c>
      <c r="G221" t="s">
        <v>5</v>
      </c>
      <c r="H221" t="s">
        <v>65</v>
      </c>
      <c r="I221" t="s">
        <v>68</v>
      </c>
      <c r="J221" t="s">
        <v>69</v>
      </c>
      <c r="K221" t="s">
        <v>3</v>
      </c>
      <c r="L221" t="s">
        <v>4</v>
      </c>
      <c r="M221" t="s">
        <v>49</v>
      </c>
      <c r="N221" t="s">
        <v>980</v>
      </c>
      <c r="O221" s="31" t="s">
        <v>981</v>
      </c>
      <c r="P221">
        <v>220</v>
      </c>
      <c r="Q221" t="s">
        <v>70</v>
      </c>
      <c r="R221">
        <v>1</v>
      </c>
      <c r="S221" s="31">
        <v>59000</v>
      </c>
      <c r="T221" s="39">
        <v>65000</v>
      </c>
      <c r="U221">
        <v>11666.67</v>
      </c>
      <c r="V221">
        <v>5000</v>
      </c>
      <c r="W221">
        <v>0</v>
      </c>
      <c r="X221" s="39">
        <v>21333.33</v>
      </c>
      <c r="Y221">
        <v>0</v>
      </c>
      <c r="Z221" s="31">
        <v>48333.33</v>
      </c>
      <c r="AA221">
        <v>8</v>
      </c>
      <c r="AB221" s="3">
        <f t="shared" si="11"/>
        <v>48333.33</v>
      </c>
      <c r="AC221" t="str">
        <f>IF(AB221-S221&lt;0,"YES","NO")</f>
        <v>YES</v>
      </c>
      <c r="AD221">
        <f>IF(AC221="NO",0,AB221-S221)</f>
        <v>-10666.669999999998</v>
      </c>
      <c r="AE221" s="43">
        <v>0.08</v>
      </c>
      <c r="AF221" s="3">
        <f t="shared" si="12"/>
        <v>-9876.5462962962938</v>
      </c>
      <c r="AG221" s="45">
        <f t="shared" si="13"/>
        <v>-10864.200925925925</v>
      </c>
      <c r="AH221" s="55"/>
    </row>
    <row r="222" spans="1:34" x14ac:dyDescent="0.25">
      <c r="A222" t="s">
        <v>975</v>
      </c>
      <c r="B222" t="s">
        <v>976</v>
      </c>
      <c r="C222" t="s">
        <v>977</v>
      </c>
      <c r="D222" t="s">
        <v>978</v>
      </c>
      <c r="E222" t="s">
        <v>979</v>
      </c>
      <c r="F222" t="s">
        <v>956</v>
      </c>
      <c r="G222" t="s">
        <v>5</v>
      </c>
      <c r="H222" t="s">
        <v>65</v>
      </c>
      <c r="I222" t="s">
        <v>71</v>
      </c>
      <c r="J222" t="s">
        <v>72</v>
      </c>
      <c r="K222" t="s">
        <v>3</v>
      </c>
      <c r="L222" t="s">
        <v>4</v>
      </c>
      <c r="M222" t="s">
        <v>49</v>
      </c>
      <c r="N222" t="s">
        <v>980</v>
      </c>
      <c r="O222" s="31" t="s">
        <v>981</v>
      </c>
      <c r="P222">
        <v>220</v>
      </c>
      <c r="Q222" t="s">
        <v>70</v>
      </c>
      <c r="R222">
        <v>1</v>
      </c>
      <c r="S222" s="31">
        <v>59000</v>
      </c>
      <c r="T222" s="39">
        <v>65000</v>
      </c>
      <c r="U222">
        <v>11666.67</v>
      </c>
      <c r="V222">
        <v>5000</v>
      </c>
      <c r="W222">
        <v>0</v>
      </c>
      <c r="X222" s="39">
        <v>21333.33</v>
      </c>
      <c r="Y222">
        <v>0</v>
      </c>
      <c r="Z222" s="31">
        <v>48333.33</v>
      </c>
      <c r="AA222">
        <v>8</v>
      </c>
      <c r="AB222" s="3">
        <f t="shared" si="11"/>
        <v>48333.33</v>
      </c>
      <c r="AC222" t="str">
        <f>IF(AB222-S222&lt;0,"YES","NO")</f>
        <v>YES</v>
      </c>
      <c r="AD222">
        <f>IF(AC222="NO",0,AB222-S222)</f>
        <v>-10666.669999999998</v>
      </c>
      <c r="AE222" s="43">
        <v>0.08</v>
      </c>
      <c r="AF222" s="3">
        <f t="shared" si="12"/>
        <v>-9876.5462962962938</v>
      </c>
      <c r="AG222" s="45">
        <f t="shared" si="13"/>
        <v>-10864.200925925925</v>
      </c>
      <c r="AH222" s="55"/>
    </row>
    <row r="223" spans="1:34" x14ac:dyDescent="0.25">
      <c r="A223" t="s">
        <v>975</v>
      </c>
      <c r="B223" t="s">
        <v>976</v>
      </c>
      <c r="C223" t="s">
        <v>977</v>
      </c>
      <c r="D223" t="s">
        <v>978</v>
      </c>
      <c r="E223" t="s">
        <v>979</v>
      </c>
      <c r="F223" t="s">
        <v>956</v>
      </c>
      <c r="G223" t="s">
        <v>5</v>
      </c>
      <c r="H223" t="s">
        <v>65</v>
      </c>
      <c r="I223" t="s">
        <v>73</v>
      </c>
      <c r="J223" t="s">
        <v>74</v>
      </c>
      <c r="K223" t="s">
        <v>3</v>
      </c>
      <c r="L223" t="s">
        <v>4</v>
      </c>
      <c r="M223" t="s">
        <v>49</v>
      </c>
      <c r="N223" t="s">
        <v>980</v>
      </c>
      <c r="O223" s="31" t="s">
        <v>981</v>
      </c>
      <c r="P223">
        <v>220</v>
      </c>
      <c r="Q223" t="s">
        <v>70</v>
      </c>
      <c r="R223">
        <v>1</v>
      </c>
      <c r="S223" s="31">
        <v>59000</v>
      </c>
      <c r="T223" s="39">
        <v>65000</v>
      </c>
      <c r="U223">
        <v>11666.67</v>
      </c>
      <c r="V223">
        <v>5000</v>
      </c>
      <c r="W223">
        <v>0</v>
      </c>
      <c r="X223" s="39">
        <v>21333.33</v>
      </c>
      <c r="Y223">
        <v>0</v>
      </c>
      <c r="Z223" s="31">
        <v>48333.33</v>
      </c>
      <c r="AA223">
        <v>8</v>
      </c>
      <c r="AB223" s="3">
        <f t="shared" si="11"/>
        <v>48333.33</v>
      </c>
      <c r="AC223" t="str">
        <f>IF(AB223-S223&lt;0,"YES","NO")</f>
        <v>YES</v>
      </c>
      <c r="AD223">
        <f>IF(AC223="NO",0,AB223-S223)</f>
        <v>-10666.669999999998</v>
      </c>
      <c r="AE223" s="43">
        <v>0.08</v>
      </c>
      <c r="AF223" s="3">
        <f t="shared" si="12"/>
        <v>-9876.5462962962938</v>
      </c>
      <c r="AG223" s="45">
        <f t="shared" si="13"/>
        <v>-10864.200925925925</v>
      </c>
      <c r="AH223" s="55"/>
    </row>
    <row r="224" spans="1:34" x14ac:dyDescent="0.25">
      <c r="A224" t="s">
        <v>982</v>
      </c>
      <c r="B224" t="s">
        <v>983</v>
      </c>
      <c r="C224" t="s">
        <v>984</v>
      </c>
      <c r="D224" t="s">
        <v>985</v>
      </c>
      <c r="E224" t="s">
        <v>986</v>
      </c>
      <c r="F224" t="s">
        <v>987</v>
      </c>
      <c r="G224" t="s">
        <v>5</v>
      </c>
      <c r="H224" t="s">
        <v>65</v>
      </c>
      <c r="I224" t="s">
        <v>66</v>
      </c>
      <c r="J224" t="s">
        <v>67</v>
      </c>
      <c r="K224" t="s">
        <v>3</v>
      </c>
      <c r="L224" t="s">
        <v>4</v>
      </c>
      <c r="M224" t="s">
        <v>49</v>
      </c>
      <c r="N224" t="s">
        <v>988</v>
      </c>
      <c r="O224" s="31" t="s">
        <v>989</v>
      </c>
      <c r="P224">
        <v>220</v>
      </c>
      <c r="R224">
        <v>6</v>
      </c>
      <c r="S224" s="31">
        <v>450000</v>
      </c>
      <c r="T224" s="39">
        <v>480000</v>
      </c>
      <c r="U224">
        <v>75000</v>
      </c>
      <c r="V224">
        <v>48000</v>
      </c>
      <c r="W224">
        <v>0</v>
      </c>
      <c r="X224" s="39">
        <v>128550</v>
      </c>
      <c r="Y224">
        <v>0</v>
      </c>
      <c r="Z224" s="31">
        <v>357000</v>
      </c>
      <c r="AA224">
        <v>8</v>
      </c>
      <c r="AB224" s="3">
        <f t="shared" si="11"/>
        <v>357000</v>
      </c>
      <c r="AC224" t="str">
        <f>IF(AB224-S224&lt;0,"YES","NO")</f>
        <v>YES</v>
      </c>
      <c r="AD224">
        <f>IF(AC224="NO",0,AB224-S224)</f>
        <v>-93000</v>
      </c>
      <c r="AE224" s="43">
        <v>0.08</v>
      </c>
      <c r="AF224" s="3">
        <f t="shared" si="12"/>
        <v>-86111.111111111109</v>
      </c>
      <c r="AG224" s="45">
        <f t="shared" si="13"/>
        <v>-94722.222222222234</v>
      </c>
      <c r="AH224" s="55"/>
    </row>
    <row r="225" spans="1:34" x14ac:dyDescent="0.25">
      <c r="A225" t="s">
        <v>990</v>
      </c>
      <c r="B225" t="s">
        <v>991</v>
      </c>
      <c r="C225" t="s">
        <v>992</v>
      </c>
      <c r="D225" t="s">
        <v>993</v>
      </c>
      <c r="E225" t="s">
        <v>994</v>
      </c>
      <c r="F225" t="s">
        <v>995</v>
      </c>
      <c r="G225" t="s">
        <v>5</v>
      </c>
      <c r="H225" t="s">
        <v>61</v>
      </c>
      <c r="I225" t="s">
        <v>75</v>
      </c>
      <c r="J225" t="s">
        <v>76</v>
      </c>
      <c r="K225" t="s">
        <v>3</v>
      </c>
      <c r="L225" t="s">
        <v>4</v>
      </c>
      <c r="M225" t="s">
        <v>49</v>
      </c>
      <c r="N225" t="s">
        <v>996</v>
      </c>
      <c r="O225" s="31" t="s">
        <v>997</v>
      </c>
      <c r="P225">
        <v>20</v>
      </c>
      <c r="Q225" t="s">
        <v>77</v>
      </c>
      <c r="R225">
        <v>1</v>
      </c>
      <c r="S225" s="31">
        <v>0</v>
      </c>
      <c r="T225" s="39">
        <v>0</v>
      </c>
      <c r="U225">
        <v>0</v>
      </c>
      <c r="V225">
        <v>0</v>
      </c>
      <c r="W225">
        <v>0</v>
      </c>
      <c r="X225" s="39">
        <v>0</v>
      </c>
      <c r="Y225">
        <v>0</v>
      </c>
      <c r="Z225" s="31">
        <v>0</v>
      </c>
      <c r="AA225">
        <v>8</v>
      </c>
      <c r="AB225" s="3">
        <f t="shared" si="11"/>
        <v>0</v>
      </c>
      <c r="AC225" t="str">
        <f>IF(AB225-S225&lt;0,"YES","NO")</f>
        <v>NO</v>
      </c>
      <c r="AD225">
        <f>IF(AC225="NO",0,AB225-S225)</f>
        <v>0</v>
      </c>
      <c r="AE225" s="43">
        <v>0.08</v>
      </c>
      <c r="AF225" s="3">
        <f t="shared" si="12"/>
        <v>0</v>
      </c>
      <c r="AG225" s="45">
        <f t="shared" si="13"/>
        <v>0</v>
      </c>
      <c r="AH225" s="55"/>
    </row>
    <row r="226" spans="1:34" x14ac:dyDescent="0.25">
      <c r="A226" t="s">
        <v>990</v>
      </c>
      <c r="B226" t="s">
        <v>991</v>
      </c>
      <c r="C226" t="s">
        <v>992</v>
      </c>
      <c r="D226" t="s">
        <v>993</v>
      </c>
      <c r="E226" t="s">
        <v>994</v>
      </c>
      <c r="F226" t="s">
        <v>995</v>
      </c>
      <c r="G226" t="s">
        <v>5</v>
      </c>
      <c r="H226" t="s">
        <v>65</v>
      </c>
      <c r="I226" t="s">
        <v>66</v>
      </c>
      <c r="J226" t="s">
        <v>67</v>
      </c>
      <c r="K226" t="s">
        <v>3</v>
      </c>
      <c r="L226" t="s">
        <v>4</v>
      </c>
      <c r="M226" t="s">
        <v>49</v>
      </c>
      <c r="N226" t="s">
        <v>996</v>
      </c>
      <c r="O226" s="31" t="s">
        <v>997</v>
      </c>
      <c r="P226">
        <v>220</v>
      </c>
      <c r="R226">
        <v>2</v>
      </c>
      <c r="S226" s="31">
        <v>150000</v>
      </c>
      <c r="T226" s="39">
        <v>160000</v>
      </c>
      <c r="U226">
        <v>25000</v>
      </c>
      <c r="V226">
        <v>8333.34</v>
      </c>
      <c r="W226">
        <v>0</v>
      </c>
      <c r="X226" s="39">
        <v>44000</v>
      </c>
      <c r="Y226">
        <v>0</v>
      </c>
      <c r="Z226" s="31">
        <v>126666.66</v>
      </c>
      <c r="AA226">
        <v>8</v>
      </c>
      <c r="AB226" s="3">
        <f t="shared" si="11"/>
        <v>126666.66</v>
      </c>
      <c r="AC226" t="str">
        <f>IF(AB226-S226&lt;0,"YES","NO")</f>
        <v>YES</v>
      </c>
      <c r="AD226">
        <f>IF(AC226="NO",0,AB226-S226)</f>
        <v>-23333.339999999997</v>
      </c>
      <c r="AE226" s="43">
        <v>0.08</v>
      </c>
      <c r="AF226" s="3">
        <f t="shared" si="12"/>
        <v>-21604.944444444438</v>
      </c>
      <c r="AG226" s="45">
        <f t="shared" si="13"/>
        <v>-23765.438888888883</v>
      </c>
      <c r="AH226" s="55"/>
    </row>
    <row r="227" spans="1:34" x14ac:dyDescent="0.25">
      <c r="A227" t="s">
        <v>990</v>
      </c>
      <c r="B227" t="s">
        <v>991</v>
      </c>
      <c r="C227" t="s">
        <v>992</v>
      </c>
      <c r="D227" t="s">
        <v>993</v>
      </c>
      <c r="E227" t="s">
        <v>994</v>
      </c>
      <c r="F227" t="s">
        <v>995</v>
      </c>
      <c r="G227" t="s">
        <v>5</v>
      </c>
      <c r="H227" t="s">
        <v>65</v>
      </c>
      <c r="I227" t="s">
        <v>78</v>
      </c>
      <c r="J227" t="s">
        <v>79</v>
      </c>
      <c r="K227" t="s">
        <v>3</v>
      </c>
      <c r="L227" t="s">
        <v>4</v>
      </c>
      <c r="M227" t="s">
        <v>49</v>
      </c>
      <c r="N227" t="s">
        <v>996</v>
      </c>
      <c r="O227" s="31" t="s">
        <v>997</v>
      </c>
      <c r="P227">
        <v>220</v>
      </c>
      <c r="R227">
        <v>2</v>
      </c>
      <c r="S227" s="31">
        <v>150000</v>
      </c>
      <c r="T227" s="39">
        <v>160000</v>
      </c>
      <c r="U227">
        <v>25000</v>
      </c>
      <c r="V227">
        <v>8333.34</v>
      </c>
      <c r="W227">
        <v>0</v>
      </c>
      <c r="X227" s="39">
        <v>44000</v>
      </c>
      <c r="Y227">
        <v>0</v>
      </c>
      <c r="Z227" s="31">
        <v>126666.66</v>
      </c>
      <c r="AA227">
        <v>8</v>
      </c>
      <c r="AB227" s="3">
        <f t="shared" si="11"/>
        <v>126666.66</v>
      </c>
      <c r="AC227" t="str">
        <f>IF(AB227-S227&lt;0,"YES","NO")</f>
        <v>YES</v>
      </c>
      <c r="AD227">
        <f>IF(AC227="NO",0,AB227-S227)</f>
        <v>-23333.339999999997</v>
      </c>
      <c r="AE227" s="43">
        <v>0.08</v>
      </c>
      <c r="AF227" s="3">
        <f t="shared" si="12"/>
        <v>-21604.944444444438</v>
      </c>
      <c r="AG227" s="45">
        <f t="shared" si="13"/>
        <v>-23765.438888888883</v>
      </c>
      <c r="AH227" s="55"/>
    </row>
    <row r="228" spans="1:34" x14ac:dyDescent="0.25">
      <c r="A228" t="s">
        <v>990</v>
      </c>
      <c r="B228" t="s">
        <v>991</v>
      </c>
      <c r="C228" t="s">
        <v>992</v>
      </c>
      <c r="D228" t="s">
        <v>993</v>
      </c>
      <c r="E228" t="s">
        <v>994</v>
      </c>
      <c r="F228" t="s">
        <v>995</v>
      </c>
      <c r="G228" t="s">
        <v>5</v>
      </c>
      <c r="H228" t="s">
        <v>65</v>
      </c>
      <c r="I228" t="s">
        <v>80</v>
      </c>
      <c r="J228" t="s">
        <v>81</v>
      </c>
      <c r="K228" t="s">
        <v>3</v>
      </c>
      <c r="L228" t="s">
        <v>4</v>
      </c>
      <c r="M228" t="s">
        <v>49</v>
      </c>
      <c r="N228" t="s">
        <v>996</v>
      </c>
      <c r="O228" s="31" t="s">
        <v>997</v>
      </c>
      <c r="P228">
        <v>220</v>
      </c>
      <c r="R228">
        <v>2</v>
      </c>
      <c r="S228" s="31">
        <v>150000</v>
      </c>
      <c r="T228" s="39">
        <v>160000</v>
      </c>
      <c r="U228">
        <v>25000</v>
      </c>
      <c r="V228">
        <v>8333.34</v>
      </c>
      <c r="W228">
        <v>0</v>
      </c>
      <c r="X228" s="39">
        <v>44000</v>
      </c>
      <c r="Y228">
        <v>0</v>
      </c>
      <c r="Z228" s="31">
        <v>126666.66</v>
      </c>
      <c r="AA228">
        <v>8</v>
      </c>
      <c r="AB228" s="3">
        <f t="shared" si="11"/>
        <v>126666.66</v>
      </c>
      <c r="AC228" t="str">
        <f>IF(AB228-S228&lt;0,"YES","NO")</f>
        <v>YES</v>
      </c>
      <c r="AD228">
        <f>IF(AC228="NO",0,AB228-S228)</f>
        <v>-23333.339999999997</v>
      </c>
      <c r="AE228" s="43">
        <v>0.08</v>
      </c>
      <c r="AF228" s="3">
        <f t="shared" si="12"/>
        <v>-21604.944444444438</v>
      </c>
      <c r="AG228" s="45">
        <f t="shared" si="13"/>
        <v>-23765.438888888883</v>
      </c>
      <c r="AH228" s="55"/>
    </row>
    <row r="229" spans="1:34" x14ac:dyDescent="0.25">
      <c r="A229" t="s">
        <v>998</v>
      </c>
      <c r="B229" t="s">
        <v>999</v>
      </c>
      <c r="C229" t="s">
        <v>1000</v>
      </c>
      <c r="D229" t="s">
        <v>1001</v>
      </c>
      <c r="E229" t="s">
        <v>1002</v>
      </c>
      <c r="F229" t="s">
        <v>1003</v>
      </c>
      <c r="G229" t="s">
        <v>5</v>
      </c>
      <c r="H229" t="s">
        <v>65</v>
      </c>
      <c r="I229" t="s">
        <v>66</v>
      </c>
      <c r="J229" t="s">
        <v>67</v>
      </c>
      <c r="K229" t="s">
        <v>3</v>
      </c>
      <c r="L229" t="s">
        <v>4</v>
      </c>
      <c r="M229" t="s">
        <v>49</v>
      </c>
      <c r="N229" t="s">
        <v>1004</v>
      </c>
      <c r="O229" s="31" t="s">
        <v>1005</v>
      </c>
      <c r="P229">
        <v>220</v>
      </c>
      <c r="R229">
        <v>3</v>
      </c>
      <c r="S229" s="31">
        <v>225000</v>
      </c>
      <c r="T229" s="39">
        <v>240000</v>
      </c>
      <c r="U229">
        <v>35000.01</v>
      </c>
      <c r="V229">
        <v>24000</v>
      </c>
      <c r="W229">
        <v>0</v>
      </c>
      <c r="X229" s="39">
        <v>71199.990000000005</v>
      </c>
      <c r="Y229">
        <v>0</v>
      </c>
      <c r="Z229" s="31">
        <v>180999.99</v>
      </c>
      <c r="AA229">
        <v>8</v>
      </c>
      <c r="AB229" s="3">
        <f t="shared" si="11"/>
        <v>180999.99</v>
      </c>
      <c r="AC229" t="str">
        <f>IF(AB229-S229&lt;0,"YES","NO")</f>
        <v>YES</v>
      </c>
      <c r="AD229">
        <f>IF(AC229="NO",0,AB229-S229)</f>
        <v>-44000.010000000009</v>
      </c>
      <c r="AE229" s="43">
        <v>0.08</v>
      </c>
      <c r="AF229" s="3">
        <f t="shared" si="12"/>
        <v>-40740.750000000007</v>
      </c>
      <c r="AG229" s="45">
        <f t="shared" si="13"/>
        <v>-44814.825000000012</v>
      </c>
      <c r="AH229" s="55"/>
    </row>
    <row r="230" spans="1:34" x14ac:dyDescent="0.25">
      <c r="A230" t="s">
        <v>1006</v>
      </c>
      <c r="B230" t="s">
        <v>1007</v>
      </c>
      <c r="C230" t="s">
        <v>1008</v>
      </c>
      <c r="D230" t="s">
        <v>1009</v>
      </c>
      <c r="E230" t="s">
        <v>1010</v>
      </c>
      <c r="F230" t="s">
        <v>1011</v>
      </c>
      <c r="G230" t="s">
        <v>5</v>
      </c>
      <c r="H230" t="s">
        <v>65</v>
      </c>
      <c r="I230" t="s">
        <v>66</v>
      </c>
      <c r="J230" t="s">
        <v>67</v>
      </c>
      <c r="K230" t="s">
        <v>3</v>
      </c>
      <c r="L230" t="s">
        <v>4</v>
      </c>
      <c r="M230" t="s">
        <v>49</v>
      </c>
      <c r="N230" t="s">
        <v>1012</v>
      </c>
      <c r="O230" s="31" t="s">
        <v>1013</v>
      </c>
      <c r="P230">
        <v>220</v>
      </c>
      <c r="R230">
        <v>3</v>
      </c>
      <c r="S230" s="31">
        <v>225000</v>
      </c>
      <c r="T230" s="39">
        <v>240000</v>
      </c>
      <c r="U230">
        <v>35000.01</v>
      </c>
      <c r="V230">
        <v>24000</v>
      </c>
      <c r="W230">
        <v>0</v>
      </c>
      <c r="X230" s="39">
        <v>71199.990000000005</v>
      </c>
      <c r="Y230">
        <v>0</v>
      </c>
      <c r="Z230" s="31">
        <v>180999.99</v>
      </c>
      <c r="AA230">
        <v>8</v>
      </c>
      <c r="AB230" s="3">
        <f t="shared" si="11"/>
        <v>180999.99</v>
      </c>
      <c r="AC230" t="str">
        <f>IF(AB230-S230&lt;0,"YES","NO")</f>
        <v>YES</v>
      </c>
      <c r="AD230">
        <f>IF(AC230="NO",0,AB230-S230)</f>
        <v>-44000.010000000009</v>
      </c>
      <c r="AE230" s="43">
        <v>0.08</v>
      </c>
      <c r="AF230" s="3">
        <f t="shared" si="12"/>
        <v>-40740.750000000007</v>
      </c>
      <c r="AG230" s="45">
        <f t="shared" si="13"/>
        <v>-44814.825000000012</v>
      </c>
      <c r="AH230" s="55"/>
    </row>
    <row r="231" spans="1:34" x14ac:dyDescent="0.25">
      <c r="A231" t="s">
        <v>1014</v>
      </c>
      <c r="B231" t="s">
        <v>1015</v>
      </c>
      <c r="C231" t="s">
        <v>1016</v>
      </c>
      <c r="D231" t="s">
        <v>1017</v>
      </c>
      <c r="E231" t="s">
        <v>1018</v>
      </c>
      <c r="F231" t="s">
        <v>1019</v>
      </c>
      <c r="G231" t="s">
        <v>5</v>
      </c>
      <c r="H231" t="s">
        <v>65</v>
      </c>
      <c r="I231" t="s">
        <v>66</v>
      </c>
      <c r="J231" t="s">
        <v>67</v>
      </c>
      <c r="K231" t="s">
        <v>3</v>
      </c>
      <c r="L231" t="s">
        <v>4</v>
      </c>
      <c r="M231" t="s">
        <v>49</v>
      </c>
      <c r="N231" t="s">
        <v>1020</v>
      </c>
      <c r="O231" s="31" t="s">
        <v>1021</v>
      </c>
      <c r="P231">
        <v>220</v>
      </c>
      <c r="R231">
        <v>6</v>
      </c>
      <c r="S231" s="31">
        <v>450000</v>
      </c>
      <c r="T231" s="39">
        <v>480000</v>
      </c>
      <c r="U231">
        <v>75000</v>
      </c>
      <c r="V231">
        <v>48000</v>
      </c>
      <c r="W231">
        <v>0</v>
      </c>
      <c r="X231" s="39">
        <v>139260</v>
      </c>
      <c r="Y231">
        <v>0</v>
      </c>
      <c r="Z231" s="31">
        <v>357000</v>
      </c>
      <c r="AA231">
        <v>8</v>
      </c>
      <c r="AB231" s="3">
        <f t="shared" si="11"/>
        <v>357000</v>
      </c>
      <c r="AC231" t="str">
        <f>IF(AB231-S231&lt;0,"YES","NO")</f>
        <v>YES</v>
      </c>
      <c r="AD231">
        <f>IF(AC231="NO",0,AB231-S231)</f>
        <v>-93000</v>
      </c>
      <c r="AE231" s="43">
        <v>0.08</v>
      </c>
      <c r="AF231" s="3">
        <f t="shared" si="12"/>
        <v>-86111.111111111109</v>
      </c>
      <c r="AG231" s="45">
        <f t="shared" si="13"/>
        <v>-94722.222222222234</v>
      </c>
      <c r="AH231" s="55"/>
    </row>
    <row r="232" spans="1:34" x14ac:dyDescent="0.25">
      <c r="A232" t="s">
        <v>1022</v>
      </c>
      <c r="B232" t="s">
        <v>1023</v>
      </c>
      <c r="C232" t="s">
        <v>1024</v>
      </c>
      <c r="D232" t="s">
        <v>1025</v>
      </c>
      <c r="E232" t="s">
        <v>1026</v>
      </c>
      <c r="F232" t="s">
        <v>1027</v>
      </c>
      <c r="G232" t="s">
        <v>5</v>
      </c>
      <c r="H232" t="s">
        <v>65</v>
      </c>
      <c r="I232" t="s">
        <v>66</v>
      </c>
      <c r="J232" t="s">
        <v>67</v>
      </c>
      <c r="K232" t="s">
        <v>3</v>
      </c>
      <c r="L232" t="s">
        <v>4</v>
      </c>
      <c r="M232" t="s">
        <v>49</v>
      </c>
      <c r="N232" t="s">
        <v>1028</v>
      </c>
      <c r="O232" s="31" t="s">
        <v>1029</v>
      </c>
      <c r="P232">
        <v>220</v>
      </c>
      <c r="R232">
        <v>6</v>
      </c>
      <c r="S232" s="31">
        <v>450000</v>
      </c>
      <c r="T232" s="39">
        <v>480000</v>
      </c>
      <c r="U232">
        <v>75000</v>
      </c>
      <c r="V232">
        <v>48000</v>
      </c>
      <c r="W232">
        <v>0</v>
      </c>
      <c r="X232" s="39">
        <v>124980</v>
      </c>
      <c r="Y232">
        <v>0</v>
      </c>
      <c r="Z232" s="31">
        <v>357000</v>
      </c>
      <c r="AA232">
        <v>8</v>
      </c>
      <c r="AB232" s="3">
        <f t="shared" si="11"/>
        <v>357000</v>
      </c>
      <c r="AC232" t="str">
        <f>IF(AB232-S232&lt;0,"YES","NO")</f>
        <v>YES</v>
      </c>
      <c r="AD232">
        <f>IF(AC232="NO",0,AB232-S232)</f>
        <v>-93000</v>
      </c>
      <c r="AE232" s="43">
        <v>0.08</v>
      </c>
      <c r="AF232" s="3">
        <f t="shared" si="12"/>
        <v>-86111.111111111109</v>
      </c>
      <c r="AG232" s="45">
        <f t="shared" si="13"/>
        <v>-94722.222222222234</v>
      </c>
      <c r="AH232" s="55"/>
    </row>
    <row r="233" spans="1:34" x14ac:dyDescent="0.25">
      <c r="A233" t="s">
        <v>1030</v>
      </c>
      <c r="B233" t="s">
        <v>1031</v>
      </c>
      <c r="C233" t="s">
        <v>1032</v>
      </c>
      <c r="D233" t="s">
        <v>1033</v>
      </c>
      <c r="E233" t="s">
        <v>1034</v>
      </c>
      <c r="F233" t="s">
        <v>1035</v>
      </c>
      <c r="G233" t="s">
        <v>5</v>
      </c>
      <c r="H233" t="s">
        <v>65</v>
      </c>
      <c r="I233" t="s">
        <v>71</v>
      </c>
      <c r="J233" t="s">
        <v>72</v>
      </c>
      <c r="K233" t="s">
        <v>3</v>
      </c>
      <c r="L233" t="s">
        <v>4</v>
      </c>
      <c r="M233" t="s">
        <v>49</v>
      </c>
      <c r="N233" t="s">
        <v>1036</v>
      </c>
      <c r="O233" s="31" t="s">
        <v>1037</v>
      </c>
      <c r="P233">
        <v>220</v>
      </c>
      <c r="Q233" t="s">
        <v>70</v>
      </c>
      <c r="R233">
        <v>3</v>
      </c>
      <c r="S233" s="31">
        <v>177000</v>
      </c>
      <c r="T233" s="39">
        <v>195000</v>
      </c>
      <c r="U233">
        <v>35000.01</v>
      </c>
      <c r="V233">
        <v>19500</v>
      </c>
      <c r="W233">
        <v>0</v>
      </c>
      <c r="X233" s="39">
        <v>50454.99</v>
      </c>
      <c r="Y233">
        <v>0</v>
      </c>
      <c r="Z233" s="31">
        <v>140499.99</v>
      </c>
      <c r="AA233">
        <v>8</v>
      </c>
      <c r="AB233" s="3">
        <f t="shared" si="11"/>
        <v>140499.99</v>
      </c>
      <c r="AC233" t="str">
        <f>IF(AB233-S233&lt;0,"YES","NO")</f>
        <v>YES</v>
      </c>
      <c r="AD233">
        <f>IF(AC233="NO",0,AB233-S233)</f>
        <v>-36500.010000000009</v>
      </c>
      <c r="AE233" s="43">
        <v>0.08</v>
      </c>
      <c r="AF233" s="3">
        <f t="shared" si="12"/>
        <v>-33796.305555555562</v>
      </c>
      <c r="AG233" s="45">
        <f t="shared" si="13"/>
        <v>-37175.936111111121</v>
      </c>
      <c r="AH233" s="55"/>
    </row>
    <row r="234" spans="1:34" x14ac:dyDescent="0.25">
      <c r="A234" t="s">
        <v>1038</v>
      </c>
      <c r="B234" t="s">
        <v>1039</v>
      </c>
      <c r="C234" t="s">
        <v>1040</v>
      </c>
      <c r="D234" t="s">
        <v>1041</v>
      </c>
      <c r="E234" t="s">
        <v>1042</v>
      </c>
      <c r="F234" t="s">
        <v>1043</v>
      </c>
      <c r="G234" t="s">
        <v>5</v>
      </c>
      <c r="H234" t="s">
        <v>65</v>
      </c>
      <c r="I234" t="s">
        <v>66</v>
      </c>
      <c r="J234" t="s">
        <v>67</v>
      </c>
      <c r="K234" t="s">
        <v>3</v>
      </c>
      <c r="L234" t="s">
        <v>4</v>
      </c>
      <c r="M234" t="s">
        <v>49</v>
      </c>
      <c r="N234" t="s">
        <v>1044</v>
      </c>
      <c r="O234" s="31" t="s">
        <v>1045</v>
      </c>
      <c r="P234">
        <v>220</v>
      </c>
      <c r="R234">
        <v>3</v>
      </c>
      <c r="S234" s="31">
        <v>225000</v>
      </c>
      <c r="T234" s="39">
        <v>240000</v>
      </c>
      <c r="U234">
        <v>35000.01</v>
      </c>
      <c r="V234">
        <v>24000</v>
      </c>
      <c r="W234">
        <v>0</v>
      </c>
      <c r="X234" s="39">
        <v>71199.990000000005</v>
      </c>
      <c r="Y234">
        <v>0</v>
      </c>
      <c r="Z234" s="31">
        <v>180999.99</v>
      </c>
      <c r="AA234">
        <v>8</v>
      </c>
      <c r="AB234" s="3">
        <f t="shared" si="11"/>
        <v>180999.99</v>
      </c>
      <c r="AC234" t="str">
        <f>IF(AB234-S234&lt;0,"YES","NO")</f>
        <v>YES</v>
      </c>
      <c r="AD234">
        <f>IF(AC234="NO",0,AB234-S234)</f>
        <v>-44000.010000000009</v>
      </c>
      <c r="AE234" s="43">
        <v>0.08</v>
      </c>
      <c r="AF234" s="3">
        <f t="shared" si="12"/>
        <v>-40740.750000000007</v>
      </c>
      <c r="AG234" s="45">
        <f t="shared" si="13"/>
        <v>-44814.825000000012</v>
      </c>
      <c r="AH234" s="55"/>
    </row>
    <row r="235" spans="1:34" x14ac:dyDescent="0.25">
      <c r="A235" t="s">
        <v>1046</v>
      </c>
      <c r="B235" t="s">
        <v>1047</v>
      </c>
      <c r="C235" t="s">
        <v>1048</v>
      </c>
      <c r="D235" t="s">
        <v>1049</v>
      </c>
      <c r="E235" t="s">
        <v>1050</v>
      </c>
      <c r="F235" t="s">
        <v>1051</v>
      </c>
      <c r="G235" t="s">
        <v>5</v>
      </c>
      <c r="H235" t="s">
        <v>65</v>
      </c>
      <c r="I235" t="s">
        <v>71</v>
      </c>
      <c r="J235" t="s">
        <v>72</v>
      </c>
      <c r="K235" t="s">
        <v>3</v>
      </c>
      <c r="L235" t="s">
        <v>4</v>
      </c>
      <c r="M235" t="s">
        <v>49</v>
      </c>
      <c r="N235" t="s">
        <v>1052</v>
      </c>
      <c r="O235" s="31" t="s">
        <v>1053</v>
      </c>
      <c r="P235">
        <v>220</v>
      </c>
      <c r="Q235" t="s">
        <v>70</v>
      </c>
      <c r="R235">
        <v>2</v>
      </c>
      <c r="S235" s="31">
        <v>118000</v>
      </c>
      <c r="T235" s="39">
        <v>130000</v>
      </c>
      <c r="U235">
        <v>10000</v>
      </c>
      <c r="V235">
        <v>12000</v>
      </c>
      <c r="W235">
        <v>0</v>
      </c>
      <c r="X235" s="39">
        <v>20800</v>
      </c>
      <c r="Y235">
        <v>0</v>
      </c>
      <c r="Z235" s="31">
        <v>108000</v>
      </c>
      <c r="AA235">
        <v>8</v>
      </c>
      <c r="AB235" s="3">
        <f t="shared" si="11"/>
        <v>108000</v>
      </c>
      <c r="AC235" t="str">
        <f>IF(AB235-S235&lt;0,"YES","NO")</f>
        <v>YES</v>
      </c>
      <c r="AD235">
        <f>IF(AC235="NO",0,AB235-S235)</f>
        <v>-10000</v>
      </c>
      <c r="AE235" s="43">
        <v>0.08</v>
      </c>
      <c r="AF235" s="3">
        <f t="shared" si="12"/>
        <v>-9259.2592592592591</v>
      </c>
      <c r="AG235" s="45">
        <f t="shared" si="13"/>
        <v>-10185.185185185186</v>
      </c>
      <c r="AH235" s="55"/>
    </row>
    <row r="236" spans="1:34" x14ac:dyDescent="0.25">
      <c r="A236" t="s">
        <v>1046</v>
      </c>
      <c r="B236" t="s">
        <v>1047</v>
      </c>
      <c r="C236" t="s">
        <v>1048</v>
      </c>
      <c r="D236" t="s">
        <v>1049</v>
      </c>
      <c r="E236" t="s">
        <v>1050</v>
      </c>
      <c r="F236" t="s">
        <v>1051</v>
      </c>
      <c r="G236" t="s">
        <v>5</v>
      </c>
      <c r="H236" t="s">
        <v>65</v>
      </c>
      <c r="I236" t="s">
        <v>73</v>
      </c>
      <c r="J236" t="s">
        <v>74</v>
      </c>
      <c r="K236" t="s">
        <v>3</v>
      </c>
      <c r="L236" t="s">
        <v>4</v>
      </c>
      <c r="M236" t="s">
        <v>49</v>
      </c>
      <c r="N236" t="s">
        <v>1052</v>
      </c>
      <c r="O236" s="31" t="s">
        <v>1053</v>
      </c>
      <c r="P236">
        <v>220</v>
      </c>
      <c r="Q236" t="s">
        <v>70</v>
      </c>
      <c r="R236">
        <v>2</v>
      </c>
      <c r="S236" s="31">
        <v>118000</v>
      </c>
      <c r="T236" s="39">
        <v>130000</v>
      </c>
      <c r="U236">
        <v>10000</v>
      </c>
      <c r="V236">
        <v>12000</v>
      </c>
      <c r="W236">
        <v>0</v>
      </c>
      <c r="X236" s="39">
        <v>20800</v>
      </c>
      <c r="Y236">
        <v>0</v>
      </c>
      <c r="Z236" s="31">
        <v>108000</v>
      </c>
      <c r="AA236">
        <v>8</v>
      </c>
      <c r="AB236" s="3">
        <f t="shared" si="11"/>
        <v>108000</v>
      </c>
      <c r="AC236" t="str">
        <f>IF(AB236-S236&lt;0,"YES","NO")</f>
        <v>YES</v>
      </c>
      <c r="AD236">
        <f>IF(AC236="NO",0,AB236-S236)</f>
        <v>-10000</v>
      </c>
      <c r="AE236" s="43">
        <v>0.08</v>
      </c>
      <c r="AF236" s="3">
        <f t="shared" si="12"/>
        <v>-9259.2592592592591</v>
      </c>
      <c r="AG236" s="45">
        <f t="shared" si="13"/>
        <v>-10185.185185185186</v>
      </c>
      <c r="AH236" s="55"/>
    </row>
    <row r="237" spans="1:34" x14ac:dyDescent="0.25">
      <c r="A237" t="s">
        <v>1054</v>
      </c>
      <c r="B237" t="s">
        <v>1055</v>
      </c>
      <c r="C237" t="s">
        <v>1056</v>
      </c>
      <c r="D237" t="s">
        <v>1057</v>
      </c>
      <c r="E237" t="s">
        <v>1058</v>
      </c>
      <c r="F237" t="s">
        <v>1059</v>
      </c>
      <c r="G237" t="s">
        <v>5</v>
      </c>
      <c r="H237" t="s">
        <v>61</v>
      </c>
      <c r="I237" t="s">
        <v>93</v>
      </c>
      <c r="J237" t="s">
        <v>94</v>
      </c>
      <c r="K237" t="s">
        <v>3</v>
      </c>
      <c r="L237" t="s">
        <v>4</v>
      </c>
      <c r="M237" t="s">
        <v>49</v>
      </c>
      <c r="N237" t="s">
        <v>1060</v>
      </c>
      <c r="O237" s="31" t="s">
        <v>1061</v>
      </c>
      <c r="P237">
        <v>20</v>
      </c>
      <c r="Q237" t="s">
        <v>86</v>
      </c>
      <c r="R237">
        <v>1</v>
      </c>
      <c r="S237" s="31">
        <v>0</v>
      </c>
      <c r="T237" s="39">
        <v>0</v>
      </c>
      <c r="U237">
        <v>0</v>
      </c>
      <c r="V237">
        <v>0</v>
      </c>
      <c r="W237">
        <v>0</v>
      </c>
      <c r="X237" s="39">
        <v>0</v>
      </c>
      <c r="Y237">
        <v>0</v>
      </c>
      <c r="Z237" s="31">
        <v>0</v>
      </c>
      <c r="AA237">
        <v>8</v>
      </c>
      <c r="AB237" s="3">
        <f t="shared" si="11"/>
        <v>0</v>
      </c>
      <c r="AC237" t="str">
        <f>IF(AB237-S237&lt;0,"YES","NO")</f>
        <v>NO</v>
      </c>
      <c r="AD237">
        <f>IF(AC237="NO",0,AB237-S237)</f>
        <v>0</v>
      </c>
      <c r="AE237" s="43">
        <v>0.08</v>
      </c>
      <c r="AF237" s="3">
        <f t="shared" si="12"/>
        <v>0</v>
      </c>
      <c r="AG237" s="45">
        <f t="shared" si="13"/>
        <v>0</v>
      </c>
      <c r="AH237" s="55"/>
    </row>
    <row r="238" spans="1:34" x14ac:dyDescent="0.25">
      <c r="A238" t="s">
        <v>1054</v>
      </c>
      <c r="B238" t="s">
        <v>1055</v>
      </c>
      <c r="C238" t="s">
        <v>1056</v>
      </c>
      <c r="D238" t="s">
        <v>1057</v>
      </c>
      <c r="E238" t="s">
        <v>1058</v>
      </c>
      <c r="F238" t="s">
        <v>1059</v>
      </c>
      <c r="G238" t="s">
        <v>5</v>
      </c>
      <c r="H238" t="s">
        <v>65</v>
      </c>
      <c r="I238" t="s">
        <v>100</v>
      </c>
      <c r="J238" t="s">
        <v>101</v>
      </c>
      <c r="K238" t="s">
        <v>3</v>
      </c>
      <c r="L238" t="s">
        <v>4</v>
      </c>
      <c r="M238" t="s">
        <v>49</v>
      </c>
      <c r="N238" t="s">
        <v>1060</v>
      </c>
      <c r="O238" s="31" t="s">
        <v>1061</v>
      </c>
      <c r="P238">
        <v>200</v>
      </c>
      <c r="R238">
        <v>6</v>
      </c>
      <c r="S238" s="31">
        <v>432000</v>
      </c>
      <c r="T238" s="39">
        <v>480000</v>
      </c>
      <c r="U238">
        <v>75000</v>
      </c>
      <c r="V238">
        <v>48000</v>
      </c>
      <c r="W238">
        <v>0</v>
      </c>
      <c r="X238" s="39">
        <v>110700</v>
      </c>
      <c r="Y238">
        <v>0</v>
      </c>
      <c r="Z238" s="31">
        <v>357000</v>
      </c>
      <c r="AA238">
        <v>8</v>
      </c>
      <c r="AB238" s="3">
        <f t="shared" si="11"/>
        <v>357000</v>
      </c>
      <c r="AC238" t="str">
        <f>IF(AB238-S238&lt;0,"YES","NO")</f>
        <v>YES</v>
      </c>
      <c r="AD238">
        <f>IF(AC238="NO",0,AB238-S238)</f>
        <v>-75000</v>
      </c>
      <c r="AE238" s="43">
        <v>0.08</v>
      </c>
      <c r="AF238" s="3">
        <f t="shared" si="12"/>
        <v>-69444.444444444438</v>
      </c>
      <c r="AG238" s="45">
        <f t="shared" si="13"/>
        <v>-76388.888888888891</v>
      </c>
      <c r="AH238" s="55"/>
    </row>
    <row r="239" spans="1:34" x14ac:dyDescent="0.25">
      <c r="A239" t="s">
        <v>1062</v>
      </c>
      <c r="B239" t="s">
        <v>1063</v>
      </c>
      <c r="C239" t="s">
        <v>1064</v>
      </c>
      <c r="D239" t="s">
        <v>1065</v>
      </c>
      <c r="E239" t="s">
        <v>1066</v>
      </c>
      <c r="F239" t="s">
        <v>1067</v>
      </c>
      <c r="G239" t="s">
        <v>5</v>
      </c>
      <c r="H239" t="s">
        <v>65</v>
      </c>
      <c r="I239" t="s">
        <v>68</v>
      </c>
      <c r="J239" t="s">
        <v>69</v>
      </c>
      <c r="K239" t="s">
        <v>3</v>
      </c>
      <c r="L239" t="s">
        <v>4</v>
      </c>
      <c r="M239" t="s">
        <v>49</v>
      </c>
      <c r="N239" t="s">
        <v>1068</v>
      </c>
      <c r="O239" s="31" t="s">
        <v>1069</v>
      </c>
      <c r="P239">
        <v>220</v>
      </c>
      <c r="Q239" t="s">
        <v>70</v>
      </c>
      <c r="R239">
        <v>6</v>
      </c>
      <c r="S239" s="31">
        <v>354000</v>
      </c>
      <c r="T239" s="39">
        <v>390000</v>
      </c>
      <c r="U239">
        <v>75000</v>
      </c>
      <c r="V239">
        <v>25000.02</v>
      </c>
      <c r="W239">
        <v>0</v>
      </c>
      <c r="X239" s="39">
        <v>106899.96</v>
      </c>
      <c r="Y239">
        <v>0</v>
      </c>
      <c r="Z239" s="31">
        <v>289999.98</v>
      </c>
      <c r="AA239">
        <v>8</v>
      </c>
      <c r="AB239" s="3">
        <f t="shared" si="11"/>
        <v>289999.98</v>
      </c>
      <c r="AC239" t="str">
        <f>IF(AB239-S239&lt;0,"YES","NO")</f>
        <v>YES</v>
      </c>
      <c r="AD239">
        <f>IF(AC239="NO",0,AB239-S239)</f>
        <v>-64000.020000000019</v>
      </c>
      <c r="AE239" s="43">
        <v>0.08</v>
      </c>
      <c r="AF239" s="3">
        <f t="shared" si="12"/>
        <v>-59259.277777777788</v>
      </c>
      <c r="AG239" s="45">
        <f t="shared" si="13"/>
        <v>-65185.205555555571</v>
      </c>
      <c r="AH239" s="55"/>
    </row>
    <row r="240" spans="1:34" x14ac:dyDescent="0.25">
      <c r="A240" t="s">
        <v>1070</v>
      </c>
      <c r="B240" t="s">
        <v>1071</v>
      </c>
      <c r="C240" t="s">
        <v>1072</v>
      </c>
      <c r="D240" t="s">
        <v>1073</v>
      </c>
      <c r="E240" t="s">
        <v>1074</v>
      </c>
      <c r="F240" t="s">
        <v>1075</v>
      </c>
      <c r="G240" t="s">
        <v>5</v>
      </c>
      <c r="H240" t="s">
        <v>65</v>
      </c>
      <c r="I240" t="s">
        <v>78</v>
      </c>
      <c r="J240" t="s">
        <v>79</v>
      </c>
      <c r="K240" t="s">
        <v>3</v>
      </c>
      <c r="L240" t="s">
        <v>4</v>
      </c>
      <c r="M240" t="s">
        <v>49</v>
      </c>
      <c r="N240" t="s">
        <v>1076</v>
      </c>
      <c r="O240" s="31" t="s">
        <v>1077</v>
      </c>
      <c r="P240">
        <v>220</v>
      </c>
      <c r="R240">
        <v>3</v>
      </c>
      <c r="S240" s="31">
        <v>225000</v>
      </c>
      <c r="T240" s="39">
        <v>240000</v>
      </c>
      <c r="U240">
        <v>35000.01</v>
      </c>
      <c r="V240">
        <v>12999.99</v>
      </c>
      <c r="W240">
        <v>0</v>
      </c>
      <c r="X240" s="39">
        <v>56120.01</v>
      </c>
      <c r="Y240">
        <v>0</v>
      </c>
      <c r="Z240" s="31">
        <v>192000</v>
      </c>
      <c r="AA240">
        <v>8</v>
      </c>
      <c r="AB240" s="3">
        <f t="shared" si="11"/>
        <v>192000</v>
      </c>
      <c r="AC240" t="str">
        <f>IF(AB240-S240&lt;0,"YES","NO")</f>
        <v>YES</v>
      </c>
      <c r="AD240">
        <f>IF(AC240="NO",0,AB240-S240)</f>
        <v>-33000</v>
      </c>
      <c r="AE240" s="43">
        <v>0.08</v>
      </c>
      <c r="AF240" s="3">
        <f t="shared" si="12"/>
        <v>-30555.555555555555</v>
      </c>
      <c r="AG240" s="45">
        <f t="shared" si="13"/>
        <v>-33611.111111111109</v>
      </c>
      <c r="AH240" s="55"/>
    </row>
    <row r="241" spans="1:34" x14ac:dyDescent="0.25">
      <c r="A241" t="s">
        <v>1078</v>
      </c>
      <c r="B241" t="s">
        <v>1079</v>
      </c>
      <c r="C241" t="s">
        <v>1080</v>
      </c>
      <c r="D241" t="s">
        <v>1081</v>
      </c>
      <c r="E241" t="s">
        <v>1082</v>
      </c>
      <c r="F241" t="s">
        <v>1083</v>
      </c>
      <c r="G241" t="s">
        <v>5</v>
      </c>
      <c r="H241" t="s">
        <v>61</v>
      </c>
      <c r="I241" t="s">
        <v>93</v>
      </c>
      <c r="J241" t="s">
        <v>94</v>
      </c>
      <c r="K241" t="s">
        <v>3</v>
      </c>
      <c r="L241" t="s">
        <v>4</v>
      </c>
      <c r="M241" t="s">
        <v>49</v>
      </c>
      <c r="N241" t="s">
        <v>1084</v>
      </c>
      <c r="O241" s="31" t="s">
        <v>1085</v>
      </c>
      <c r="P241">
        <v>20</v>
      </c>
      <c r="Q241" t="s">
        <v>86</v>
      </c>
      <c r="R241">
        <v>1</v>
      </c>
      <c r="S241" s="31">
        <v>0</v>
      </c>
      <c r="T241" s="39">
        <v>0</v>
      </c>
      <c r="U241">
        <v>0</v>
      </c>
      <c r="V241">
        <v>0</v>
      </c>
      <c r="W241">
        <v>0</v>
      </c>
      <c r="X241" s="39">
        <v>0</v>
      </c>
      <c r="Y241">
        <v>0</v>
      </c>
      <c r="Z241" s="31">
        <v>0</v>
      </c>
      <c r="AA241">
        <v>8</v>
      </c>
      <c r="AB241" s="3">
        <f t="shared" si="11"/>
        <v>0</v>
      </c>
      <c r="AC241" t="str">
        <f>IF(AB241-S241&lt;0,"YES","NO")</f>
        <v>NO</v>
      </c>
      <c r="AD241">
        <f>IF(AC241="NO",0,AB241-S241)</f>
        <v>0</v>
      </c>
      <c r="AE241" s="43">
        <v>0.08</v>
      </c>
      <c r="AF241" s="3">
        <f t="shared" si="12"/>
        <v>0</v>
      </c>
      <c r="AG241" s="45">
        <f t="shared" si="13"/>
        <v>0</v>
      </c>
      <c r="AH241" s="55"/>
    </row>
    <row r="242" spans="1:34" x14ac:dyDescent="0.25">
      <c r="A242" t="s">
        <v>1078</v>
      </c>
      <c r="B242" t="s">
        <v>1079</v>
      </c>
      <c r="C242" t="s">
        <v>1080</v>
      </c>
      <c r="D242" t="s">
        <v>1081</v>
      </c>
      <c r="E242" t="s">
        <v>1082</v>
      </c>
      <c r="F242" t="s">
        <v>1083</v>
      </c>
      <c r="G242" t="s">
        <v>5</v>
      </c>
      <c r="H242" t="s">
        <v>65</v>
      </c>
      <c r="I242" t="s">
        <v>95</v>
      </c>
      <c r="J242" t="s">
        <v>96</v>
      </c>
      <c r="K242" t="s">
        <v>3</v>
      </c>
      <c r="L242" t="s">
        <v>4</v>
      </c>
      <c r="M242" t="s">
        <v>49</v>
      </c>
      <c r="N242" t="s">
        <v>1084</v>
      </c>
      <c r="O242" s="31" t="s">
        <v>1085</v>
      </c>
      <c r="P242">
        <v>200</v>
      </c>
      <c r="R242">
        <v>6</v>
      </c>
      <c r="S242" s="31">
        <v>432000</v>
      </c>
      <c r="T242" s="39">
        <v>480000</v>
      </c>
      <c r="U242">
        <v>75000</v>
      </c>
      <c r="V242">
        <v>40000.019999999997</v>
      </c>
      <c r="W242">
        <v>0</v>
      </c>
      <c r="X242" s="39">
        <v>133399.98000000001</v>
      </c>
      <c r="Y242">
        <v>0</v>
      </c>
      <c r="Z242" s="31">
        <v>364999.98</v>
      </c>
      <c r="AA242">
        <v>8</v>
      </c>
      <c r="AB242" s="3">
        <f t="shared" si="11"/>
        <v>364999.98</v>
      </c>
      <c r="AC242" t="str">
        <f>IF(AB242-S242&lt;0,"YES","NO")</f>
        <v>YES</v>
      </c>
      <c r="AD242">
        <f>IF(AC242="NO",0,AB242-S242)</f>
        <v>-67000.020000000019</v>
      </c>
      <c r="AE242" s="43">
        <v>0.08</v>
      </c>
      <c r="AF242" s="3">
        <f t="shared" si="12"/>
        <v>-62037.055555555569</v>
      </c>
      <c r="AG242" s="45">
        <f t="shared" si="13"/>
        <v>-68240.761111111133</v>
      </c>
      <c r="AH242" s="55"/>
    </row>
    <row r="243" spans="1:34" x14ac:dyDescent="0.25">
      <c r="A243" t="s">
        <v>1086</v>
      </c>
      <c r="B243" t="s">
        <v>1087</v>
      </c>
      <c r="C243" t="s">
        <v>1088</v>
      </c>
      <c r="D243" t="s">
        <v>1089</v>
      </c>
      <c r="E243" t="s">
        <v>1090</v>
      </c>
      <c r="F243" t="s">
        <v>1091</v>
      </c>
      <c r="G243" t="s">
        <v>5</v>
      </c>
      <c r="H243" t="s">
        <v>65</v>
      </c>
      <c r="I243" t="s">
        <v>66</v>
      </c>
      <c r="J243" t="s">
        <v>67</v>
      </c>
      <c r="K243" t="s">
        <v>3</v>
      </c>
      <c r="L243" t="s">
        <v>4</v>
      </c>
      <c r="M243" t="s">
        <v>49</v>
      </c>
      <c r="N243" t="s">
        <v>1092</v>
      </c>
      <c r="O243" s="31" t="s">
        <v>1093</v>
      </c>
      <c r="P243">
        <v>220</v>
      </c>
      <c r="R243">
        <v>6</v>
      </c>
      <c r="S243" s="31">
        <v>450000</v>
      </c>
      <c r="T243" s="39">
        <v>480000</v>
      </c>
      <c r="U243">
        <v>75000</v>
      </c>
      <c r="V243">
        <v>48000</v>
      </c>
      <c r="W243">
        <v>0</v>
      </c>
      <c r="X243" s="39">
        <v>132120</v>
      </c>
      <c r="Y243">
        <v>0</v>
      </c>
      <c r="Z243" s="31">
        <v>357000</v>
      </c>
      <c r="AA243">
        <v>8</v>
      </c>
      <c r="AB243" s="3">
        <f t="shared" si="11"/>
        <v>357000</v>
      </c>
      <c r="AC243" t="str">
        <f>IF(AB243-S243&lt;0,"YES","NO")</f>
        <v>YES</v>
      </c>
      <c r="AD243">
        <f>IF(AC243="NO",0,AB243-S243)</f>
        <v>-93000</v>
      </c>
      <c r="AE243" s="43">
        <v>0.08</v>
      </c>
      <c r="AF243" s="3">
        <f t="shared" si="12"/>
        <v>-86111.111111111109</v>
      </c>
      <c r="AG243" s="45">
        <f t="shared" si="13"/>
        <v>-94722.222222222234</v>
      </c>
      <c r="AH243" s="55"/>
    </row>
    <row r="244" spans="1:34" x14ac:dyDescent="0.25">
      <c r="A244" t="s">
        <v>1094</v>
      </c>
      <c r="B244" t="s">
        <v>1095</v>
      </c>
      <c r="C244" t="s">
        <v>1096</v>
      </c>
      <c r="D244" t="s">
        <v>1097</v>
      </c>
      <c r="E244" t="s">
        <v>1098</v>
      </c>
      <c r="F244" t="s">
        <v>1099</v>
      </c>
      <c r="G244" t="s">
        <v>5</v>
      </c>
      <c r="H244" t="s">
        <v>65</v>
      </c>
      <c r="I244" t="s">
        <v>66</v>
      </c>
      <c r="J244" t="s">
        <v>67</v>
      </c>
      <c r="K244" t="s">
        <v>3</v>
      </c>
      <c r="L244" t="s">
        <v>4</v>
      </c>
      <c r="M244" t="s">
        <v>49</v>
      </c>
      <c r="N244" t="s">
        <v>1100</v>
      </c>
      <c r="O244" s="31" t="s">
        <v>1101</v>
      </c>
      <c r="P244">
        <v>220</v>
      </c>
      <c r="R244">
        <v>6</v>
      </c>
      <c r="S244" s="31">
        <v>450000</v>
      </c>
      <c r="T244" s="39">
        <v>480000</v>
      </c>
      <c r="U244">
        <v>75000</v>
      </c>
      <c r="V244">
        <v>48000</v>
      </c>
      <c r="W244">
        <v>0</v>
      </c>
      <c r="X244" s="39">
        <v>132120</v>
      </c>
      <c r="Y244">
        <v>0</v>
      </c>
      <c r="Z244" s="31">
        <v>357000</v>
      </c>
      <c r="AA244">
        <v>8</v>
      </c>
      <c r="AB244" s="3">
        <f t="shared" si="11"/>
        <v>357000</v>
      </c>
      <c r="AC244" t="str">
        <f>IF(AB244-S244&lt;0,"YES","NO")</f>
        <v>YES</v>
      </c>
      <c r="AD244">
        <f>IF(AC244="NO",0,AB244-S244)</f>
        <v>-93000</v>
      </c>
      <c r="AE244" s="43">
        <v>0.08</v>
      </c>
      <c r="AF244" s="3">
        <f t="shared" si="12"/>
        <v>-86111.111111111109</v>
      </c>
      <c r="AG244" s="45">
        <f t="shared" si="13"/>
        <v>-94722.222222222234</v>
      </c>
      <c r="AH244" s="55"/>
    </row>
    <row r="245" spans="1:34" x14ac:dyDescent="0.25">
      <c r="A245" t="s">
        <v>1102</v>
      </c>
      <c r="B245" t="s">
        <v>1103</v>
      </c>
      <c r="C245" t="s">
        <v>1104</v>
      </c>
      <c r="D245" t="s">
        <v>1105</v>
      </c>
      <c r="E245" t="s">
        <v>1106</v>
      </c>
      <c r="F245" t="s">
        <v>1107</v>
      </c>
      <c r="G245" t="s">
        <v>5</v>
      </c>
      <c r="H245" t="s">
        <v>65</v>
      </c>
      <c r="I245" t="s">
        <v>66</v>
      </c>
      <c r="J245" t="s">
        <v>67</v>
      </c>
      <c r="K245" t="s">
        <v>3</v>
      </c>
      <c r="L245" t="s">
        <v>4</v>
      </c>
      <c r="M245" t="s">
        <v>49</v>
      </c>
      <c r="N245" t="s">
        <v>1108</v>
      </c>
      <c r="O245" s="31" t="s">
        <v>1109</v>
      </c>
      <c r="P245">
        <v>220</v>
      </c>
      <c r="R245">
        <v>6</v>
      </c>
      <c r="S245" s="31">
        <v>450000</v>
      </c>
      <c r="T245" s="39">
        <v>480000</v>
      </c>
      <c r="U245">
        <v>75000</v>
      </c>
      <c r="V245">
        <v>48000</v>
      </c>
      <c r="W245">
        <v>0</v>
      </c>
      <c r="X245" s="39">
        <v>132120</v>
      </c>
      <c r="Y245">
        <v>0</v>
      </c>
      <c r="Z245" s="31">
        <v>357000</v>
      </c>
      <c r="AA245">
        <v>8</v>
      </c>
      <c r="AB245" s="3">
        <f t="shared" si="11"/>
        <v>357000</v>
      </c>
      <c r="AC245" t="str">
        <f>IF(AB245-S245&lt;0,"YES","NO")</f>
        <v>YES</v>
      </c>
      <c r="AD245">
        <f>IF(AC245="NO",0,AB245-S245)</f>
        <v>-93000</v>
      </c>
      <c r="AE245" s="43">
        <v>0.08</v>
      </c>
      <c r="AF245" s="3">
        <f t="shared" si="12"/>
        <v>-86111.111111111109</v>
      </c>
      <c r="AG245" s="45">
        <f t="shared" si="13"/>
        <v>-94722.222222222234</v>
      </c>
      <c r="AH245" s="55"/>
    </row>
    <row r="246" spans="1:34" x14ac:dyDescent="0.25">
      <c r="A246" t="s">
        <v>1110</v>
      </c>
      <c r="B246" t="s">
        <v>1111</v>
      </c>
      <c r="C246" t="s">
        <v>1112</v>
      </c>
      <c r="D246" t="s">
        <v>1113</v>
      </c>
      <c r="E246" t="s">
        <v>1114</v>
      </c>
      <c r="F246" t="s">
        <v>1115</v>
      </c>
      <c r="G246" t="s">
        <v>5</v>
      </c>
      <c r="H246" t="s">
        <v>65</v>
      </c>
      <c r="I246" t="s">
        <v>66</v>
      </c>
      <c r="J246" t="s">
        <v>67</v>
      </c>
      <c r="K246" t="s">
        <v>3</v>
      </c>
      <c r="L246" t="s">
        <v>4</v>
      </c>
      <c r="M246" t="s">
        <v>49</v>
      </c>
      <c r="N246" t="s">
        <v>1116</v>
      </c>
      <c r="O246" s="31" t="s">
        <v>1117</v>
      </c>
      <c r="P246">
        <v>220</v>
      </c>
      <c r="R246">
        <v>6</v>
      </c>
      <c r="S246" s="31">
        <v>450000</v>
      </c>
      <c r="T246" s="39">
        <v>480000</v>
      </c>
      <c r="U246">
        <v>75000</v>
      </c>
      <c r="V246">
        <v>48000</v>
      </c>
      <c r="W246">
        <v>0</v>
      </c>
      <c r="X246" s="39">
        <v>132120</v>
      </c>
      <c r="Y246">
        <v>0</v>
      </c>
      <c r="Z246" s="31">
        <v>357000</v>
      </c>
      <c r="AA246">
        <v>8</v>
      </c>
      <c r="AB246" s="3">
        <f t="shared" si="11"/>
        <v>357000</v>
      </c>
      <c r="AC246" t="str">
        <f>IF(AB246-S246&lt;0,"YES","NO")</f>
        <v>YES</v>
      </c>
      <c r="AD246">
        <f>IF(AC246="NO",0,AB246-S246)</f>
        <v>-93000</v>
      </c>
      <c r="AE246" s="43">
        <v>0.08</v>
      </c>
      <c r="AF246" s="3">
        <f t="shared" si="12"/>
        <v>-86111.111111111109</v>
      </c>
      <c r="AG246" s="45">
        <f t="shared" si="13"/>
        <v>-94722.222222222234</v>
      </c>
      <c r="AH246" s="55"/>
    </row>
    <row r="247" spans="1:34" x14ac:dyDescent="0.25">
      <c r="A247" t="s">
        <v>1118</v>
      </c>
      <c r="B247" t="s">
        <v>1119</v>
      </c>
      <c r="C247" t="s">
        <v>1120</v>
      </c>
      <c r="D247" t="s">
        <v>1121</v>
      </c>
      <c r="E247" t="s">
        <v>1122</v>
      </c>
      <c r="F247" t="s">
        <v>1123</v>
      </c>
      <c r="G247" t="s">
        <v>5</v>
      </c>
      <c r="H247" t="s">
        <v>65</v>
      </c>
      <c r="I247" t="s">
        <v>66</v>
      </c>
      <c r="J247" t="s">
        <v>67</v>
      </c>
      <c r="K247" t="s">
        <v>3</v>
      </c>
      <c r="L247" t="s">
        <v>4</v>
      </c>
      <c r="M247" t="s">
        <v>49</v>
      </c>
      <c r="N247" t="s">
        <v>1124</v>
      </c>
      <c r="O247" s="31" t="s">
        <v>1125</v>
      </c>
      <c r="P247">
        <v>220</v>
      </c>
      <c r="R247">
        <v>6</v>
      </c>
      <c r="S247" s="31">
        <v>450000</v>
      </c>
      <c r="T247" s="39">
        <v>480000</v>
      </c>
      <c r="U247">
        <v>75000</v>
      </c>
      <c r="V247">
        <v>48000</v>
      </c>
      <c r="W247">
        <v>0</v>
      </c>
      <c r="X247" s="39">
        <v>128550</v>
      </c>
      <c r="Y247">
        <v>0</v>
      </c>
      <c r="Z247" s="31">
        <v>357000</v>
      </c>
      <c r="AA247">
        <v>8</v>
      </c>
      <c r="AB247" s="3">
        <f t="shared" si="11"/>
        <v>357000</v>
      </c>
      <c r="AC247" t="str">
        <f>IF(AB247-S247&lt;0,"YES","NO")</f>
        <v>YES</v>
      </c>
      <c r="AD247">
        <f>IF(AC247="NO",0,AB247-S247)</f>
        <v>-93000</v>
      </c>
      <c r="AE247" s="43">
        <v>0.08</v>
      </c>
      <c r="AF247" s="3">
        <f t="shared" si="12"/>
        <v>-86111.111111111109</v>
      </c>
      <c r="AG247" s="45">
        <f t="shared" si="13"/>
        <v>-94722.222222222234</v>
      </c>
      <c r="AH247" s="55"/>
    </row>
    <row r="248" spans="1:34" x14ac:dyDescent="0.25">
      <c r="A248" t="s">
        <v>1126</v>
      </c>
      <c r="B248" t="s">
        <v>1127</v>
      </c>
      <c r="C248" t="s">
        <v>1128</v>
      </c>
      <c r="D248" t="s">
        <v>1129</v>
      </c>
      <c r="E248" t="s">
        <v>1130</v>
      </c>
      <c r="F248" t="s">
        <v>1131</v>
      </c>
      <c r="G248" t="s">
        <v>5</v>
      </c>
      <c r="H248" t="s">
        <v>65</v>
      </c>
      <c r="I248" t="s">
        <v>66</v>
      </c>
      <c r="J248" t="s">
        <v>67</v>
      </c>
      <c r="K248" t="s">
        <v>3</v>
      </c>
      <c r="L248" t="s">
        <v>4</v>
      </c>
      <c r="M248" t="s">
        <v>49</v>
      </c>
      <c r="N248" t="s">
        <v>1132</v>
      </c>
      <c r="O248" s="31" t="s">
        <v>1133</v>
      </c>
      <c r="P248">
        <v>220</v>
      </c>
      <c r="R248">
        <v>6</v>
      </c>
      <c r="S248" s="31">
        <v>450000</v>
      </c>
      <c r="T248" s="39">
        <v>480000</v>
      </c>
      <c r="U248">
        <v>75000</v>
      </c>
      <c r="V248">
        <v>48000</v>
      </c>
      <c r="W248">
        <v>0</v>
      </c>
      <c r="X248" s="39">
        <v>132120</v>
      </c>
      <c r="Y248">
        <v>0</v>
      </c>
      <c r="Z248" s="31">
        <v>357000</v>
      </c>
      <c r="AA248">
        <v>8</v>
      </c>
      <c r="AB248" s="3">
        <f t="shared" si="11"/>
        <v>357000</v>
      </c>
      <c r="AC248" t="str">
        <f>IF(AB248-S248&lt;0,"YES","NO")</f>
        <v>YES</v>
      </c>
      <c r="AD248">
        <f>IF(AC248="NO",0,AB248-S248)</f>
        <v>-93000</v>
      </c>
      <c r="AE248" s="43">
        <v>0.08</v>
      </c>
      <c r="AF248" s="3">
        <f t="shared" si="12"/>
        <v>-86111.111111111109</v>
      </c>
      <c r="AG248" s="45">
        <f t="shared" si="13"/>
        <v>-94722.222222222234</v>
      </c>
      <c r="AH248" s="55"/>
    </row>
    <row r="249" spans="1:34" x14ac:dyDescent="0.25">
      <c r="A249" t="s">
        <v>1134</v>
      </c>
      <c r="B249" t="s">
        <v>1103</v>
      </c>
      <c r="C249" t="s">
        <v>1135</v>
      </c>
      <c r="D249" t="s">
        <v>1136</v>
      </c>
      <c r="E249" t="s">
        <v>1137</v>
      </c>
      <c r="F249" t="s">
        <v>1138</v>
      </c>
      <c r="G249" t="s">
        <v>5</v>
      </c>
      <c r="H249" t="s">
        <v>65</v>
      </c>
      <c r="I249" t="s">
        <v>66</v>
      </c>
      <c r="J249" t="s">
        <v>67</v>
      </c>
      <c r="K249" t="s">
        <v>3</v>
      </c>
      <c r="L249" t="s">
        <v>4</v>
      </c>
      <c r="M249" t="s">
        <v>49</v>
      </c>
      <c r="N249" t="s">
        <v>1139</v>
      </c>
      <c r="O249" s="31" t="s">
        <v>1140</v>
      </c>
      <c r="P249">
        <v>220</v>
      </c>
      <c r="R249">
        <v>3</v>
      </c>
      <c r="S249" s="31">
        <v>225000</v>
      </c>
      <c r="T249" s="39">
        <v>240000</v>
      </c>
      <c r="U249">
        <v>35000.01</v>
      </c>
      <c r="V249">
        <v>24000</v>
      </c>
      <c r="W249">
        <v>0</v>
      </c>
      <c r="X249" s="39">
        <v>71199.990000000005</v>
      </c>
      <c r="Y249">
        <v>0</v>
      </c>
      <c r="Z249" s="31">
        <v>180999.99</v>
      </c>
      <c r="AA249">
        <v>8</v>
      </c>
      <c r="AB249" s="3">
        <f t="shared" si="11"/>
        <v>180999.99</v>
      </c>
      <c r="AC249" t="str">
        <f>IF(AB249-S249&lt;0,"YES","NO")</f>
        <v>YES</v>
      </c>
      <c r="AD249">
        <f>IF(AC249="NO",0,AB249-S249)</f>
        <v>-44000.010000000009</v>
      </c>
      <c r="AE249" s="43">
        <v>0.08</v>
      </c>
      <c r="AF249" s="3">
        <f t="shared" si="12"/>
        <v>-40740.750000000007</v>
      </c>
      <c r="AG249" s="45">
        <f t="shared" si="13"/>
        <v>-44814.825000000012</v>
      </c>
      <c r="AH249" s="55"/>
    </row>
    <row r="250" spans="1:34" x14ac:dyDescent="0.25">
      <c r="A250" t="s">
        <v>1141</v>
      </c>
      <c r="B250" t="s">
        <v>1111</v>
      </c>
      <c r="C250" t="s">
        <v>1142</v>
      </c>
      <c r="D250" t="s">
        <v>1143</v>
      </c>
      <c r="E250" t="s">
        <v>1144</v>
      </c>
      <c r="F250" t="s">
        <v>1145</v>
      </c>
      <c r="G250" t="s">
        <v>5</v>
      </c>
      <c r="H250" t="s">
        <v>65</v>
      </c>
      <c r="I250" t="s">
        <v>66</v>
      </c>
      <c r="J250" t="s">
        <v>67</v>
      </c>
      <c r="K250" t="s">
        <v>3</v>
      </c>
      <c r="L250" t="s">
        <v>4</v>
      </c>
      <c r="M250" t="s">
        <v>49</v>
      </c>
      <c r="N250" t="s">
        <v>1146</v>
      </c>
      <c r="O250" s="31" t="s">
        <v>1147</v>
      </c>
      <c r="P250">
        <v>220</v>
      </c>
      <c r="R250">
        <v>2</v>
      </c>
      <c r="S250" s="31">
        <v>150000</v>
      </c>
      <c r="T250" s="39">
        <v>160000</v>
      </c>
      <c r="U250">
        <v>9795</v>
      </c>
      <c r="V250">
        <v>16000</v>
      </c>
      <c r="W250">
        <v>0</v>
      </c>
      <c r="X250" s="39">
        <v>25899</v>
      </c>
      <c r="Y250">
        <v>0</v>
      </c>
      <c r="Z250" s="31">
        <v>134205</v>
      </c>
      <c r="AA250">
        <v>8</v>
      </c>
      <c r="AB250" s="3">
        <f t="shared" si="11"/>
        <v>134205</v>
      </c>
      <c r="AC250" t="str">
        <f>IF(AB250-S250&lt;0,"YES","NO")</f>
        <v>YES</v>
      </c>
      <c r="AD250">
        <f>IF(AC250="NO",0,AB250-S250)</f>
        <v>-15795</v>
      </c>
      <c r="AE250" s="43">
        <v>0.08</v>
      </c>
      <c r="AF250" s="3">
        <f t="shared" si="12"/>
        <v>-14624.999999999998</v>
      </c>
      <c r="AG250" s="45">
        <f t="shared" si="13"/>
        <v>-16087.5</v>
      </c>
      <c r="AH250" s="55"/>
    </row>
    <row r="251" spans="1:34" x14ac:dyDescent="0.25">
      <c r="A251" t="s">
        <v>1141</v>
      </c>
      <c r="B251" t="s">
        <v>1111</v>
      </c>
      <c r="C251" t="s">
        <v>1142</v>
      </c>
      <c r="D251" t="s">
        <v>1143</v>
      </c>
      <c r="E251" t="s">
        <v>1144</v>
      </c>
      <c r="F251" t="s">
        <v>1145</v>
      </c>
      <c r="G251" t="s">
        <v>5</v>
      </c>
      <c r="H251" t="s">
        <v>65</v>
      </c>
      <c r="I251" t="s">
        <v>82</v>
      </c>
      <c r="J251" t="s">
        <v>83</v>
      </c>
      <c r="K251" t="s">
        <v>3</v>
      </c>
      <c r="L251" t="s">
        <v>4</v>
      </c>
      <c r="M251" t="s">
        <v>49</v>
      </c>
      <c r="N251" t="s">
        <v>1146</v>
      </c>
      <c r="O251" s="31" t="s">
        <v>1147</v>
      </c>
      <c r="P251">
        <v>220</v>
      </c>
      <c r="R251">
        <v>2</v>
      </c>
      <c r="S251" s="31">
        <v>150000</v>
      </c>
      <c r="T251" s="39">
        <v>160000</v>
      </c>
      <c r="U251">
        <v>10205</v>
      </c>
      <c r="V251">
        <v>10000</v>
      </c>
      <c r="W251">
        <v>0</v>
      </c>
      <c r="X251" s="39">
        <v>26981</v>
      </c>
      <c r="Y251">
        <v>0</v>
      </c>
      <c r="Z251" s="31">
        <v>139795</v>
      </c>
      <c r="AA251">
        <v>8</v>
      </c>
      <c r="AB251" s="3">
        <f t="shared" si="11"/>
        <v>139795</v>
      </c>
      <c r="AC251" t="str">
        <f>IF(AB251-S251&lt;0,"YES","NO")</f>
        <v>YES</v>
      </c>
      <c r="AD251">
        <f>IF(AC251="NO",0,AB251-S251)</f>
        <v>-10205</v>
      </c>
      <c r="AE251" s="43">
        <v>0.08</v>
      </c>
      <c r="AF251" s="3">
        <f t="shared" si="12"/>
        <v>-9449.074074074073</v>
      </c>
      <c r="AG251" s="45">
        <f t="shared" si="13"/>
        <v>-10393.981481481482</v>
      </c>
      <c r="AH251" s="55"/>
    </row>
    <row r="252" spans="1:34" x14ac:dyDescent="0.25">
      <c r="A252" t="s">
        <v>1148</v>
      </c>
      <c r="B252" t="s">
        <v>1149</v>
      </c>
      <c r="C252" t="s">
        <v>1150</v>
      </c>
      <c r="D252" t="s">
        <v>1151</v>
      </c>
      <c r="E252" t="s">
        <v>1152</v>
      </c>
      <c r="F252" t="s">
        <v>1153</v>
      </c>
      <c r="G252" t="s">
        <v>5</v>
      </c>
      <c r="H252" t="s">
        <v>65</v>
      </c>
      <c r="I252" t="s">
        <v>66</v>
      </c>
      <c r="J252" t="s">
        <v>67</v>
      </c>
      <c r="K252" t="s">
        <v>3</v>
      </c>
      <c r="L252" t="s">
        <v>4</v>
      </c>
      <c r="M252" t="s">
        <v>49</v>
      </c>
      <c r="N252" t="s">
        <v>1154</v>
      </c>
      <c r="O252" s="31" t="s">
        <v>1155</v>
      </c>
      <c r="P252">
        <v>220</v>
      </c>
      <c r="R252">
        <v>6</v>
      </c>
      <c r="S252" s="31">
        <v>450000</v>
      </c>
      <c r="T252" s="39">
        <v>480000</v>
      </c>
      <c r="U252">
        <v>75000</v>
      </c>
      <c r="V252">
        <v>25000.02</v>
      </c>
      <c r="W252">
        <v>0</v>
      </c>
      <c r="X252" s="39">
        <v>139599.96</v>
      </c>
      <c r="Y252">
        <v>0</v>
      </c>
      <c r="Z252" s="31">
        <v>379999.98</v>
      </c>
      <c r="AA252">
        <v>8</v>
      </c>
      <c r="AB252" s="3">
        <f t="shared" si="11"/>
        <v>379999.98</v>
      </c>
      <c r="AC252" t="str">
        <f>IF(AB252-S252&lt;0,"YES","NO")</f>
        <v>YES</v>
      </c>
      <c r="AD252">
        <f>IF(AC252="NO",0,AB252-S252)</f>
        <v>-70000.020000000019</v>
      </c>
      <c r="AE252" s="43">
        <v>0.08</v>
      </c>
      <c r="AF252" s="3">
        <f t="shared" si="12"/>
        <v>-64814.833333333343</v>
      </c>
      <c r="AG252" s="45">
        <f t="shared" si="13"/>
        <v>-71296.31666666668</v>
      </c>
      <c r="AH252" s="55"/>
    </row>
    <row r="253" spans="1:34" x14ac:dyDescent="0.25">
      <c r="A253" t="s">
        <v>1156</v>
      </c>
      <c r="B253" t="s">
        <v>1103</v>
      </c>
      <c r="C253" t="s">
        <v>1157</v>
      </c>
      <c r="D253" t="s">
        <v>1158</v>
      </c>
      <c r="E253" t="s">
        <v>1159</v>
      </c>
      <c r="F253" t="s">
        <v>1160</v>
      </c>
      <c r="G253" t="s">
        <v>5</v>
      </c>
      <c r="H253" t="s">
        <v>65</v>
      </c>
      <c r="I253" t="s">
        <v>66</v>
      </c>
      <c r="J253" t="s">
        <v>67</v>
      </c>
      <c r="K253" t="s">
        <v>3</v>
      </c>
      <c r="L253" t="s">
        <v>4</v>
      </c>
      <c r="M253" t="s">
        <v>49</v>
      </c>
      <c r="N253" t="s">
        <v>1161</v>
      </c>
      <c r="O253" s="31" t="s">
        <v>1162</v>
      </c>
      <c r="P253">
        <v>220</v>
      </c>
      <c r="R253">
        <v>6</v>
      </c>
      <c r="S253" s="31">
        <v>450000</v>
      </c>
      <c r="T253" s="39">
        <v>480000</v>
      </c>
      <c r="U253">
        <v>75000</v>
      </c>
      <c r="V253">
        <v>48000</v>
      </c>
      <c r="W253">
        <v>0</v>
      </c>
      <c r="X253" s="39">
        <v>139260</v>
      </c>
      <c r="Y253">
        <v>0</v>
      </c>
      <c r="Z253" s="31">
        <v>357000</v>
      </c>
      <c r="AA253">
        <v>8</v>
      </c>
      <c r="AB253" s="3">
        <f t="shared" si="11"/>
        <v>357000</v>
      </c>
      <c r="AC253" t="str">
        <f>IF(AB253-S253&lt;0,"YES","NO")</f>
        <v>YES</v>
      </c>
      <c r="AD253">
        <f>IF(AC253="NO",0,AB253-S253)</f>
        <v>-93000</v>
      </c>
      <c r="AE253" s="43">
        <v>0.08</v>
      </c>
      <c r="AF253" s="3">
        <f t="shared" si="12"/>
        <v>-86111.111111111109</v>
      </c>
      <c r="AG253" s="45">
        <f t="shared" si="13"/>
        <v>-94722.222222222234</v>
      </c>
      <c r="AH253" s="55"/>
    </row>
    <row r="254" spans="1:34" x14ac:dyDescent="0.25">
      <c r="A254" t="s">
        <v>1163</v>
      </c>
      <c r="B254" t="s">
        <v>1149</v>
      </c>
      <c r="C254" t="s">
        <v>1164</v>
      </c>
      <c r="D254" t="s">
        <v>1165</v>
      </c>
      <c r="E254" t="s">
        <v>1166</v>
      </c>
      <c r="F254" t="s">
        <v>1167</v>
      </c>
      <c r="G254" t="s">
        <v>5</v>
      </c>
      <c r="H254" t="s">
        <v>65</v>
      </c>
      <c r="I254" t="s">
        <v>109</v>
      </c>
      <c r="J254" t="s">
        <v>110</v>
      </c>
      <c r="K254" t="s">
        <v>3</v>
      </c>
      <c r="L254" t="s">
        <v>4</v>
      </c>
      <c r="M254" t="s">
        <v>49</v>
      </c>
      <c r="N254" t="s">
        <v>1168</v>
      </c>
      <c r="O254" s="31" t="s">
        <v>1169</v>
      </c>
      <c r="P254">
        <v>380</v>
      </c>
      <c r="R254">
        <v>6</v>
      </c>
      <c r="S254" s="31">
        <v>396000</v>
      </c>
      <c r="T254" s="39">
        <v>420000</v>
      </c>
      <c r="U254">
        <v>0</v>
      </c>
      <c r="V254">
        <v>18000</v>
      </c>
      <c r="W254">
        <v>0</v>
      </c>
      <c r="X254" s="39">
        <v>72360</v>
      </c>
      <c r="Y254">
        <v>0</v>
      </c>
      <c r="Z254" s="31">
        <v>402000</v>
      </c>
      <c r="AA254">
        <v>8</v>
      </c>
      <c r="AB254" s="3">
        <f t="shared" si="11"/>
        <v>402000</v>
      </c>
      <c r="AC254" t="str">
        <f>IF(AB254-S254&lt;0,"YES","NO")</f>
        <v>NO</v>
      </c>
      <c r="AD254">
        <f>IF(AC254="NO",0,AB254-S254)</f>
        <v>0</v>
      </c>
      <c r="AE254" s="43">
        <v>0.08</v>
      </c>
      <c r="AF254" s="3">
        <f t="shared" si="12"/>
        <v>0</v>
      </c>
      <c r="AG254" s="45">
        <f t="shared" si="13"/>
        <v>0</v>
      </c>
      <c r="AH254" s="55"/>
    </row>
    <row r="255" spans="1:34" x14ac:dyDescent="0.25">
      <c r="A255" t="s">
        <v>1170</v>
      </c>
      <c r="B255" t="s">
        <v>1171</v>
      </c>
      <c r="C255" t="s">
        <v>1172</v>
      </c>
      <c r="D255" t="s">
        <v>1173</v>
      </c>
      <c r="E255" t="s">
        <v>1174</v>
      </c>
      <c r="F255" t="s">
        <v>1175</v>
      </c>
      <c r="G255" t="s">
        <v>5</v>
      </c>
      <c r="H255" t="s">
        <v>65</v>
      </c>
      <c r="I255" t="s">
        <v>66</v>
      </c>
      <c r="J255" t="s">
        <v>67</v>
      </c>
      <c r="K255" t="s">
        <v>3</v>
      </c>
      <c r="L255" t="s">
        <v>4</v>
      </c>
      <c r="M255" t="s">
        <v>49</v>
      </c>
      <c r="N255" t="s">
        <v>1176</v>
      </c>
      <c r="O255" s="31" t="s">
        <v>1177</v>
      </c>
      <c r="P255">
        <v>220</v>
      </c>
      <c r="R255">
        <v>6</v>
      </c>
      <c r="S255" s="31">
        <v>450000</v>
      </c>
      <c r="T255" s="39">
        <v>480000</v>
      </c>
      <c r="U255">
        <v>75000</v>
      </c>
      <c r="V255">
        <v>48000</v>
      </c>
      <c r="W255">
        <v>0</v>
      </c>
      <c r="X255" s="39">
        <v>135690</v>
      </c>
      <c r="Y255">
        <v>0</v>
      </c>
      <c r="Z255" s="31">
        <v>357000</v>
      </c>
      <c r="AA255">
        <v>8</v>
      </c>
      <c r="AB255" s="3">
        <f t="shared" si="11"/>
        <v>357000</v>
      </c>
      <c r="AC255" t="str">
        <f>IF(AB255-S255&lt;0,"YES","NO")</f>
        <v>YES</v>
      </c>
      <c r="AD255">
        <f>IF(AC255="NO",0,AB255-S255)</f>
        <v>-93000</v>
      </c>
      <c r="AE255" s="43">
        <v>0.08</v>
      </c>
      <c r="AF255" s="3">
        <f t="shared" si="12"/>
        <v>-86111.111111111109</v>
      </c>
      <c r="AG255" s="45">
        <f t="shared" si="13"/>
        <v>-94722.222222222234</v>
      </c>
      <c r="AH255" s="55"/>
    </row>
    <row r="256" spans="1:34" x14ac:dyDescent="0.25">
      <c r="A256" t="s">
        <v>1178</v>
      </c>
      <c r="B256" t="s">
        <v>1111</v>
      </c>
      <c r="C256" t="s">
        <v>1179</v>
      </c>
      <c r="D256" t="s">
        <v>1180</v>
      </c>
      <c r="E256" t="s">
        <v>1181</v>
      </c>
      <c r="F256" t="s">
        <v>1182</v>
      </c>
      <c r="G256" t="s">
        <v>5</v>
      </c>
      <c r="H256" t="s">
        <v>65</v>
      </c>
      <c r="I256" t="s">
        <v>109</v>
      </c>
      <c r="J256" t="s">
        <v>110</v>
      </c>
      <c r="K256" t="s">
        <v>3</v>
      </c>
      <c r="L256" t="s">
        <v>4</v>
      </c>
      <c r="M256" t="s">
        <v>49</v>
      </c>
      <c r="N256" t="s">
        <v>1183</v>
      </c>
      <c r="O256" s="31" t="s">
        <v>1184</v>
      </c>
      <c r="P256">
        <v>380</v>
      </c>
      <c r="R256">
        <v>6</v>
      </c>
      <c r="S256" s="31">
        <v>396000</v>
      </c>
      <c r="T256" s="39">
        <v>420000</v>
      </c>
      <c r="U256">
        <v>75000</v>
      </c>
      <c r="V256">
        <v>18000</v>
      </c>
      <c r="W256">
        <v>0</v>
      </c>
      <c r="X256" s="39">
        <v>130590</v>
      </c>
      <c r="Y256">
        <v>0</v>
      </c>
      <c r="Z256" s="31">
        <v>327000</v>
      </c>
      <c r="AA256">
        <v>8</v>
      </c>
      <c r="AB256" s="3">
        <f t="shared" si="11"/>
        <v>327000</v>
      </c>
      <c r="AC256" t="str">
        <f>IF(AB256-S256&lt;0,"YES","NO")</f>
        <v>YES</v>
      </c>
      <c r="AD256">
        <f>IF(AC256="NO",0,AB256-S256)</f>
        <v>-69000</v>
      </c>
      <c r="AE256" s="43">
        <v>0.08</v>
      </c>
      <c r="AF256" s="3">
        <f t="shared" si="12"/>
        <v>-63888.888888888883</v>
      </c>
      <c r="AG256" s="45">
        <f t="shared" si="13"/>
        <v>-70277.777777777781</v>
      </c>
      <c r="AH256" s="55"/>
    </row>
    <row r="257" spans="1:34" x14ac:dyDescent="0.25">
      <c r="A257" t="s">
        <v>1185</v>
      </c>
      <c r="B257" t="s">
        <v>1079</v>
      </c>
      <c r="C257" t="s">
        <v>1186</v>
      </c>
      <c r="D257" t="s">
        <v>1187</v>
      </c>
      <c r="E257" t="s">
        <v>1188</v>
      </c>
      <c r="F257" t="s">
        <v>1189</v>
      </c>
      <c r="G257" t="s">
        <v>5</v>
      </c>
      <c r="H257" t="s">
        <v>61</v>
      </c>
      <c r="I257" t="s">
        <v>97</v>
      </c>
      <c r="J257" t="s">
        <v>98</v>
      </c>
      <c r="K257" t="s">
        <v>3</v>
      </c>
      <c r="L257" t="s">
        <v>4</v>
      </c>
      <c r="M257" t="s">
        <v>49</v>
      </c>
      <c r="N257" t="s">
        <v>1190</v>
      </c>
      <c r="O257" s="31" t="s">
        <v>1191</v>
      </c>
      <c r="P257">
        <v>20</v>
      </c>
      <c r="Q257" t="s">
        <v>99</v>
      </c>
      <c r="R257">
        <v>1</v>
      </c>
      <c r="S257" s="31">
        <v>0</v>
      </c>
      <c r="T257" s="39">
        <v>0</v>
      </c>
      <c r="U257">
        <v>0</v>
      </c>
      <c r="V257">
        <v>0</v>
      </c>
      <c r="W257">
        <v>0</v>
      </c>
      <c r="X257" s="39">
        <v>0</v>
      </c>
      <c r="Y257">
        <v>0</v>
      </c>
      <c r="Z257" s="31">
        <v>0</v>
      </c>
      <c r="AA257">
        <v>8</v>
      </c>
      <c r="AB257" s="3">
        <f t="shared" si="11"/>
        <v>0</v>
      </c>
      <c r="AC257" t="str">
        <f>IF(AB257-S257&lt;0,"YES","NO")</f>
        <v>NO</v>
      </c>
      <c r="AD257">
        <f>IF(AC257="NO",0,AB257-S257)</f>
        <v>0</v>
      </c>
      <c r="AE257" s="43">
        <v>0.08</v>
      </c>
      <c r="AF257" s="3">
        <f t="shared" si="12"/>
        <v>0</v>
      </c>
      <c r="AG257" s="45">
        <f t="shared" si="13"/>
        <v>0</v>
      </c>
      <c r="AH257" s="55"/>
    </row>
    <row r="258" spans="1:34" x14ac:dyDescent="0.25">
      <c r="A258" t="s">
        <v>1185</v>
      </c>
      <c r="B258" t="s">
        <v>1079</v>
      </c>
      <c r="C258" t="s">
        <v>1186</v>
      </c>
      <c r="D258" t="s">
        <v>1187</v>
      </c>
      <c r="E258" t="s">
        <v>1188</v>
      </c>
      <c r="F258" t="s">
        <v>1189</v>
      </c>
      <c r="G258" t="s">
        <v>5</v>
      </c>
      <c r="H258" t="s">
        <v>65</v>
      </c>
      <c r="I258" t="s">
        <v>115</v>
      </c>
      <c r="J258" t="s">
        <v>116</v>
      </c>
      <c r="K258" t="s">
        <v>3</v>
      </c>
      <c r="L258" t="s">
        <v>4</v>
      </c>
      <c r="M258" t="s">
        <v>49</v>
      </c>
      <c r="N258" t="s">
        <v>1190</v>
      </c>
      <c r="O258" s="31" t="s">
        <v>1191</v>
      </c>
      <c r="P258">
        <v>200</v>
      </c>
      <c r="R258">
        <v>2</v>
      </c>
      <c r="S258" s="31">
        <v>144000</v>
      </c>
      <c r="T258" s="39">
        <v>160000</v>
      </c>
      <c r="U258">
        <v>20000</v>
      </c>
      <c r="V258">
        <v>16000</v>
      </c>
      <c r="W258">
        <v>0</v>
      </c>
      <c r="X258" s="39">
        <v>39841</v>
      </c>
      <c r="Y258">
        <v>0</v>
      </c>
      <c r="Z258" s="31">
        <v>124000</v>
      </c>
      <c r="AA258">
        <v>8</v>
      </c>
      <c r="AB258" s="3">
        <f t="shared" si="11"/>
        <v>124000</v>
      </c>
      <c r="AC258" t="str">
        <f>IF(AB258-S258&lt;0,"YES","NO")</f>
        <v>YES</v>
      </c>
      <c r="AD258">
        <f>IF(AC258="NO",0,AB258-S258)</f>
        <v>-20000</v>
      </c>
      <c r="AE258" s="43">
        <v>0.08</v>
      </c>
      <c r="AF258" s="3">
        <f t="shared" si="12"/>
        <v>-18518.518518518518</v>
      </c>
      <c r="AG258" s="45">
        <f t="shared" si="13"/>
        <v>-20370.370370370372</v>
      </c>
      <c r="AH258" s="55"/>
    </row>
    <row r="259" spans="1:34" x14ac:dyDescent="0.25">
      <c r="A259" t="s">
        <v>1192</v>
      </c>
      <c r="B259" t="s">
        <v>1149</v>
      </c>
      <c r="C259" t="s">
        <v>1193</v>
      </c>
      <c r="D259" t="s">
        <v>1194</v>
      </c>
      <c r="E259" t="s">
        <v>1195</v>
      </c>
      <c r="F259" t="s">
        <v>1196</v>
      </c>
      <c r="G259" t="s">
        <v>5</v>
      </c>
      <c r="H259" t="s">
        <v>65</v>
      </c>
      <c r="I259" t="s">
        <v>66</v>
      </c>
      <c r="J259" t="s">
        <v>67</v>
      </c>
      <c r="K259" t="s">
        <v>3</v>
      </c>
      <c r="L259" t="s">
        <v>4</v>
      </c>
      <c r="M259" t="s">
        <v>49</v>
      </c>
      <c r="N259" t="s">
        <v>1197</v>
      </c>
      <c r="O259" s="31" t="s">
        <v>1198</v>
      </c>
      <c r="P259">
        <v>220</v>
      </c>
      <c r="R259">
        <v>3</v>
      </c>
      <c r="S259" s="31">
        <v>225000</v>
      </c>
      <c r="T259" s="39">
        <v>240000</v>
      </c>
      <c r="U259">
        <v>35000.01</v>
      </c>
      <c r="V259">
        <v>24000</v>
      </c>
      <c r="W259">
        <v>0</v>
      </c>
      <c r="X259" s="39">
        <v>71199.990000000005</v>
      </c>
      <c r="Y259">
        <v>0</v>
      </c>
      <c r="Z259" s="31">
        <v>180999.99</v>
      </c>
      <c r="AA259">
        <v>8</v>
      </c>
      <c r="AB259" s="3">
        <f t="shared" si="11"/>
        <v>180999.99</v>
      </c>
      <c r="AC259" t="str">
        <f>IF(AB259-S259&lt;0,"YES","NO")</f>
        <v>YES</v>
      </c>
      <c r="AD259">
        <f>IF(AC259="NO",0,AB259-S259)</f>
        <v>-44000.010000000009</v>
      </c>
      <c r="AE259" s="43">
        <v>0.08</v>
      </c>
      <c r="AF259" s="3">
        <f t="shared" si="12"/>
        <v>-40740.750000000007</v>
      </c>
      <c r="AG259" s="45">
        <f t="shared" si="13"/>
        <v>-44814.825000000012</v>
      </c>
      <c r="AH259" s="55"/>
    </row>
    <row r="260" spans="1:34" x14ac:dyDescent="0.25">
      <c r="A260" t="s">
        <v>1199</v>
      </c>
      <c r="B260" t="s">
        <v>1200</v>
      </c>
      <c r="C260" t="s">
        <v>1201</v>
      </c>
      <c r="D260" t="s">
        <v>1202</v>
      </c>
      <c r="E260" t="s">
        <v>1203</v>
      </c>
      <c r="F260" t="s">
        <v>1204</v>
      </c>
      <c r="G260" t="s">
        <v>5</v>
      </c>
      <c r="H260" t="s">
        <v>65</v>
      </c>
      <c r="I260" t="s">
        <v>71</v>
      </c>
      <c r="J260" t="s">
        <v>72</v>
      </c>
      <c r="K260" t="s">
        <v>3</v>
      </c>
      <c r="L260" t="s">
        <v>4</v>
      </c>
      <c r="M260" t="s">
        <v>49</v>
      </c>
      <c r="N260" t="s">
        <v>1205</v>
      </c>
      <c r="O260" s="31" t="s">
        <v>1206</v>
      </c>
      <c r="P260">
        <v>220</v>
      </c>
      <c r="Q260" t="s">
        <v>70</v>
      </c>
      <c r="R260">
        <v>2</v>
      </c>
      <c r="S260" s="31">
        <v>118000</v>
      </c>
      <c r="T260" s="39">
        <v>130000</v>
      </c>
      <c r="U260">
        <v>0</v>
      </c>
      <c r="V260">
        <v>12000</v>
      </c>
      <c r="W260">
        <v>0</v>
      </c>
      <c r="X260" s="39">
        <v>22433</v>
      </c>
      <c r="Y260">
        <v>0</v>
      </c>
      <c r="Z260" s="31">
        <v>118000</v>
      </c>
      <c r="AA260">
        <v>8</v>
      </c>
      <c r="AB260" s="3">
        <f t="shared" si="11"/>
        <v>118000</v>
      </c>
      <c r="AC260" t="str">
        <f>IF(AB260-S260&lt;0,"YES","NO")</f>
        <v>NO</v>
      </c>
      <c r="AD260">
        <f>IF(AC260="NO",0,AB260-S260)</f>
        <v>0</v>
      </c>
      <c r="AE260" s="43">
        <v>0.08</v>
      </c>
      <c r="AF260" s="3">
        <f t="shared" si="12"/>
        <v>0</v>
      </c>
      <c r="AG260" s="45">
        <f t="shared" si="13"/>
        <v>0</v>
      </c>
      <c r="AH260" s="55"/>
    </row>
    <row r="261" spans="1:34" x14ac:dyDescent="0.25">
      <c r="A261" t="s">
        <v>1199</v>
      </c>
      <c r="B261" t="s">
        <v>1200</v>
      </c>
      <c r="C261" t="s">
        <v>1201</v>
      </c>
      <c r="D261" t="s">
        <v>1202</v>
      </c>
      <c r="E261" t="s">
        <v>1203</v>
      </c>
      <c r="F261" t="s">
        <v>1204</v>
      </c>
      <c r="G261" t="s">
        <v>5</v>
      </c>
      <c r="H261" t="s">
        <v>65</v>
      </c>
      <c r="I261" t="s">
        <v>68</v>
      </c>
      <c r="J261" t="s">
        <v>69</v>
      </c>
      <c r="K261" t="s">
        <v>3</v>
      </c>
      <c r="L261" t="s">
        <v>4</v>
      </c>
      <c r="M261" t="s">
        <v>49</v>
      </c>
      <c r="N261" t="s">
        <v>1205</v>
      </c>
      <c r="O261" s="31" t="s">
        <v>1206</v>
      </c>
      <c r="P261">
        <v>220</v>
      </c>
      <c r="Q261" t="s">
        <v>70</v>
      </c>
      <c r="R261">
        <v>1</v>
      </c>
      <c r="S261" s="31">
        <v>59000</v>
      </c>
      <c r="T261" s="39">
        <v>65000</v>
      </c>
      <c r="U261">
        <v>11666.67</v>
      </c>
      <c r="V261">
        <v>5000</v>
      </c>
      <c r="W261">
        <v>0</v>
      </c>
      <c r="X261" s="39">
        <v>20855.669999999998</v>
      </c>
      <c r="Y261">
        <v>0</v>
      </c>
      <c r="Z261" s="31">
        <v>48333.33</v>
      </c>
      <c r="AA261">
        <v>8</v>
      </c>
      <c r="AB261" s="3">
        <f t="shared" si="11"/>
        <v>48333.33</v>
      </c>
      <c r="AC261" t="str">
        <f>IF(AB261-S261&lt;0,"YES","NO")</f>
        <v>YES</v>
      </c>
      <c r="AD261">
        <f>IF(AC261="NO",0,AB261-S261)</f>
        <v>-10666.669999999998</v>
      </c>
      <c r="AE261" s="43">
        <v>0.08</v>
      </c>
      <c r="AF261" s="3">
        <f t="shared" si="12"/>
        <v>-9876.5462962962938</v>
      </c>
      <c r="AG261" s="45">
        <f t="shared" si="13"/>
        <v>-10864.200925925925</v>
      </c>
      <c r="AH261" s="55"/>
    </row>
    <row r="262" spans="1:34" x14ac:dyDescent="0.25">
      <c r="A262" t="s">
        <v>1199</v>
      </c>
      <c r="B262" t="s">
        <v>1200</v>
      </c>
      <c r="C262" t="s">
        <v>1201</v>
      </c>
      <c r="D262" t="s">
        <v>1202</v>
      </c>
      <c r="E262" t="s">
        <v>1203</v>
      </c>
      <c r="F262" t="s">
        <v>1204</v>
      </c>
      <c r="G262" t="s">
        <v>5</v>
      </c>
      <c r="H262" t="s">
        <v>65</v>
      </c>
      <c r="I262" t="s">
        <v>71</v>
      </c>
      <c r="J262" t="s">
        <v>72</v>
      </c>
      <c r="K262" t="s">
        <v>3</v>
      </c>
      <c r="L262" t="s">
        <v>4</v>
      </c>
      <c r="M262" t="s">
        <v>49</v>
      </c>
      <c r="N262" t="s">
        <v>1205</v>
      </c>
      <c r="O262" s="31" t="s">
        <v>1206</v>
      </c>
      <c r="P262">
        <v>220</v>
      </c>
      <c r="Q262" t="s">
        <v>70</v>
      </c>
      <c r="R262">
        <v>1</v>
      </c>
      <c r="S262" s="31">
        <v>59000</v>
      </c>
      <c r="T262" s="39">
        <v>65000</v>
      </c>
      <c r="U262">
        <v>11666.67</v>
      </c>
      <c r="V262">
        <v>5000</v>
      </c>
      <c r="W262">
        <v>0</v>
      </c>
      <c r="X262" s="39">
        <v>20855.669999999998</v>
      </c>
      <c r="Y262">
        <v>0</v>
      </c>
      <c r="Z262" s="31">
        <v>48333.33</v>
      </c>
      <c r="AA262">
        <v>8</v>
      </c>
      <c r="AB262" s="3">
        <f t="shared" ref="AB262:AB325" si="14">Z262</f>
        <v>48333.33</v>
      </c>
      <c r="AC262" t="str">
        <f>IF(AB262-S262&lt;0,"YES","NO")</f>
        <v>YES</v>
      </c>
      <c r="AD262">
        <f>IF(AC262="NO",0,AB262-S262)</f>
        <v>-10666.669999999998</v>
      </c>
      <c r="AE262" s="43">
        <v>0.08</v>
      </c>
      <c r="AF262" s="3">
        <f t="shared" ref="AF262:AF325" si="15">AD262/(1+AE262)</f>
        <v>-9876.5462962962938</v>
      </c>
      <c r="AG262" s="45">
        <f t="shared" ref="AG262:AG325" si="16">AF262*1.1</f>
        <v>-10864.200925925925</v>
      </c>
      <c r="AH262" s="55"/>
    </row>
    <row r="263" spans="1:34" x14ac:dyDescent="0.25">
      <c r="A263" t="s">
        <v>1199</v>
      </c>
      <c r="B263" t="s">
        <v>1200</v>
      </c>
      <c r="C263" t="s">
        <v>1201</v>
      </c>
      <c r="D263" t="s">
        <v>1202</v>
      </c>
      <c r="E263" t="s">
        <v>1203</v>
      </c>
      <c r="F263" t="s">
        <v>1204</v>
      </c>
      <c r="G263" t="s">
        <v>5</v>
      </c>
      <c r="H263" t="s">
        <v>65</v>
      </c>
      <c r="I263" t="s">
        <v>73</v>
      </c>
      <c r="J263" t="s">
        <v>74</v>
      </c>
      <c r="K263" t="s">
        <v>3</v>
      </c>
      <c r="L263" t="s">
        <v>4</v>
      </c>
      <c r="M263" t="s">
        <v>49</v>
      </c>
      <c r="N263" t="s">
        <v>1205</v>
      </c>
      <c r="O263" s="31" t="s">
        <v>1206</v>
      </c>
      <c r="P263">
        <v>220</v>
      </c>
      <c r="Q263" t="s">
        <v>70</v>
      </c>
      <c r="R263">
        <v>1</v>
      </c>
      <c r="S263" s="31">
        <v>59000</v>
      </c>
      <c r="T263" s="39">
        <v>65000</v>
      </c>
      <c r="U263">
        <v>11666.67</v>
      </c>
      <c r="V263">
        <v>5000</v>
      </c>
      <c r="W263">
        <v>0</v>
      </c>
      <c r="X263" s="39">
        <v>20855.669999999998</v>
      </c>
      <c r="Y263">
        <v>0</v>
      </c>
      <c r="Z263" s="31">
        <v>48333.33</v>
      </c>
      <c r="AA263">
        <v>8</v>
      </c>
      <c r="AB263" s="3">
        <f t="shared" si="14"/>
        <v>48333.33</v>
      </c>
      <c r="AC263" t="str">
        <f>IF(AB263-S263&lt;0,"YES","NO")</f>
        <v>YES</v>
      </c>
      <c r="AD263">
        <f>IF(AC263="NO",0,AB263-S263)</f>
        <v>-10666.669999999998</v>
      </c>
      <c r="AE263" s="43">
        <v>0.08</v>
      </c>
      <c r="AF263" s="3">
        <f t="shared" si="15"/>
        <v>-9876.5462962962938</v>
      </c>
      <c r="AG263" s="45">
        <f t="shared" si="16"/>
        <v>-10864.200925925925</v>
      </c>
      <c r="AH263" s="55"/>
    </row>
    <row r="264" spans="1:34" x14ac:dyDescent="0.25">
      <c r="A264" t="s">
        <v>1207</v>
      </c>
      <c r="B264" t="s">
        <v>1208</v>
      </c>
      <c r="C264" t="s">
        <v>1209</v>
      </c>
      <c r="D264" t="s">
        <v>1210</v>
      </c>
      <c r="E264" t="s">
        <v>1211</v>
      </c>
      <c r="F264" t="s">
        <v>1212</v>
      </c>
      <c r="G264" t="s">
        <v>5</v>
      </c>
      <c r="H264" t="s">
        <v>65</v>
      </c>
      <c r="I264" t="s">
        <v>68</v>
      </c>
      <c r="J264" t="s">
        <v>69</v>
      </c>
      <c r="K264" t="s">
        <v>3</v>
      </c>
      <c r="L264" t="s">
        <v>4</v>
      </c>
      <c r="M264" t="s">
        <v>49</v>
      </c>
      <c r="N264" t="s">
        <v>1213</v>
      </c>
      <c r="O264" s="31" t="s">
        <v>1214</v>
      </c>
      <c r="P264">
        <v>220</v>
      </c>
      <c r="Q264" t="s">
        <v>70</v>
      </c>
      <c r="R264">
        <v>1</v>
      </c>
      <c r="S264" s="31">
        <v>59000</v>
      </c>
      <c r="T264" s="39">
        <v>65000</v>
      </c>
      <c r="U264">
        <v>5303</v>
      </c>
      <c r="V264">
        <v>5000</v>
      </c>
      <c r="W264">
        <v>0</v>
      </c>
      <c r="X264" s="39">
        <v>14601.33</v>
      </c>
      <c r="Y264">
        <v>0</v>
      </c>
      <c r="Z264" s="31">
        <v>54697</v>
      </c>
      <c r="AA264">
        <v>8</v>
      </c>
      <c r="AB264" s="3">
        <f t="shared" si="14"/>
        <v>54697</v>
      </c>
      <c r="AC264" t="str">
        <f>IF(AB264-S264&lt;0,"YES","NO")</f>
        <v>YES</v>
      </c>
      <c r="AD264">
        <f>IF(AC264="NO",0,AB264-S264)</f>
        <v>-4303</v>
      </c>
      <c r="AE264" s="43">
        <v>0.08</v>
      </c>
      <c r="AF264" s="3">
        <f t="shared" si="15"/>
        <v>-3984.2592592592591</v>
      </c>
      <c r="AG264" s="45">
        <f t="shared" si="16"/>
        <v>-4382.6851851851852</v>
      </c>
      <c r="AH264" s="55"/>
    </row>
    <row r="265" spans="1:34" x14ac:dyDescent="0.25">
      <c r="A265" t="s">
        <v>1207</v>
      </c>
      <c r="B265" t="s">
        <v>1208</v>
      </c>
      <c r="C265" t="s">
        <v>1209</v>
      </c>
      <c r="D265" t="s">
        <v>1210</v>
      </c>
      <c r="E265" t="s">
        <v>1211</v>
      </c>
      <c r="F265" t="s">
        <v>1212</v>
      </c>
      <c r="G265" t="s">
        <v>5</v>
      </c>
      <c r="H265" t="s">
        <v>65</v>
      </c>
      <c r="I265" t="s">
        <v>71</v>
      </c>
      <c r="J265" t="s">
        <v>72</v>
      </c>
      <c r="K265" t="s">
        <v>3</v>
      </c>
      <c r="L265" t="s">
        <v>4</v>
      </c>
      <c r="M265" t="s">
        <v>49</v>
      </c>
      <c r="N265" t="s">
        <v>1213</v>
      </c>
      <c r="O265" s="31" t="s">
        <v>1214</v>
      </c>
      <c r="P265">
        <v>220</v>
      </c>
      <c r="Q265" t="s">
        <v>70</v>
      </c>
      <c r="R265">
        <v>1</v>
      </c>
      <c r="S265" s="31">
        <v>59000</v>
      </c>
      <c r="T265" s="39">
        <v>65000</v>
      </c>
      <c r="U265">
        <v>5303</v>
      </c>
      <c r="V265">
        <v>5000</v>
      </c>
      <c r="W265">
        <v>0</v>
      </c>
      <c r="X265" s="39">
        <v>14601.33</v>
      </c>
      <c r="Y265">
        <v>0</v>
      </c>
      <c r="Z265" s="31">
        <v>54697</v>
      </c>
      <c r="AA265">
        <v>8</v>
      </c>
      <c r="AB265" s="3">
        <f t="shared" si="14"/>
        <v>54697</v>
      </c>
      <c r="AC265" t="str">
        <f>IF(AB265-S265&lt;0,"YES","NO")</f>
        <v>YES</v>
      </c>
      <c r="AD265">
        <f>IF(AC265="NO",0,AB265-S265)</f>
        <v>-4303</v>
      </c>
      <c r="AE265" s="43">
        <v>0.08</v>
      </c>
      <c r="AF265" s="3">
        <f t="shared" si="15"/>
        <v>-3984.2592592592591</v>
      </c>
      <c r="AG265" s="45">
        <f t="shared" si="16"/>
        <v>-4382.6851851851852</v>
      </c>
      <c r="AH265" s="55"/>
    </row>
    <row r="266" spans="1:34" x14ac:dyDescent="0.25">
      <c r="A266" t="s">
        <v>1207</v>
      </c>
      <c r="B266" t="s">
        <v>1208</v>
      </c>
      <c r="C266" t="s">
        <v>1209</v>
      </c>
      <c r="D266" t="s">
        <v>1210</v>
      </c>
      <c r="E266" t="s">
        <v>1211</v>
      </c>
      <c r="F266" t="s">
        <v>1212</v>
      </c>
      <c r="G266" t="s">
        <v>5</v>
      </c>
      <c r="H266" t="s">
        <v>65</v>
      </c>
      <c r="I266" t="s">
        <v>73</v>
      </c>
      <c r="J266" t="s">
        <v>74</v>
      </c>
      <c r="K266" t="s">
        <v>3</v>
      </c>
      <c r="L266" t="s">
        <v>4</v>
      </c>
      <c r="M266" t="s">
        <v>49</v>
      </c>
      <c r="N266" t="s">
        <v>1213</v>
      </c>
      <c r="O266" s="31" t="s">
        <v>1214</v>
      </c>
      <c r="P266">
        <v>220</v>
      </c>
      <c r="Q266" t="s">
        <v>70</v>
      </c>
      <c r="R266">
        <v>1</v>
      </c>
      <c r="S266" s="31">
        <v>59000</v>
      </c>
      <c r="T266" s="39">
        <v>65000</v>
      </c>
      <c r="U266">
        <v>5303</v>
      </c>
      <c r="V266">
        <v>5000</v>
      </c>
      <c r="W266">
        <v>0</v>
      </c>
      <c r="X266" s="39">
        <v>14601.33</v>
      </c>
      <c r="Y266">
        <v>0</v>
      </c>
      <c r="Z266" s="31">
        <v>54697</v>
      </c>
      <c r="AA266">
        <v>8</v>
      </c>
      <c r="AB266" s="3">
        <f t="shared" si="14"/>
        <v>54697</v>
      </c>
      <c r="AC266" t="str">
        <f>IF(AB266-S266&lt;0,"YES","NO")</f>
        <v>YES</v>
      </c>
      <c r="AD266">
        <f>IF(AC266="NO",0,AB266-S266)</f>
        <v>-4303</v>
      </c>
      <c r="AE266" s="43">
        <v>0.08</v>
      </c>
      <c r="AF266" s="3">
        <f t="shared" si="15"/>
        <v>-3984.2592592592591</v>
      </c>
      <c r="AG266" s="45">
        <f t="shared" si="16"/>
        <v>-4382.6851851851852</v>
      </c>
      <c r="AH266" s="55"/>
    </row>
    <row r="267" spans="1:34" x14ac:dyDescent="0.25">
      <c r="A267" t="s">
        <v>1207</v>
      </c>
      <c r="B267" t="s">
        <v>1208</v>
      </c>
      <c r="C267" t="s">
        <v>1209</v>
      </c>
      <c r="D267" t="s">
        <v>1210</v>
      </c>
      <c r="E267" t="s">
        <v>1211</v>
      </c>
      <c r="F267" t="s">
        <v>1212</v>
      </c>
      <c r="G267" t="s">
        <v>5</v>
      </c>
      <c r="H267" t="s">
        <v>65</v>
      </c>
      <c r="I267" t="s">
        <v>66</v>
      </c>
      <c r="J267" t="s">
        <v>67</v>
      </c>
      <c r="K267" t="s">
        <v>3</v>
      </c>
      <c r="L267" t="s">
        <v>4</v>
      </c>
      <c r="M267" t="s">
        <v>49</v>
      </c>
      <c r="N267" t="s">
        <v>1213</v>
      </c>
      <c r="O267" s="31" t="s">
        <v>1214</v>
      </c>
      <c r="P267">
        <v>220</v>
      </c>
      <c r="R267">
        <v>3</v>
      </c>
      <c r="S267" s="31">
        <v>225000</v>
      </c>
      <c r="T267" s="39">
        <v>240000</v>
      </c>
      <c r="U267">
        <v>19091.009999999998</v>
      </c>
      <c r="V267">
        <v>24000</v>
      </c>
      <c r="W267">
        <v>0</v>
      </c>
      <c r="X267" s="39">
        <v>52566</v>
      </c>
      <c r="Y267">
        <v>0</v>
      </c>
      <c r="Z267" s="31">
        <v>196908.99</v>
      </c>
      <c r="AA267">
        <v>8</v>
      </c>
      <c r="AB267" s="3">
        <f t="shared" si="14"/>
        <v>196908.99</v>
      </c>
      <c r="AC267" t="str">
        <f>IF(AB267-S267&lt;0,"YES","NO")</f>
        <v>YES</v>
      </c>
      <c r="AD267">
        <f>IF(AC267="NO",0,AB267-S267)</f>
        <v>-28091.010000000009</v>
      </c>
      <c r="AE267" s="43">
        <v>0.08</v>
      </c>
      <c r="AF267" s="3">
        <f t="shared" si="15"/>
        <v>-26010.194444444453</v>
      </c>
      <c r="AG267" s="45">
        <f t="shared" si="16"/>
        <v>-28611.213888888899</v>
      </c>
      <c r="AH267" s="55"/>
    </row>
    <row r="268" spans="1:34" x14ac:dyDescent="0.25">
      <c r="A268" t="s">
        <v>1215</v>
      </c>
      <c r="B268" t="s">
        <v>1079</v>
      </c>
      <c r="C268" t="s">
        <v>1216</v>
      </c>
      <c r="D268" t="s">
        <v>1217</v>
      </c>
      <c r="E268" t="s">
        <v>1218</v>
      </c>
      <c r="F268" t="s">
        <v>1219</v>
      </c>
      <c r="G268" t="s">
        <v>5</v>
      </c>
      <c r="H268" t="s">
        <v>65</v>
      </c>
      <c r="I268" t="s">
        <v>66</v>
      </c>
      <c r="J268" t="s">
        <v>67</v>
      </c>
      <c r="K268" t="s">
        <v>3</v>
      </c>
      <c r="L268" t="s">
        <v>4</v>
      </c>
      <c r="M268" t="s">
        <v>49</v>
      </c>
      <c r="N268" t="s">
        <v>1220</v>
      </c>
      <c r="O268" s="31" t="s">
        <v>1221</v>
      </c>
      <c r="P268">
        <v>220</v>
      </c>
      <c r="R268">
        <v>3</v>
      </c>
      <c r="S268" s="31">
        <v>225000</v>
      </c>
      <c r="T268" s="39">
        <v>240000</v>
      </c>
      <c r="U268">
        <v>35000.01</v>
      </c>
      <c r="V268">
        <v>24000</v>
      </c>
      <c r="W268">
        <v>0</v>
      </c>
      <c r="X268" s="39">
        <v>62150.01</v>
      </c>
      <c r="Y268">
        <v>0</v>
      </c>
      <c r="Z268" s="31">
        <v>180999.99</v>
      </c>
      <c r="AA268">
        <v>8</v>
      </c>
      <c r="AB268" s="3">
        <f t="shared" si="14"/>
        <v>180999.99</v>
      </c>
      <c r="AC268" t="str">
        <f>IF(AB268-S268&lt;0,"YES","NO")</f>
        <v>YES</v>
      </c>
      <c r="AD268">
        <f>IF(AC268="NO",0,AB268-S268)</f>
        <v>-44000.010000000009</v>
      </c>
      <c r="AE268" s="43">
        <v>0.08</v>
      </c>
      <c r="AF268" s="3">
        <f t="shared" si="15"/>
        <v>-40740.750000000007</v>
      </c>
      <c r="AG268" s="45">
        <f t="shared" si="16"/>
        <v>-44814.825000000012</v>
      </c>
      <c r="AH268" s="55"/>
    </row>
    <row r="269" spans="1:34" x14ac:dyDescent="0.25">
      <c r="A269" t="s">
        <v>1222</v>
      </c>
      <c r="B269" t="s">
        <v>1208</v>
      </c>
      <c r="C269" t="s">
        <v>1223</v>
      </c>
      <c r="D269" t="s">
        <v>1224</v>
      </c>
      <c r="E269" t="s">
        <v>1225</v>
      </c>
      <c r="F269" t="s">
        <v>1226</v>
      </c>
      <c r="G269" t="s">
        <v>5</v>
      </c>
      <c r="H269" t="s">
        <v>65</v>
      </c>
      <c r="I269" t="s">
        <v>66</v>
      </c>
      <c r="J269" t="s">
        <v>67</v>
      </c>
      <c r="K269" t="s">
        <v>3</v>
      </c>
      <c r="L269" t="s">
        <v>4</v>
      </c>
      <c r="M269" t="s">
        <v>49</v>
      </c>
      <c r="N269" t="s">
        <v>1227</v>
      </c>
      <c r="O269" s="31" t="s">
        <v>1228</v>
      </c>
      <c r="P269">
        <v>220</v>
      </c>
      <c r="R269">
        <v>3</v>
      </c>
      <c r="S269" s="31">
        <v>225000</v>
      </c>
      <c r="T269" s="39">
        <v>240000</v>
      </c>
      <c r="U269">
        <v>35000.01</v>
      </c>
      <c r="V269">
        <v>24000</v>
      </c>
      <c r="W269">
        <v>0</v>
      </c>
      <c r="X269" s="39">
        <v>71199.990000000005</v>
      </c>
      <c r="Y269">
        <v>0</v>
      </c>
      <c r="Z269" s="31">
        <v>180999.99</v>
      </c>
      <c r="AA269">
        <v>8</v>
      </c>
      <c r="AB269" s="3">
        <f t="shared" si="14"/>
        <v>180999.99</v>
      </c>
      <c r="AC269" t="str">
        <f>IF(AB269-S269&lt;0,"YES","NO")</f>
        <v>YES</v>
      </c>
      <c r="AD269">
        <f>IF(AC269="NO",0,AB269-S269)</f>
        <v>-44000.010000000009</v>
      </c>
      <c r="AE269" s="43">
        <v>0.08</v>
      </c>
      <c r="AF269" s="3">
        <f t="shared" si="15"/>
        <v>-40740.750000000007</v>
      </c>
      <c r="AG269" s="45">
        <f t="shared" si="16"/>
        <v>-44814.825000000012</v>
      </c>
      <c r="AH269" s="55"/>
    </row>
    <row r="270" spans="1:34" x14ac:dyDescent="0.25">
      <c r="A270" t="s">
        <v>1229</v>
      </c>
      <c r="B270" t="s">
        <v>1111</v>
      </c>
      <c r="C270" t="s">
        <v>1230</v>
      </c>
      <c r="D270" t="s">
        <v>1231</v>
      </c>
      <c r="E270" t="s">
        <v>1232</v>
      </c>
      <c r="F270" t="s">
        <v>1233</v>
      </c>
      <c r="G270" t="s">
        <v>5</v>
      </c>
      <c r="H270" t="s">
        <v>65</v>
      </c>
      <c r="I270" t="s">
        <v>104</v>
      </c>
      <c r="J270" t="s">
        <v>105</v>
      </c>
      <c r="K270" t="s">
        <v>3</v>
      </c>
      <c r="L270" t="s">
        <v>4</v>
      </c>
      <c r="M270" t="s">
        <v>49</v>
      </c>
      <c r="N270" t="s">
        <v>1234</v>
      </c>
      <c r="O270" s="31" t="s">
        <v>1235</v>
      </c>
      <c r="P270">
        <v>380</v>
      </c>
      <c r="R270">
        <v>3</v>
      </c>
      <c r="S270" s="31">
        <v>198000</v>
      </c>
      <c r="T270" s="39">
        <v>210000</v>
      </c>
      <c r="U270">
        <v>38659.980000000003</v>
      </c>
      <c r="V270">
        <v>8000.01</v>
      </c>
      <c r="W270">
        <v>0</v>
      </c>
      <c r="X270" s="39">
        <v>64794</v>
      </c>
      <c r="Y270">
        <v>0</v>
      </c>
      <c r="Z270" s="31">
        <v>163340.01</v>
      </c>
      <c r="AA270">
        <v>8</v>
      </c>
      <c r="AB270" s="3">
        <f t="shared" si="14"/>
        <v>163340.01</v>
      </c>
      <c r="AC270" t="str">
        <f>IF(AB270-S270&lt;0,"YES","NO")</f>
        <v>YES</v>
      </c>
      <c r="AD270">
        <f>IF(AC270="NO",0,AB270-S270)</f>
        <v>-34659.989999999991</v>
      </c>
      <c r="AE270" s="43">
        <v>0.08</v>
      </c>
      <c r="AF270" s="3">
        <f t="shared" si="15"/>
        <v>-32092.583333333321</v>
      </c>
      <c r="AG270" s="45">
        <f t="shared" si="16"/>
        <v>-35301.841666666653</v>
      </c>
      <c r="AH270" s="55"/>
    </row>
    <row r="271" spans="1:34" x14ac:dyDescent="0.25">
      <c r="A271" t="s">
        <v>1229</v>
      </c>
      <c r="B271" t="s">
        <v>1111</v>
      </c>
      <c r="C271" t="s">
        <v>1230</v>
      </c>
      <c r="D271" t="s">
        <v>1231</v>
      </c>
      <c r="E271" t="s">
        <v>1232</v>
      </c>
      <c r="F271" t="s">
        <v>1233</v>
      </c>
      <c r="G271" t="s">
        <v>5</v>
      </c>
      <c r="H271" t="s">
        <v>65</v>
      </c>
      <c r="I271" t="s">
        <v>66</v>
      </c>
      <c r="J271" t="s">
        <v>67</v>
      </c>
      <c r="K271" t="s">
        <v>3</v>
      </c>
      <c r="L271" t="s">
        <v>4</v>
      </c>
      <c r="M271" t="s">
        <v>49</v>
      </c>
      <c r="N271" t="s">
        <v>1234</v>
      </c>
      <c r="O271" s="31" t="s">
        <v>1235</v>
      </c>
      <c r="P271">
        <v>220</v>
      </c>
      <c r="R271">
        <v>3</v>
      </c>
      <c r="S271" s="31">
        <v>225000</v>
      </c>
      <c r="T271" s="39">
        <v>240000</v>
      </c>
      <c r="U271">
        <v>41340</v>
      </c>
      <c r="V271">
        <v>24000</v>
      </c>
      <c r="W271">
        <v>0</v>
      </c>
      <c r="X271" s="39">
        <v>69285.990000000005</v>
      </c>
      <c r="Y271">
        <v>0</v>
      </c>
      <c r="Z271" s="31">
        <v>174660</v>
      </c>
      <c r="AA271">
        <v>8</v>
      </c>
      <c r="AB271" s="3">
        <f t="shared" si="14"/>
        <v>174660</v>
      </c>
      <c r="AC271" t="str">
        <f>IF(AB271-S271&lt;0,"YES","NO")</f>
        <v>YES</v>
      </c>
      <c r="AD271">
        <f>IF(AC271="NO",0,AB271-S271)</f>
        <v>-50340</v>
      </c>
      <c r="AE271" s="43">
        <v>0.08</v>
      </c>
      <c r="AF271" s="3">
        <f t="shared" si="15"/>
        <v>-46611.111111111109</v>
      </c>
      <c r="AG271" s="45">
        <f t="shared" si="16"/>
        <v>-51272.222222222226</v>
      </c>
      <c r="AH271" s="55"/>
    </row>
    <row r="272" spans="1:34" x14ac:dyDescent="0.25">
      <c r="A272" t="s">
        <v>1236</v>
      </c>
      <c r="B272" t="s">
        <v>1237</v>
      </c>
      <c r="C272" t="s">
        <v>1238</v>
      </c>
      <c r="D272" t="s">
        <v>1239</v>
      </c>
      <c r="E272" t="s">
        <v>1240</v>
      </c>
      <c r="F272" t="s">
        <v>1241</v>
      </c>
      <c r="G272" t="s">
        <v>5</v>
      </c>
      <c r="H272" t="s">
        <v>65</v>
      </c>
      <c r="I272" t="s">
        <v>68</v>
      </c>
      <c r="J272" t="s">
        <v>69</v>
      </c>
      <c r="K272" t="s">
        <v>3</v>
      </c>
      <c r="L272" t="s">
        <v>4</v>
      </c>
      <c r="M272" t="s">
        <v>49</v>
      </c>
      <c r="N272" t="s">
        <v>1242</v>
      </c>
      <c r="O272" s="31" t="s">
        <v>1243</v>
      </c>
      <c r="P272">
        <v>220</v>
      </c>
      <c r="Q272" t="s">
        <v>70</v>
      </c>
      <c r="R272">
        <v>1</v>
      </c>
      <c r="S272" s="31">
        <v>59000</v>
      </c>
      <c r="T272" s="39">
        <v>65000</v>
      </c>
      <c r="U272">
        <v>11666.67</v>
      </c>
      <c r="V272">
        <v>5000</v>
      </c>
      <c r="W272">
        <v>0</v>
      </c>
      <c r="X272" s="39">
        <v>15050</v>
      </c>
      <c r="Y272">
        <v>0</v>
      </c>
      <c r="Z272" s="31">
        <v>48333.33</v>
      </c>
      <c r="AA272">
        <v>8</v>
      </c>
      <c r="AB272" s="3">
        <f t="shared" si="14"/>
        <v>48333.33</v>
      </c>
      <c r="AC272" t="str">
        <f>IF(AB272-S272&lt;0,"YES","NO")</f>
        <v>YES</v>
      </c>
      <c r="AD272">
        <f>IF(AC272="NO",0,AB272-S272)</f>
        <v>-10666.669999999998</v>
      </c>
      <c r="AE272" s="43">
        <v>0.08</v>
      </c>
      <c r="AF272" s="3">
        <f t="shared" si="15"/>
        <v>-9876.5462962962938</v>
      </c>
      <c r="AG272" s="45">
        <f t="shared" si="16"/>
        <v>-10864.200925925925</v>
      </c>
      <c r="AH272" s="55"/>
    </row>
    <row r="273" spans="1:34" x14ac:dyDescent="0.25">
      <c r="A273" t="s">
        <v>1236</v>
      </c>
      <c r="B273" t="s">
        <v>1237</v>
      </c>
      <c r="C273" t="s">
        <v>1238</v>
      </c>
      <c r="D273" t="s">
        <v>1239</v>
      </c>
      <c r="E273" t="s">
        <v>1240</v>
      </c>
      <c r="F273" t="s">
        <v>1241</v>
      </c>
      <c r="G273" t="s">
        <v>5</v>
      </c>
      <c r="H273" t="s">
        <v>65</v>
      </c>
      <c r="I273" t="s">
        <v>71</v>
      </c>
      <c r="J273" t="s">
        <v>72</v>
      </c>
      <c r="K273" t="s">
        <v>3</v>
      </c>
      <c r="L273" t="s">
        <v>4</v>
      </c>
      <c r="M273" t="s">
        <v>49</v>
      </c>
      <c r="N273" t="s">
        <v>1242</v>
      </c>
      <c r="O273" s="31" t="s">
        <v>1243</v>
      </c>
      <c r="P273">
        <v>220</v>
      </c>
      <c r="Q273" t="s">
        <v>70</v>
      </c>
      <c r="R273">
        <v>1</v>
      </c>
      <c r="S273" s="31">
        <v>59000</v>
      </c>
      <c r="T273" s="39">
        <v>65000</v>
      </c>
      <c r="U273">
        <v>11666.67</v>
      </c>
      <c r="V273">
        <v>5000</v>
      </c>
      <c r="W273">
        <v>0</v>
      </c>
      <c r="X273" s="39">
        <v>15050</v>
      </c>
      <c r="Y273">
        <v>0</v>
      </c>
      <c r="Z273" s="31">
        <v>48333.33</v>
      </c>
      <c r="AA273">
        <v>8</v>
      </c>
      <c r="AB273" s="3">
        <f t="shared" si="14"/>
        <v>48333.33</v>
      </c>
      <c r="AC273" t="str">
        <f>IF(AB273-S273&lt;0,"YES","NO")</f>
        <v>YES</v>
      </c>
      <c r="AD273">
        <f>IF(AC273="NO",0,AB273-S273)</f>
        <v>-10666.669999999998</v>
      </c>
      <c r="AE273" s="43">
        <v>0.08</v>
      </c>
      <c r="AF273" s="3">
        <f t="shared" si="15"/>
        <v>-9876.5462962962938</v>
      </c>
      <c r="AG273" s="45">
        <f t="shared" si="16"/>
        <v>-10864.200925925925</v>
      </c>
      <c r="AH273" s="55"/>
    </row>
    <row r="274" spans="1:34" x14ac:dyDescent="0.25">
      <c r="A274" t="s">
        <v>1236</v>
      </c>
      <c r="B274" t="s">
        <v>1237</v>
      </c>
      <c r="C274" t="s">
        <v>1238</v>
      </c>
      <c r="D274" t="s">
        <v>1239</v>
      </c>
      <c r="E274" t="s">
        <v>1240</v>
      </c>
      <c r="F274" t="s">
        <v>1241</v>
      </c>
      <c r="G274" t="s">
        <v>5</v>
      </c>
      <c r="H274" t="s">
        <v>65</v>
      </c>
      <c r="I274" t="s">
        <v>73</v>
      </c>
      <c r="J274" t="s">
        <v>74</v>
      </c>
      <c r="K274" t="s">
        <v>3</v>
      </c>
      <c r="L274" t="s">
        <v>4</v>
      </c>
      <c r="M274" t="s">
        <v>49</v>
      </c>
      <c r="N274" t="s">
        <v>1242</v>
      </c>
      <c r="O274" s="31" t="s">
        <v>1243</v>
      </c>
      <c r="P274">
        <v>220</v>
      </c>
      <c r="Q274" t="s">
        <v>70</v>
      </c>
      <c r="R274">
        <v>1</v>
      </c>
      <c r="S274" s="31">
        <v>59000</v>
      </c>
      <c r="T274" s="39">
        <v>65000</v>
      </c>
      <c r="U274">
        <v>11666.67</v>
      </c>
      <c r="V274">
        <v>5000</v>
      </c>
      <c r="W274">
        <v>0</v>
      </c>
      <c r="X274" s="39">
        <v>15050</v>
      </c>
      <c r="Y274">
        <v>0</v>
      </c>
      <c r="Z274" s="31">
        <v>48333.33</v>
      </c>
      <c r="AA274">
        <v>8</v>
      </c>
      <c r="AB274" s="3">
        <f t="shared" si="14"/>
        <v>48333.33</v>
      </c>
      <c r="AC274" t="str">
        <f>IF(AB274-S274&lt;0,"YES","NO")</f>
        <v>YES</v>
      </c>
      <c r="AD274">
        <f>IF(AC274="NO",0,AB274-S274)</f>
        <v>-10666.669999999998</v>
      </c>
      <c r="AE274" s="43">
        <v>0.08</v>
      </c>
      <c r="AF274" s="3">
        <f t="shared" si="15"/>
        <v>-9876.5462962962938</v>
      </c>
      <c r="AG274" s="45">
        <f t="shared" si="16"/>
        <v>-10864.200925925925</v>
      </c>
      <c r="AH274" s="55"/>
    </row>
    <row r="275" spans="1:34" x14ac:dyDescent="0.25">
      <c r="A275" t="s">
        <v>1244</v>
      </c>
      <c r="B275" t="s">
        <v>1245</v>
      </c>
      <c r="C275" t="s">
        <v>1246</v>
      </c>
      <c r="D275" t="s">
        <v>1247</v>
      </c>
      <c r="E275" t="s">
        <v>1248</v>
      </c>
      <c r="F275" t="s">
        <v>1249</v>
      </c>
      <c r="G275" t="s">
        <v>5</v>
      </c>
      <c r="H275" t="s">
        <v>65</v>
      </c>
      <c r="I275" t="s">
        <v>68</v>
      </c>
      <c r="J275" t="s">
        <v>69</v>
      </c>
      <c r="K275" t="s">
        <v>3</v>
      </c>
      <c r="L275" t="s">
        <v>4</v>
      </c>
      <c r="M275" t="s">
        <v>49</v>
      </c>
      <c r="N275" t="s">
        <v>1250</v>
      </c>
      <c r="O275" s="31" t="s">
        <v>1251</v>
      </c>
      <c r="P275">
        <v>220</v>
      </c>
      <c r="Q275" t="s">
        <v>70</v>
      </c>
      <c r="R275">
        <v>1</v>
      </c>
      <c r="S275" s="31">
        <v>59000</v>
      </c>
      <c r="T275" s="39">
        <v>65000</v>
      </c>
      <c r="U275">
        <v>11666.67</v>
      </c>
      <c r="V275">
        <v>5000</v>
      </c>
      <c r="W275">
        <v>0</v>
      </c>
      <c r="X275" s="39">
        <v>21333.33</v>
      </c>
      <c r="Y275">
        <v>0</v>
      </c>
      <c r="Z275" s="31">
        <v>48333.33</v>
      </c>
      <c r="AA275">
        <v>8</v>
      </c>
      <c r="AB275" s="3">
        <f t="shared" si="14"/>
        <v>48333.33</v>
      </c>
      <c r="AC275" t="str">
        <f>IF(AB275-S275&lt;0,"YES","NO")</f>
        <v>YES</v>
      </c>
      <c r="AD275">
        <f>IF(AC275="NO",0,AB275-S275)</f>
        <v>-10666.669999999998</v>
      </c>
      <c r="AE275" s="43">
        <v>0.08</v>
      </c>
      <c r="AF275" s="3">
        <f t="shared" si="15"/>
        <v>-9876.5462962962938</v>
      </c>
      <c r="AG275" s="45">
        <f t="shared" si="16"/>
        <v>-10864.200925925925</v>
      </c>
      <c r="AH275" s="55"/>
    </row>
    <row r="276" spans="1:34" x14ac:dyDescent="0.25">
      <c r="A276" t="s">
        <v>1244</v>
      </c>
      <c r="B276" t="s">
        <v>1245</v>
      </c>
      <c r="C276" t="s">
        <v>1246</v>
      </c>
      <c r="D276" t="s">
        <v>1247</v>
      </c>
      <c r="E276" t="s">
        <v>1248</v>
      </c>
      <c r="F276" t="s">
        <v>1249</v>
      </c>
      <c r="G276" t="s">
        <v>5</v>
      </c>
      <c r="H276" t="s">
        <v>65</v>
      </c>
      <c r="I276" t="s">
        <v>71</v>
      </c>
      <c r="J276" t="s">
        <v>72</v>
      </c>
      <c r="K276" t="s">
        <v>3</v>
      </c>
      <c r="L276" t="s">
        <v>4</v>
      </c>
      <c r="M276" t="s">
        <v>49</v>
      </c>
      <c r="N276" t="s">
        <v>1250</v>
      </c>
      <c r="O276" s="31" t="s">
        <v>1251</v>
      </c>
      <c r="P276">
        <v>220</v>
      </c>
      <c r="Q276" t="s">
        <v>70</v>
      </c>
      <c r="R276">
        <v>1</v>
      </c>
      <c r="S276" s="31">
        <v>59000</v>
      </c>
      <c r="T276" s="39">
        <v>65000</v>
      </c>
      <c r="U276">
        <v>11666.67</v>
      </c>
      <c r="V276">
        <v>5000</v>
      </c>
      <c r="W276">
        <v>0</v>
      </c>
      <c r="X276" s="39">
        <v>21333.33</v>
      </c>
      <c r="Y276">
        <v>0</v>
      </c>
      <c r="Z276" s="31">
        <v>48333.33</v>
      </c>
      <c r="AA276">
        <v>8</v>
      </c>
      <c r="AB276" s="3">
        <f t="shared" si="14"/>
        <v>48333.33</v>
      </c>
      <c r="AC276" t="str">
        <f>IF(AB276-S276&lt;0,"YES","NO")</f>
        <v>YES</v>
      </c>
      <c r="AD276">
        <f>IF(AC276="NO",0,AB276-S276)</f>
        <v>-10666.669999999998</v>
      </c>
      <c r="AE276" s="43">
        <v>0.08</v>
      </c>
      <c r="AF276" s="3">
        <f t="shared" si="15"/>
        <v>-9876.5462962962938</v>
      </c>
      <c r="AG276" s="45">
        <f t="shared" si="16"/>
        <v>-10864.200925925925</v>
      </c>
      <c r="AH276" s="55"/>
    </row>
    <row r="277" spans="1:34" x14ac:dyDescent="0.25">
      <c r="A277" t="s">
        <v>1244</v>
      </c>
      <c r="B277" t="s">
        <v>1245</v>
      </c>
      <c r="C277" t="s">
        <v>1246</v>
      </c>
      <c r="D277" t="s">
        <v>1247</v>
      </c>
      <c r="E277" t="s">
        <v>1248</v>
      </c>
      <c r="F277" t="s">
        <v>1249</v>
      </c>
      <c r="G277" t="s">
        <v>5</v>
      </c>
      <c r="H277" t="s">
        <v>65</v>
      </c>
      <c r="I277" t="s">
        <v>73</v>
      </c>
      <c r="J277" t="s">
        <v>74</v>
      </c>
      <c r="K277" t="s">
        <v>3</v>
      </c>
      <c r="L277" t="s">
        <v>4</v>
      </c>
      <c r="M277" t="s">
        <v>49</v>
      </c>
      <c r="N277" t="s">
        <v>1250</v>
      </c>
      <c r="O277" s="31" t="s">
        <v>1251</v>
      </c>
      <c r="P277">
        <v>220</v>
      </c>
      <c r="Q277" t="s">
        <v>70</v>
      </c>
      <c r="R277">
        <v>1</v>
      </c>
      <c r="S277" s="31">
        <v>59000</v>
      </c>
      <c r="T277" s="39">
        <v>65000</v>
      </c>
      <c r="U277">
        <v>11666.67</v>
      </c>
      <c r="V277">
        <v>5000</v>
      </c>
      <c r="W277">
        <v>0</v>
      </c>
      <c r="X277" s="39">
        <v>21333.33</v>
      </c>
      <c r="Y277">
        <v>0</v>
      </c>
      <c r="Z277" s="31">
        <v>48333.33</v>
      </c>
      <c r="AA277">
        <v>8</v>
      </c>
      <c r="AB277" s="3">
        <f t="shared" si="14"/>
        <v>48333.33</v>
      </c>
      <c r="AC277" t="str">
        <f>IF(AB277-S277&lt;0,"YES","NO")</f>
        <v>YES</v>
      </c>
      <c r="AD277">
        <f>IF(AC277="NO",0,AB277-S277)</f>
        <v>-10666.669999999998</v>
      </c>
      <c r="AE277" s="43">
        <v>0.08</v>
      </c>
      <c r="AF277" s="3">
        <f t="shared" si="15"/>
        <v>-9876.5462962962938</v>
      </c>
      <c r="AG277" s="45">
        <f t="shared" si="16"/>
        <v>-10864.200925925925</v>
      </c>
      <c r="AH277" s="55"/>
    </row>
    <row r="278" spans="1:34" x14ac:dyDescent="0.25">
      <c r="A278" t="s">
        <v>1252</v>
      </c>
      <c r="B278" t="s">
        <v>1253</v>
      </c>
      <c r="C278" t="s">
        <v>1254</v>
      </c>
      <c r="D278" t="s">
        <v>1255</v>
      </c>
      <c r="E278" t="s">
        <v>1256</v>
      </c>
      <c r="F278" t="s">
        <v>1257</v>
      </c>
      <c r="G278" t="s">
        <v>5</v>
      </c>
      <c r="H278" t="s">
        <v>65</v>
      </c>
      <c r="I278" t="s">
        <v>66</v>
      </c>
      <c r="J278" t="s">
        <v>67</v>
      </c>
      <c r="K278" t="s">
        <v>3</v>
      </c>
      <c r="L278" t="s">
        <v>4</v>
      </c>
      <c r="M278" t="s">
        <v>49</v>
      </c>
      <c r="N278" t="s">
        <v>1258</v>
      </c>
      <c r="O278" s="31" t="s">
        <v>1259</v>
      </c>
      <c r="P278">
        <v>220</v>
      </c>
      <c r="R278">
        <v>3</v>
      </c>
      <c r="S278" s="31">
        <v>225000</v>
      </c>
      <c r="T278" s="39">
        <v>240000</v>
      </c>
      <c r="U278">
        <v>35000.01</v>
      </c>
      <c r="V278">
        <v>24000</v>
      </c>
      <c r="W278">
        <v>0</v>
      </c>
      <c r="X278" s="39">
        <v>71199.990000000005</v>
      </c>
      <c r="Y278">
        <v>0</v>
      </c>
      <c r="Z278" s="31">
        <v>180999.99</v>
      </c>
      <c r="AA278">
        <v>8</v>
      </c>
      <c r="AB278" s="3">
        <f t="shared" si="14"/>
        <v>180999.99</v>
      </c>
      <c r="AC278" t="str">
        <f>IF(AB278-S278&lt;0,"YES","NO")</f>
        <v>YES</v>
      </c>
      <c r="AD278">
        <f>IF(AC278="NO",0,AB278-S278)</f>
        <v>-44000.010000000009</v>
      </c>
      <c r="AE278" s="43">
        <v>0.08</v>
      </c>
      <c r="AF278" s="3">
        <f t="shared" si="15"/>
        <v>-40740.750000000007</v>
      </c>
      <c r="AG278" s="45">
        <f t="shared" si="16"/>
        <v>-44814.825000000012</v>
      </c>
      <c r="AH278" s="55"/>
    </row>
    <row r="279" spans="1:34" x14ac:dyDescent="0.25">
      <c r="A279" t="s">
        <v>1260</v>
      </c>
      <c r="B279" t="s">
        <v>1261</v>
      </c>
      <c r="C279" t="s">
        <v>1262</v>
      </c>
      <c r="D279" t="s">
        <v>1263</v>
      </c>
      <c r="E279" t="s">
        <v>1264</v>
      </c>
      <c r="F279" t="s">
        <v>1265</v>
      </c>
      <c r="G279" t="s">
        <v>5</v>
      </c>
      <c r="H279" t="s">
        <v>65</v>
      </c>
      <c r="I279" t="s">
        <v>66</v>
      </c>
      <c r="J279" t="s">
        <v>67</v>
      </c>
      <c r="K279" t="s">
        <v>3</v>
      </c>
      <c r="L279" t="s">
        <v>4</v>
      </c>
      <c r="M279" t="s">
        <v>49</v>
      </c>
      <c r="N279" t="s">
        <v>1266</v>
      </c>
      <c r="O279" s="31" t="s">
        <v>1267</v>
      </c>
      <c r="P279">
        <v>220</v>
      </c>
      <c r="R279">
        <v>3</v>
      </c>
      <c r="S279" s="31">
        <v>225000</v>
      </c>
      <c r="T279" s="39">
        <v>240000</v>
      </c>
      <c r="U279">
        <v>35000.01</v>
      </c>
      <c r="V279">
        <v>24000</v>
      </c>
      <c r="W279">
        <v>0</v>
      </c>
      <c r="X279" s="39">
        <v>71199.990000000005</v>
      </c>
      <c r="Y279">
        <v>0</v>
      </c>
      <c r="Z279" s="31">
        <v>180999.99</v>
      </c>
      <c r="AA279">
        <v>8</v>
      </c>
      <c r="AB279" s="3">
        <f t="shared" si="14"/>
        <v>180999.99</v>
      </c>
      <c r="AC279" t="str">
        <f>IF(AB279-S279&lt;0,"YES","NO")</f>
        <v>YES</v>
      </c>
      <c r="AD279">
        <f>IF(AC279="NO",0,AB279-S279)</f>
        <v>-44000.010000000009</v>
      </c>
      <c r="AE279" s="43">
        <v>0.08</v>
      </c>
      <c r="AF279" s="3">
        <f t="shared" si="15"/>
        <v>-40740.750000000007</v>
      </c>
      <c r="AG279" s="45">
        <f t="shared" si="16"/>
        <v>-44814.825000000012</v>
      </c>
      <c r="AH279" s="55"/>
    </row>
    <row r="280" spans="1:34" x14ac:dyDescent="0.25">
      <c r="A280" t="s">
        <v>1268</v>
      </c>
      <c r="B280" t="s">
        <v>1269</v>
      </c>
      <c r="C280" t="s">
        <v>1270</v>
      </c>
      <c r="D280" t="s">
        <v>1271</v>
      </c>
      <c r="E280" t="s">
        <v>1272</v>
      </c>
      <c r="F280" t="s">
        <v>1273</v>
      </c>
      <c r="G280" t="s">
        <v>5</v>
      </c>
      <c r="H280" t="s">
        <v>65</v>
      </c>
      <c r="I280" t="s">
        <v>66</v>
      </c>
      <c r="J280" t="s">
        <v>67</v>
      </c>
      <c r="K280" t="s">
        <v>3</v>
      </c>
      <c r="L280" t="s">
        <v>4</v>
      </c>
      <c r="M280" t="s">
        <v>49</v>
      </c>
      <c r="N280" t="s">
        <v>1274</v>
      </c>
      <c r="O280" s="31" t="s">
        <v>1275</v>
      </c>
      <c r="P280">
        <v>220</v>
      </c>
      <c r="R280">
        <v>3</v>
      </c>
      <c r="S280" s="31">
        <v>225000</v>
      </c>
      <c r="T280" s="39">
        <v>240000</v>
      </c>
      <c r="U280">
        <v>35000.01</v>
      </c>
      <c r="V280">
        <v>24000</v>
      </c>
      <c r="W280">
        <v>0</v>
      </c>
      <c r="X280" s="39">
        <v>71199.990000000005</v>
      </c>
      <c r="Y280">
        <v>0</v>
      </c>
      <c r="Z280" s="31">
        <v>180999.99</v>
      </c>
      <c r="AA280">
        <v>8</v>
      </c>
      <c r="AB280" s="3">
        <f t="shared" si="14"/>
        <v>180999.99</v>
      </c>
      <c r="AC280" t="str">
        <f>IF(AB280-S280&lt;0,"YES","NO")</f>
        <v>YES</v>
      </c>
      <c r="AD280">
        <f>IF(AC280="NO",0,AB280-S280)</f>
        <v>-44000.010000000009</v>
      </c>
      <c r="AE280" s="43">
        <v>0.08</v>
      </c>
      <c r="AF280" s="3">
        <f t="shared" si="15"/>
        <v>-40740.750000000007</v>
      </c>
      <c r="AG280" s="45">
        <f t="shared" si="16"/>
        <v>-44814.825000000012</v>
      </c>
      <c r="AH280" s="55"/>
    </row>
    <row r="281" spans="1:34" x14ac:dyDescent="0.25">
      <c r="A281" t="s">
        <v>1276</v>
      </c>
      <c r="B281" t="s">
        <v>1277</v>
      </c>
      <c r="C281" t="s">
        <v>1278</v>
      </c>
      <c r="D281" t="s">
        <v>1279</v>
      </c>
      <c r="E281" t="s">
        <v>1280</v>
      </c>
      <c r="F281" t="s">
        <v>1281</v>
      </c>
      <c r="G281" t="s">
        <v>5</v>
      </c>
      <c r="H281" t="s">
        <v>65</v>
      </c>
      <c r="I281" t="s">
        <v>66</v>
      </c>
      <c r="J281" t="s">
        <v>67</v>
      </c>
      <c r="K281" t="s">
        <v>3</v>
      </c>
      <c r="L281" t="s">
        <v>4</v>
      </c>
      <c r="M281" t="s">
        <v>49</v>
      </c>
      <c r="N281" t="s">
        <v>1282</v>
      </c>
      <c r="O281" s="31" t="s">
        <v>1283</v>
      </c>
      <c r="P281">
        <v>220</v>
      </c>
      <c r="R281">
        <v>6</v>
      </c>
      <c r="S281" s="31">
        <v>450000</v>
      </c>
      <c r="T281" s="39">
        <v>480000</v>
      </c>
      <c r="U281">
        <v>75000</v>
      </c>
      <c r="V281">
        <v>48000</v>
      </c>
      <c r="W281">
        <v>0</v>
      </c>
      <c r="X281" s="39">
        <v>124980</v>
      </c>
      <c r="Y281">
        <v>0</v>
      </c>
      <c r="Z281" s="31">
        <v>357000</v>
      </c>
      <c r="AA281">
        <v>8</v>
      </c>
      <c r="AB281" s="3">
        <f t="shared" si="14"/>
        <v>357000</v>
      </c>
      <c r="AC281" t="str">
        <f>IF(AB281-S281&lt;0,"YES","NO")</f>
        <v>YES</v>
      </c>
      <c r="AD281">
        <f>IF(AC281="NO",0,AB281-S281)</f>
        <v>-93000</v>
      </c>
      <c r="AE281" s="43">
        <v>0.08</v>
      </c>
      <c r="AF281" s="3">
        <f t="shared" si="15"/>
        <v>-86111.111111111109</v>
      </c>
      <c r="AG281" s="45">
        <f t="shared" si="16"/>
        <v>-94722.222222222234</v>
      </c>
      <c r="AH281" s="55"/>
    </row>
    <row r="282" spans="1:34" x14ac:dyDescent="0.25">
      <c r="A282" t="s">
        <v>1284</v>
      </c>
      <c r="B282" t="s">
        <v>1285</v>
      </c>
      <c r="C282" t="s">
        <v>1286</v>
      </c>
      <c r="D282" t="s">
        <v>1287</v>
      </c>
      <c r="E282" t="s">
        <v>1288</v>
      </c>
      <c r="F282" t="s">
        <v>1289</v>
      </c>
      <c r="G282" t="s">
        <v>5</v>
      </c>
      <c r="H282" t="s">
        <v>65</v>
      </c>
      <c r="I282" t="s">
        <v>66</v>
      </c>
      <c r="J282" t="s">
        <v>67</v>
      </c>
      <c r="K282" t="s">
        <v>3</v>
      </c>
      <c r="L282" t="s">
        <v>4</v>
      </c>
      <c r="M282" t="s">
        <v>49</v>
      </c>
      <c r="N282" t="s">
        <v>1290</v>
      </c>
      <c r="O282" s="31" t="s">
        <v>1291</v>
      </c>
      <c r="P282">
        <v>220</v>
      </c>
      <c r="R282">
        <v>6</v>
      </c>
      <c r="S282" s="31">
        <v>450000</v>
      </c>
      <c r="T282" s="39">
        <v>480000</v>
      </c>
      <c r="U282">
        <v>75000</v>
      </c>
      <c r="V282">
        <v>48000</v>
      </c>
      <c r="W282">
        <v>0</v>
      </c>
      <c r="X282" s="39">
        <v>146400</v>
      </c>
      <c r="Y282">
        <v>0</v>
      </c>
      <c r="Z282" s="31">
        <v>357000</v>
      </c>
      <c r="AA282">
        <v>8</v>
      </c>
      <c r="AB282" s="3">
        <f t="shared" si="14"/>
        <v>357000</v>
      </c>
      <c r="AC282" t="str">
        <f>IF(AB282-S282&lt;0,"YES","NO")</f>
        <v>YES</v>
      </c>
      <c r="AD282">
        <f>IF(AC282="NO",0,AB282-S282)</f>
        <v>-93000</v>
      </c>
      <c r="AE282" s="43">
        <v>0.08</v>
      </c>
      <c r="AF282" s="3">
        <f t="shared" si="15"/>
        <v>-86111.111111111109</v>
      </c>
      <c r="AG282" s="45">
        <f t="shared" si="16"/>
        <v>-94722.222222222234</v>
      </c>
      <c r="AH282" s="55"/>
    </row>
    <row r="283" spans="1:34" x14ac:dyDescent="0.25">
      <c r="A283" t="s">
        <v>1292</v>
      </c>
      <c r="B283" t="s">
        <v>1293</v>
      </c>
      <c r="C283" t="s">
        <v>1294</v>
      </c>
      <c r="D283" t="s">
        <v>1295</v>
      </c>
      <c r="E283" t="s">
        <v>1296</v>
      </c>
      <c r="F283" t="s">
        <v>1297</v>
      </c>
      <c r="G283" t="s">
        <v>5</v>
      </c>
      <c r="H283" t="s">
        <v>65</v>
      </c>
      <c r="I283" t="s">
        <v>106</v>
      </c>
      <c r="J283" t="s">
        <v>107</v>
      </c>
      <c r="K283" t="s">
        <v>3</v>
      </c>
      <c r="L283" t="s">
        <v>4</v>
      </c>
      <c r="M283" t="s">
        <v>49</v>
      </c>
      <c r="N283" t="s">
        <v>1298</v>
      </c>
      <c r="O283" s="31" t="s">
        <v>1299</v>
      </c>
      <c r="P283">
        <v>20</v>
      </c>
      <c r="Q283" t="s">
        <v>108</v>
      </c>
      <c r="R283">
        <v>1</v>
      </c>
      <c r="S283" s="31">
        <v>0</v>
      </c>
      <c r="T283" s="39">
        <v>0</v>
      </c>
      <c r="U283">
        <v>0</v>
      </c>
      <c r="V283">
        <v>0</v>
      </c>
      <c r="W283">
        <v>0</v>
      </c>
      <c r="X283" s="39">
        <v>0</v>
      </c>
      <c r="Y283">
        <v>0</v>
      </c>
      <c r="Z283" s="31">
        <v>0</v>
      </c>
      <c r="AA283">
        <v>8</v>
      </c>
      <c r="AB283" s="3">
        <f t="shared" si="14"/>
        <v>0</v>
      </c>
      <c r="AC283" t="str">
        <f>IF(AB283-S283&lt;0,"YES","NO")</f>
        <v>NO</v>
      </c>
      <c r="AD283">
        <f>IF(AC283="NO",0,AB283-S283)</f>
        <v>0</v>
      </c>
      <c r="AE283" s="43">
        <v>0.08</v>
      </c>
      <c r="AF283" s="3">
        <f t="shared" si="15"/>
        <v>0</v>
      </c>
      <c r="AG283" s="45">
        <f t="shared" si="16"/>
        <v>0</v>
      </c>
      <c r="AH283" s="55"/>
    </row>
    <row r="284" spans="1:34" x14ac:dyDescent="0.25">
      <c r="A284" t="s">
        <v>1292</v>
      </c>
      <c r="B284" t="s">
        <v>1293</v>
      </c>
      <c r="C284" t="s">
        <v>1294</v>
      </c>
      <c r="D284" t="s">
        <v>1295</v>
      </c>
      <c r="E284" t="s">
        <v>1296</v>
      </c>
      <c r="F284" t="s">
        <v>1297</v>
      </c>
      <c r="G284" t="s">
        <v>5</v>
      </c>
      <c r="H284" t="s">
        <v>65</v>
      </c>
      <c r="I284" t="s">
        <v>82</v>
      </c>
      <c r="J284" t="s">
        <v>83</v>
      </c>
      <c r="K284" t="s">
        <v>3</v>
      </c>
      <c r="L284" t="s">
        <v>4</v>
      </c>
      <c r="M284" t="s">
        <v>49</v>
      </c>
      <c r="N284" t="s">
        <v>1298</v>
      </c>
      <c r="O284" s="31" t="s">
        <v>1299</v>
      </c>
      <c r="P284">
        <v>220</v>
      </c>
      <c r="R284">
        <v>6</v>
      </c>
      <c r="S284" s="31">
        <v>450000</v>
      </c>
      <c r="T284" s="39">
        <v>480000</v>
      </c>
      <c r="U284">
        <v>75000</v>
      </c>
      <c r="V284">
        <v>25000.02</v>
      </c>
      <c r="W284">
        <v>0</v>
      </c>
      <c r="X284" s="39">
        <v>132000</v>
      </c>
      <c r="Y284">
        <v>0</v>
      </c>
      <c r="Z284" s="31">
        <v>379999.98</v>
      </c>
      <c r="AA284">
        <v>8</v>
      </c>
      <c r="AB284" s="3">
        <f t="shared" si="14"/>
        <v>379999.98</v>
      </c>
      <c r="AC284" t="str">
        <f>IF(AB284-S284&lt;0,"YES","NO")</f>
        <v>YES</v>
      </c>
      <c r="AD284">
        <f>IF(AC284="NO",0,AB284-S284)</f>
        <v>-70000.020000000019</v>
      </c>
      <c r="AE284" s="43">
        <v>0.08</v>
      </c>
      <c r="AF284" s="3">
        <f t="shared" si="15"/>
        <v>-64814.833333333343</v>
      </c>
      <c r="AG284" s="45">
        <f t="shared" si="16"/>
        <v>-71296.31666666668</v>
      </c>
      <c r="AH284" s="55"/>
    </row>
    <row r="285" spans="1:34" x14ac:dyDescent="0.25">
      <c r="A285" t="s">
        <v>1300</v>
      </c>
      <c r="B285" t="s">
        <v>1301</v>
      </c>
      <c r="C285" t="s">
        <v>1302</v>
      </c>
      <c r="D285" t="s">
        <v>1303</v>
      </c>
      <c r="E285" t="s">
        <v>1304</v>
      </c>
      <c r="F285" t="s">
        <v>1305</v>
      </c>
      <c r="G285" t="s">
        <v>5</v>
      </c>
      <c r="H285" t="s">
        <v>65</v>
      </c>
      <c r="I285" t="s">
        <v>66</v>
      </c>
      <c r="J285" t="s">
        <v>67</v>
      </c>
      <c r="K285" t="s">
        <v>3</v>
      </c>
      <c r="L285" t="s">
        <v>4</v>
      </c>
      <c r="M285" t="s">
        <v>49</v>
      </c>
      <c r="N285" t="s">
        <v>1306</v>
      </c>
      <c r="O285" s="31" t="s">
        <v>1307</v>
      </c>
      <c r="P285">
        <v>220</v>
      </c>
      <c r="R285">
        <v>3</v>
      </c>
      <c r="S285" s="31">
        <v>225000</v>
      </c>
      <c r="T285" s="39">
        <v>240000</v>
      </c>
      <c r="U285">
        <v>35000.01</v>
      </c>
      <c r="V285">
        <v>24000</v>
      </c>
      <c r="W285">
        <v>0</v>
      </c>
      <c r="X285" s="39">
        <v>65769.990000000005</v>
      </c>
      <c r="Y285">
        <v>0</v>
      </c>
      <c r="Z285" s="31">
        <v>180999.99</v>
      </c>
      <c r="AA285">
        <v>8</v>
      </c>
      <c r="AB285" s="3">
        <f t="shared" si="14"/>
        <v>180999.99</v>
      </c>
      <c r="AC285" t="str">
        <f>IF(AB285-S285&lt;0,"YES","NO")</f>
        <v>YES</v>
      </c>
      <c r="AD285">
        <f>IF(AC285="NO",0,AB285-S285)</f>
        <v>-44000.010000000009</v>
      </c>
      <c r="AE285" s="43">
        <v>0.08</v>
      </c>
      <c r="AF285" s="3">
        <f t="shared" si="15"/>
        <v>-40740.750000000007</v>
      </c>
      <c r="AG285" s="45">
        <f t="shared" si="16"/>
        <v>-44814.825000000012</v>
      </c>
      <c r="AH285" s="55"/>
    </row>
    <row r="286" spans="1:34" x14ac:dyDescent="0.25">
      <c r="A286" t="s">
        <v>1308</v>
      </c>
      <c r="B286" t="s">
        <v>1309</v>
      </c>
      <c r="C286" t="s">
        <v>1310</v>
      </c>
      <c r="D286" t="s">
        <v>1311</v>
      </c>
      <c r="E286" t="s">
        <v>1312</v>
      </c>
      <c r="F286" t="s">
        <v>1313</v>
      </c>
      <c r="G286" t="s">
        <v>5</v>
      </c>
      <c r="H286" t="s">
        <v>65</v>
      </c>
      <c r="I286" t="s">
        <v>66</v>
      </c>
      <c r="J286" t="s">
        <v>67</v>
      </c>
      <c r="K286" t="s">
        <v>3</v>
      </c>
      <c r="L286" t="s">
        <v>4</v>
      </c>
      <c r="M286" t="s">
        <v>49</v>
      </c>
      <c r="N286" t="s">
        <v>1314</v>
      </c>
      <c r="O286" s="31" t="s">
        <v>1315</v>
      </c>
      <c r="P286">
        <v>220</v>
      </c>
      <c r="R286">
        <v>6</v>
      </c>
      <c r="S286" s="31">
        <v>450000</v>
      </c>
      <c r="T286" s="39">
        <v>480000</v>
      </c>
      <c r="U286">
        <v>75000</v>
      </c>
      <c r="V286">
        <v>48000</v>
      </c>
      <c r="W286">
        <v>0</v>
      </c>
      <c r="X286" s="39">
        <v>146400</v>
      </c>
      <c r="Y286">
        <v>0</v>
      </c>
      <c r="Z286" s="31">
        <v>357000</v>
      </c>
      <c r="AA286">
        <v>8</v>
      </c>
      <c r="AB286" s="3">
        <f t="shared" si="14"/>
        <v>357000</v>
      </c>
      <c r="AC286" t="str">
        <f>IF(AB286-S286&lt;0,"YES","NO")</f>
        <v>YES</v>
      </c>
      <c r="AD286">
        <f>IF(AC286="NO",0,AB286-S286)</f>
        <v>-93000</v>
      </c>
      <c r="AE286" s="43">
        <v>0.08</v>
      </c>
      <c r="AF286" s="3">
        <f t="shared" si="15"/>
        <v>-86111.111111111109</v>
      </c>
      <c r="AG286" s="45">
        <f t="shared" si="16"/>
        <v>-94722.222222222234</v>
      </c>
      <c r="AH286" s="55"/>
    </row>
    <row r="287" spans="1:34" x14ac:dyDescent="0.25">
      <c r="A287" t="s">
        <v>1316</v>
      </c>
      <c r="B287" t="s">
        <v>1317</v>
      </c>
      <c r="C287" t="s">
        <v>1318</v>
      </c>
      <c r="D287" t="s">
        <v>1319</v>
      </c>
      <c r="E287" t="s">
        <v>1320</v>
      </c>
      <c r="F287" t="s">
        <v>1321</v>
      </c>
      <c r="G287" t="s">
        <v>5</v>
      </c>
      <c r="H287" t="s">
        <v>61</v>
      </c>
      <c r="I287" t="s">
        <v>75</v>
      </c>
      <c r="J287" t="s">
        <v>76</v>
      </c>
      <c r="K287" t="s">
        <v>3</v>
      </c>
      <c r="L287" t="s">
        <v>4</v>
      </c>
      <c r="M287" t="s">
        <v>49</v>
      </c>
      <c r="N287" t="s">
        <v>1322</v>
      </c>
      <c r="O287" s="31" t="s">
        <v>1323</v>
      </c>
      <c r="P287">
        <v>20</v>
      </c>
      <c r="Q287" t="s">
        <v>77</v>
      </c>
      <c r="R287">
        <v>1</v>
      </c>
      <c r="S287" s="31">
        <v>0</v>
      </c>
      <c r="T287" s="39">
        <v>0</v>
      </c>
      <c r="U287">
        <v>0</v>
      </c>
      <c r="V287">
        <v>0</v>
      </c>
      <c r="W287">
        <v>0</v>
      </c>
      <c r="X287" s="39">
        <v>0</v>
      </c>
      <c r="Y287">
        <v>0</v>
      </c>
      <c r="Z287" s="31">
        <v>0</v>
      </c>
      <c r="AA287">
        <v>8</v>
      </c>
      <c r="AB287" s="3">
        <f t="shared" si="14"/>
        <v>0</v>
      </c>
      <c r="AC287" t="str">
        <f>IF(AB287-S287&lt;0,"YES","NO")</f>
        <v>NO</v>
      </c>
      <c r="AD287">
        <f>IF(AC287="NO",0,AB287-S287)</f>
        <v>0</v>
      </c>
      <c r="AE287" s="43">
        <v>0.08</v>
      </c>
      <c r="AF287" s="3">
        <f t="shared" si="15"/>
        <v>0</v>
      </c>
      <c r="AG287" s="45">
        <f t="shared" si="16"/>
        <v>0</v>
      </c>
      <c r="AH287" s="55"/>
    </row>
    <row r="288" spans="1:34" x14ac:dyDescent="0.25">
      <c r="A288" t="s">
        <v>1316</v>
      </c>
      <c r="B288" t="s">
        <v>1317</v>
      </c>
      <c r="C288" t="s">
        <v>1318</v>
      </c>
      <c r="D288" t="s">
        <v>1319</v>
      </c>
      <c r="E288" t="s">
        <v>1320</v>
      </c>
      <c r="F288" t="s">
        <v>1321</v>
      </c>
      <c r="G288" t="s">
        <v>5</v>
      </c>
      <c r="H288" t="s">
        <v>65</v>
      </c>
      <c r="I288" t="s">
        <v>78</v>
      </c>
      <c r="J288" t="s">
        <v>79</v>
      </c>
      <c r="K288" t="s">
        <v>3</v>
      </c>
      <c r="L288" t="s">
        <v>4</v>
      </c>
      <c r="M288" t="s">
        <v>49</v>
      </c>
      <c r="N288" t="s">
        <v>1322</v>
      </c>
      <c r="O288" s="31" t="s">
        <v>1323</v>
      </c>
      <c r="P288">
        <v>220</v>
      </c>
      <c r="R288">
        <v>6</v>
      </c>
      <c r="S288" s="31">
        <v>450000</v>
      </c>
      <c r="T288" s="39">
        <v>480000</v>
      </c>
      <c r="U288">
        <v>75000</v>
      </c>
      <c r="V288">
        <v>25000.02</v>
      </c>
      <c r="W288">
        <v>0</v>
      </c>
      <c r="X288" s="39">
        <v>150999.96</v>
      </c>
      <c r="Y288">
        <v>0</v>
      </c>
      <c r="Z288" s="31">
        <v>379999.98</v>
      </c>
      <c r="AA288">
        <v>8</v>
      </c>
      <c r="AB288" s="3">
        <f t="shared" si="14"/>
        <v>379999.98</v>
      </c>
      <c r="AC288" t="str">
        <f>IF(AB288-S288&lt;0,"YES","NO")</f>
        <v>YES</v>
      </c>
      <c r="AD288">
        <f>IF(AC288="NO",0,AB288-S288)</f>
        <v>-70000.020000000019</v>
      </c>
      <c r="AE288" s="43">
        <v>0.08</v>
      </c>
      <c r="AF288" s="3">
        <f t="shared" si="15"/>
        <v>-64814.833333333343</v>
      </c>
      <c r="AG288" s="45">
        <f t="shared" si="16"/>
        <v>-71296.31666666668</v>
      </c>
      <c r="AH288" s="55"/>
    </row>
    <row r="289" spans="1:34" x14ac:dyDescent="0.25">
      <c r="A289" t="s">
        <v>1324</v>
      </c>
      <c r="B289" t="s">
        <v>1325</v>
      </c>
      <c r="C289" t="s">
        <v>1326</v>
      </c>
      <c r="D289" t="s">
        <v>1327</v>
      </c>
      <c r="E289" t="s">
        <v>1328</v>
      </c>
      <c r="F289" t="s">
        <v>1329</v>
      </c>
      <c r="G289" t="s">
        <v>5</v>
      </c>
      <c r="H289" t="s">
        <v>65</v>
      </c>
      <c r="I289" t="s">
        <v>66</v>
      </c>
      <c r="J289" t="s">
        <v>67</v>
      </c>
      <c r="K289" t="s">
        <v>3</v>
      </c>
      <c r="L289" t="s">
        <v>4</v>
      </c>
      <c r="M289" t="s">
        <v>49</v>
      </c>
      <c r="N289" t="s">
        <v>1330</v>
      </c>
      <c r="O289" s="31" t="s">
        <v>1331</v>
      </c>
      <c r="P289">
        <v>220</v>
      </c>
      <c r="R289">
        <v>2</v>
      </c>
      <c r="S289" s="31">
        <v>150000</v>
      </c>
      <c r="T289" s="39">
        <v>160000</v>
      </c>
      <c r="U289">
        <v>20000</v>
      </c>
      <c r="V289">
        <v>16000</v>
      </c>
      <c r="W289">
        <v>0</v>
      </c>
      <c r="X289" s="39">
        <v>44800</v>
      </c>
      <c r="Y289">
        <v>0</v>
      </c>
      <c r="Z289" s="31">
        <v>124000</v>
      </c>
      <c r="AA289">
        <v>8</v>
      </c>
      <c r="AB289" s="3">
        <f t="shared" si="14"/>
        <v>124000</v>
      </c>
      <c r="AC289" t="str">
        <f>IF(AB289-S289&lt;0,"YES","NO")</f>
        <v>YES</v>
      </c>
      <c r="AD289">
        <f>IF(AC289="NO",0,AB289-S289)</f>
        <v>-26000</v>
      </c>
      <c r="AE289" s="43">
        <v>0.08</v>
      </c>
      <c r="AF289" s="3">
        <f t="shared" si="15"/>
        <v>-24074.074074074073</v>
      </c>
      <c r="AG289" s="45">
        <f t="shared" si="16"/>
        <v>-26481.481481481482</v>
      </c>
      <c r="AH289" s="55"/>
    </row>
    <row r="290" spans="1:34" x14ac:dyDescent="0.25">
      <c r="A290" t="s">
        <v>1332</v>
      </c>
      <c r="B290" t="s">
        <v>1333</v>
      </c>
      <c r="C290" t="s">
        <v>1334</v>
      </c>
      <c r="D290" t="s">
        <v>1335</v>
      </c>
      <c r="E290" t="s">
        <v>1336</v>
      </c>
      <c r="F290" t="s">
        <v>1337</v>
      </c>
      <c r="G290" t="s">
        <v>5</v>
      </c>
      <c r="H290" t="s">
        <v>65</v>
      </c>
      <c r="I290" t="s">
        <v>82</v>
      </c>
      <c r="J290" t="s">
        <v>83</v>
      </c>
      <c r="K290" t="s">
        <v>3</v>
      </c>
      <c r="L290" t="s">
        <v>4</v>
      </c>
      <c r="M290" t="s">
        <v>49</v>
      </c>
      <c r="N290" t="s">
        <v>1338</v>
      </c>
      <c r="O290" s="31" t="s">
        <v>1339</v>
      </c>
      <c r="P290">
        <v>220</v>
      </c>
      <c r="R290">
        <v>3</v>
      </c>
      <c r="S290" s="31">
        <v>225000</v>
      </c>
      <c r="T290" s="39">
        <v>240000</v>
      </c>
      <c r="U290">
        <v>35000.01</v>
      </c>
      <c r="V290">
        <v>12999.99</v>
      </c>
      <c r="W290">
        <v>0</v>
      </c>
      <c r="X290" s="39">
        <v>65720.009999999995</v>
      </c>
      <c r="Y290">
        <v>0</v>
      </c>
      <c r="Z290" s="31">
        <v>192000</v>
      </c>
      <c r="AA290">
        <v>8</v>
      </c>
      <c r="AB290" s="3">
        <f t="shared" si="14"/>
        <v>192000</v>
      </c>
      <c r="AC290" t="str">
        <f>IF(AB290-S290&lt;0,"YES","NO")</f>
        <v>YES</v>
      </c>
      <c r="AD290">
        <f>IF(AC290="NO",0,AB290-S290)</f>
        <v>-33000</v>
      </c>
      <c r="AE290" s="43">
        <v>0.08</v>
      </c>
      <c r="AF290" s="3">
        <f t="shared" si="15"/>
        <v>-30555.555555555555</v>
      </c>
      <c r="AG290" s="45">
        <f t="shared" si="16"/>
        <v>-33611.111111111109</v>
      </c>
      <c r="AH290" s="55"/>
    </row>
    <row r="291" spans="1:34" x14ac:dyDescent="0.25">
      <c r="A291" t="s">
        <v>1340</v>
      </c>
      <c r="B291" t="s">
        <v>1341</v>
      </c>
      <c r="C291" t="s">
        <v>1342</v>
      </c>
      <c r="D291" t="s">
        <v>1343</v>
      </c>
      <c r="E291" t="s">
        <v>1344</v>
      </c>
      <c r="F291" t="s">
        <v>1345</v>
      </c>
      <c r="G291" t="s">
        <v>5</v>
      </c>
      <c r="H291" t="s">
        <v>61</v>
      </c>
      <c r="I291" t="s">
        <v>84</v>
      </c>
      <c r="J291" t="s">
        <v>85</v>
      </c>
      <c r="K291" t="s">
        <v>3</v>
      </c>
      <c r="L291" t="s">
        <v>4</v>
      </c>
      <c r="M291" t="s">
        <v>49</v>
      </c>
      <c r="N291" t="s">
        <v>1346</v>
      </c>
      <c r="O291" s="31" t="s">
        <v>1347</v>
      </c>
      <c r="P291">
        <v>100</v>
      </c>
      <c r="Q291" t="s">
        <v>86</v>
      </c>
      <c r="R291">
        <v>1</v>
      </c>
      <c r="S291" s="31">
        <v>0</v>
      </c>
      <c r="T291" s="39">
        <v>0</v>
      </c>
      <c r="U291">
        <v>0</v>
      </c>
      <c r="V291">
        <v>0</v>
      </c>
      <c r="W291">
        <v>0</v>
      </c>
      <c r="X291" s="39">
        <v>0</v>
      </c>
      <c r="Y291">
        <v>0</v>
      </c>
      <c r="Z291" s="31">
        <v>0</v>
      </c>
      <c r="AA291">
        <v>8</v>
      </c>
      <c r="AB291" s="3">
        <f t="shared" si="14"/>
        <v>0</v>
      </c>
      <c r="AC291" t="str">
        <f>IF(AB291-S291&lt;0,"YES","NO")</f>
        <v>NO</v>
      </c>
      <c r="AD291">
        <f>IF(AC291="NO",0,AB291-S291)</f>
        <v>0</v>
      </c>
      <c r="AE291" s="43">
        <v>0.08</v>
      </c>
      <c r="AF291" s="3">
        <f t="shared" si="15"/>
        <v>0</v>
      </c>
      <c r="AG291" s="45">
        <f t="shared" si="16"/>
        <v>0</v>
      </c>
      <c r="AH291" s="55"/>
    </row>
    <row r="292" spans="1:34" x14ac:dyDescent="0.25">
      <c r="A292" t="s">
        <v>1340</v>
      </c>
      <c r="B292" t="s">
        <v>1341</v>
      </c>
      <c r="C292" t="s">
        <v>1342</v>
      </c>
      <c r="D292" t="s">
        <v>1343</v>
      </c>
      <c r="E292" t="s">
        <v>1344</v>
      </c>
      <c r="F292" t="s">
        <v>1345</v>
      </c>
      <c r="G292" t="s">
        <v>5</v>
      </c>
      <c r="H292" t="s">
        <v>65</v>
      </c>
      <c r="I292" t="s">
        <v>66</v>
      </c>
      <c r="J292" t="s">
        <v>67</v>
      </c>
      <c r="K292" t="s">
        <v>3</v>
      </c>
      <c r="L292" t="s">
        <v>4</v>
      </c>
      <c r="M292" t="s">
        <v>49</v>
      </c>
      <c r="N292" t="s">
        <v>1346</v>
      </c>
      <c r="O292" s="31" t="s">
        <v>1347</v>
      </c>
      <c r="P292">
        <v>220</v>
      </c>
      <c r="R292">
        <v>1</v>
      </c>
      <c r="S292" s="31">
        <v>75000</v>
      </c>
      <c r="T292" s="39">
        <v>80000</v>
      </c>
      <c r="U292">
        <v>11666.67</v>
      </c>
      <c r="V292">
        <v>4333.33</v>
      </c>
      <c r="W292">
        <v>0</v>
      </c>
      <c r="X292" s="39">
        <v>21906.67</v>
      </c>
      <c r="Y292">
        <v>0</v>
      </c>
      <c r="Z292" s="31">
        <v>64000</v>
      </c>
      <c r="AA292">
        <v>8</v>
      </c>
      <c r="AB292" s="3">
        <f t="shared" si="14"/>
        <v>64000</v>
      </c>
      <c r="AC292" t="str">
        <f>IF(AB292-S292&lt;0,"YES","NO")</f>
        <v>YES</v>
      </c>
      <c r="AD292">
        <f>IF(AC292="NO",0,AB292-S292)</f>
        <v>-11000</v>
      </c>
      <c r="AE292" s="43">
        <v>0.08</v>
      </c>
      <c r="AF292" s="3">
        <f t="shared" si="15"/>
        <v>-10185.185185185184</v>
      </c>
      <c r="AG292" s="45">
        <f t="shared" si="16"/>
        <v>-11203.703703703704</v>
      </c>
      <c r="AH292" s="55"/>
    </row>
    <row r="293" spans="1:34" x14ac:dyDescent="0.25">
      <c r="A293" t="s">
        <v>1340</v>
      </c>
      <c r="B293" t="s">
        <v>1341</v>
      </c>
      <c r="C293" t="s">
        <v>1342</v>
      </c>
      <c r="D293" t="s">
        <v>1343</v>
      </c>
      <c r="E293" t="s">
        <v>1344</v>
      </c>
      <c r="F293" t="s">
        <v>1345</v>
      </c>
      <c r="G293" t="s">
        <v>5</v>
      </c>
      <c r="H293" t="s">
        <v>65</v>
      </c>
      <c r="I293" t="s">
        <v>78</v>
      </c>
      <c r="J293" t="s">
        <v>79</v>
      </c>
      <c r="K293" t="s">
        <v>3</v>
      </c>
      <c r="L293" t="s">
        <v>4</v>
      </c>
      <c r="M293" t="s">
        <v>49</v>
      </c>
      <c r="N293" t="s">
        <v>1346</v>
      </c>
      <c r="O293" s="31" t="s">
        <v>1347</v>
      </c>
      <c r="P293">
        <v>220</v>
      </c>
      <c r="R293">
        <v>1</v>
      </c>
      <c r="S293" s="31">
        <v>75000</v>
      </c>
      <c r="T293" s="39">
        <v>80000</v>
      </c>
      <c r="U293">
        <v>11666.67</v>
      </c>
      <c r="V293">
        <v>4333.33</v>
      </c>
      <c r="W293">
        <v>0</v>
      </c>
      <c r="X293" s="39">
        <v>21906.67</v>
      </c>
      <c r="Y293">
        <v>0</v>
      </c>
      <c r="Z293" s="31">
        <v>64000</v>
      </c>
      <c r="AA293">
        <v>8</v>
      </c>
      <c r="AB293" s="3">
        <f t="shared" si="14"/>
        <v>64000</v>
      </c>
      <c r="AC293" t="str">
        <f>IF(AB293-S293&lt;0,"YES","NO")</f>
        <v>YES</v>
      </c>
      <c r="AD293">
        <f>IF(AC293="NO",0,AB293-S293)</f>
        <v>-11000</v>
      </c>
      <c r="AE293" s="43">
        <v>0.08</v>
      </c>
      <c r="AF293" s="3">
        <f t="shared" si="15"/>
        <v>-10185.185185185184</v>
      </c>
      <c r="AG293" s="45">
        <f t="shared" si="16"/>
        <v>-11203.703703703704</v>
      </c>
      <c r="AH293" s="55"/>
    </row>
    <row r="294" spans="1:34" x14ac:dyDescent="0.25">
      <c r="A294" t="s">
        <v>1340</v>
      </c>
      <c r="B294" t="s">
        <v>1341</v>
      </c>
      <c r="C294" t="s">
        <v>1342</v>
      </c>
      <c r="D294" t="s">
        <v>1343</v>
      </c>
      <c r="E294" t="s">
        <v>1344</v>
      </c>
      <c r="F294" t="s">
        <v>1345</v>
      </c>
      <c r="G294" t="s">
        <v>5</v>
      </c>
      <c r="H294" t="s">
        <v>65</v>
      </c>
      <c r="I294" t="s">
        <v>80</v>
      </c>
      <c r="J294" t="s">
        <v>81</v>
      </c>
      <c r="K294" t="s">
        <v>3</v>
      </c>
      <c r="L294" t="s">
        <v>4</v>
      </c>
      <c r="M294" t="s">
        <v>49</v>
      </c>
      <c r="N294" t="s">
        <v>1346</v>
      </c>
      <c r="O294" s="31" t="s">
        <v>1347</v>
      </c>
      <c r="P294">
        <v>220</v>
      </c>
      <c r="R294">
        <v>1</v>
      </c>
      <c r="S294" s="31">
        <v>75000</v>
      </c>
      <c r="T294" s="39">
        <v>80000</v>
      </c>
      <c r="U294">
        <v>11666.67</v>
      </c>
      <c r="V294">
        <v>4333.33</v>
      </c>
      <c r="W294">
        <v>0</v>
      </c>
      <c r="X294" s="39">
        <v>21906.67</v>
      </c>
      <c r="Y294">
        <v>0</v>
      </c>
      <c r="Z294" s="31">
        <v>64000</v>
      </c>
      <c r="AA294">
        <v>8</v>
      </c>
      <c r="AB294" s="3">
        <f t="shared" si="14"/>
        <v>64000</v>
      </c>
      <c r="AC294" t="str">
        <f>IF(AB294-S294&lt;0,"YES","NO")</f>
        <v>YES</v>
      </c>
      <c r="AD294">
        <f>IF(AC294="NO",0,AB294-S294)</f>
        <v>-11000</v>
      </c>
      <c r="AE294" s="43">
        <v>0.08</v>
      </c>
      <c r="AF294" s="3">
        <f t="shared" si="15"/>
        <v>-10185.185185185184</v>
      </c>
      <c r="AG294" s="45">
        <f t="shared" si="16"/>
        <v>-11203.703703703704</v>
      </c>
      <c r="AH294" s="55"/>
    </row>
    <row r="295" spans="1:34" x14ac:dyDescent="0.25">
      <c r="A295" t="s">
        <v>1348</v>
      </c>
      <c r="B295" t="s">
        <v>1349</v>
      </c>
      <c r="C295" t="s">
        <v>1350</v>
      </c>
      <c r="D295" t="s">
        <v>1351</v>
      </c>
      <c r="E295" t="s">
        <v>1352</v>
      </c>
      <c r="F295" t="s">
        <v>1353</v>
      </c>
      <c r="G295" t="s">
        <v>5</v>
      </c>
      <c r="H295" t="s">
        <v>65</v>
      </c>
      <c r="I295" t="s">
        <v>66</v>
      </c>
      <c r="J295" t="s">
        <v>67</v>
      </c>
      <c r="K295" t="s">
        <v>3</v>
      </c>
      <c r="L295" t="s">
        <v>4</v>
      </c>
      <c r="M295" t="s">
        <v>49</v>
      </c>
      <c r="N295" t="s">
        <v>1354</v>
      </c>
      <c r="O295" s="31" t="s">
        <v>1355</v>
      </c>
      <c r="P295">
        <v>220</v>
      </c>
      <c r="R295">
        <v>3</v>
      </c>
      <c r="S295" s="31">
        <v>225000</v>
      </c>
      <c r="T295" s="39">
        <v>240000</v>
      </c>
      <c r="U295">
        <v>35000.01</v>
      </c>
      <c r="V295">
        <v>24000</v>
      </c>
      <c r="W295">
        <v>0</v>
      </c>
      <c r="X295" s="39">
        <v>63960</v>
      </c>
      <c r="Y295">
        <v>0</v>
      </c>
      <c r="Z295" s="31">
        <v>180999.99</v>
      </c>
      <c r="AA295">
        <v>8</v>
      </c>
      <c r="AB295" s="3">
        <f t="shared" si="14"/>
        <v>180999.99</v>
      </c>
      <c r="AC295" t="str">
        <f>IF(AB295-S295&lt;0,"YES","NO")</f>
        <v>YES</v>
      </c>
      <c r="AD295">
        <f>IF(AC295="NO",0,AB295-S295)</f>
        <v>-44000.010000000009</v>
      </c>
      <c r="AE295" s="43">
        <v>0.08</v>
      </c>
      <c r="AF295" s="3">
        <f t="shared" si="15"/>
        <v>-40740.750000000007</v>
      </c>
      <c r="AG295" s="45">
        <f t="shared" si="16"/>
        <v>-44814.825000000012</v>
      </c>
      <c r="AH295" s="55"/>
    </row>
    <row r="296" spans="1:34" x14ac:dyDescent="0.25">
      <c r="A296" t="s">
        <v>1356</v>
      </c>
      <c r="B296" t="s">
        <v>1357</v>
      </c>
      <c r="C296" t="s">
        <v>1358</v>
      </c>
      <c r="D296" t="s">
        <v>1359</v>
      </c>
      <c r="E296" t="s">
        <v>1360</v>
      </c>
      <c r="F296" t="s">
        <v>1361</v>
      </c>
      <c r="G296" t="s">
        <v>5</v>
      </c>
      <c r="H296" t="s">
        <v>65</v>
      </c>
      <c r="I296" t="s">
        <v>82</v>
      </c>
      <c r="J296" t="s">
        <v>83</v>
      </c>
      <c r="K296" t="s">
        <v>3</v>
      </c>
      <c r="L296" t="s">
        <v>4</v>
      </c>
      <c r="M296" t="s">
        <v>49</v>
      </c>
      <c r="N296" t="s">
        <v>1362</v>
      </c>
      <c r="O296" s="31" t="s">
        <v>1363</v>
      </c>
      <c r="P296">
        <v>220</v>
      </c>
      <c r="R296">
        <v>6</v>
      </c>
      <c r="S296" s="31">
        <v>450000</v>
      </c>
      <c r="T296" s="39">
        <v>480000</v>
      </c>
      <c r="U296">
        <v>75000</v>
      </c>
      <c r="V296">
        <v>49000.02</v>
      </c>
      <c r="W296">
        <v>0</v>
      </c>
      <c r="X296" s="39">
        <v>146199.96</v>
      </c>
      <c r="Y296">
        <v>0</v>
      </c>
      <c r="Z296" s="31">
        <v>355999.98</v>
      </c>
      <c r="AA296">
        <v>8</v>
      </c>
      <c r="AB296" s="3">
        <f t="shared" si="14"/>
        <v>355999.98</v>
      </c>
      <c r="AC296" t="str">
        <f>IF(AB296-S296&lt;0,"YES","NO")</f>
        <v>YES</v>
      </c>
      <c r="AD296">
        <f>IF(AC296="NO",0,AB296-S296)</f>
        <v>-94000.020000000019</v>
      </c>
      <c r="AE296" s="43">
        <v>0.08</v>
      </c>
      <c r="AF296" s="3">
        <f t="shared" si="15"/>
        <v>-87037.055555555562</v>
      </c>
      <c r="AG296" s="45">
        <f t="shared" si="16"/>
        <v>-95740.761111111133</v>
      </c>
      <c r="AH296" s="55"/>
    </row>
    <row r="297" spans="1:34" x14ac:dyDescent="0.25">
      <c r="A297" t="s">
        <v>1364</v>
      </c>
      <c r="B297" t="s">
        <v>1365</v>
      </c>
      <c r="C297" t="s">
        <v>1366</v>
      </c>
      <c r="D297" t="s">
        <v>1367</v>
      </c>
      <c r="E297" t="s">
        <v>1368</v>
      </c>
      <c r="F297" t="s">
        <v>1369</v>
      </c>
      <c r="G297" t="s">
        <v>5</v>
      </c>
      <c r="H297" t="s">
        <v>65</v>
      </c>
      <c r="I297" t="s">
        <v>66</v>
      </c>
      <c r="J297" t="s">
        <v>67</v>
      </c>
      <c r="K297" t="s">
        <v>3</v>
      </c>
      <c r="L297" t="s">
        <v>4</v>
      </c>
      <c r="M297" t="s">
        <v>49</v>
      </c>
      <c r="N297" t="s">
        <v>1370</v>
      </c>
      <c r="O297" s="31" t="s">
        <v>1371</v>
      </c>
      <c r="P297">
        <v>220</v>
      </c>
      <c r="R297">
        <v>3</v>
      </c>
      <c r="S297" s="31">
        <v>225000</v>
      </c>
      <c r="T297" s="39">
        <v>240000</v>
      </c>
      <c r="U297">
        <v>35000.01</v>
      </c>
      <c r="V297">
        <v>24000</v>
      </c>
      <c r="W297">
        <v>0</v>
      </c>
      <c r="X297" s="39">
        <v>63960</v>
      </c>
      <c r="Y297">
        <v>0</v>
      </c>
      <c r="Z297" s="31">
        <v>180999.99</v>
      </c>
      <c r="AA297">
        <v>8</v>
      </c>
      <c r="AB297" s="3">
        <f t="shared" si="14"/>
        <v>180999.99</v>
      </c>
      <c r="AC297" t="str">
        <f>IF(AB297-S297&lt;0,"YES","NO")</f>
        <v>YES</v>
      </c>
      <c r="AD297">
        <f>IF(AC297="NO",0,AB297-S297)</f>
        <v>-44000.010000000009</v>
      </c>
      <c r="AE297" s="43">
        <v>0.08</v>
      </c>
      <c r="AF297" s="3">
        <f t="shared" si="15"/>
        <v>-40740.750000000007</v>
      </c>
      <c r="AG297" s="45">
        <f t="shared" si="16"/>
        <v>-44814.825000000012</v>
      </c>
      <c r="AH297" s="55"/>
    </row>
    <row r="298" spans="1:34" x14ac:dyDescent="0.25">
      <c r="A298" t="s">
        <v>1372</v>
      </c>
      <c r="B298" t="s">
        <v>1373</v>
      </c>
      <c r="C298" t="s">
        <v>1374</v>
      </c>
      <c r="D298" t="s">
        <v>1375</v>
      </c>
      <c r="E298" t="s">
        <v>1376</v>
      </c>
      <c r="F298" t="s">
        <v>1377</v>
      </c>
      <c r="G298" t="s">
        <v>5</v>
      </c>
      <c r="H298" t="s">
        <v>61</v>
      </c>
      <c r="I298" t="s">
        <v>84</v>
      </c>
      <c r="J298" t="s">
        <v>85</v>
      </c>
      <c r="K298" t="s">
        <v>3</v>
      </c>
      <c r="L298" t="s">
        <v>4</v>
      </c>
      <c r="M298" t="s">
        <v>49</v>
      </c>
      <c r="N298" t="s">
        <v>1378</v>
      </c>
      <c r="O298" s="31" t="s">
        <v>1379</v>
      </c>
      <c r="P298">
        <v>100</v>
      </c>
      <c r="Q298" t="s">
        <v>86</v>
      </c>
      <c r="R298">
        <v>1</v>
      </c>
      <c r="S298" s="31">
        <v>0</v>
      </c>
      <c r="T298" s="39">
        <v>0</v>
      </c>
      <c r="U298">
        <v>0</v>
      </c>
      <c r="V298">
        <v>0</v>
      </c>
      <c r="W298">
        <v>0</v>
      </c>
      <c r="X298" s="39">
        <v>0</v>
      </c>
      <c r="Y298">
        <v>0</v>
      </c>
      <c r="Z298" s="31">
        <v>0</v>
      </c>
      <c r="AA298">
        <v>8</v>
      </c>
      <c r="AB298" s="3">
        <f t="shared" si="14"/>
        <v>0</v>
      </c>
      <c r="AC298" t="str">
        <f>IF(AB298-S298&lt;0,"YES","NO")</f>
        <v>NO</v>
      </c>
      <c r="AD298">
        <f>IF(AC298="NO",0,AB298-S298)</f>
        <v>0</v>
      </c>
      <c r="AE298" s="43">
        <v>0.08</v>
      </c>
      <c r="AF298" s="3">
        <f t="shared" si="15"/>
        <v>0</v>
      </c>
      <c r="AG298" s="45">
        <f t="shared" si="16"/>
        <v>0</v>
      </c>
      <c r="AH298" s="55"/>
    </row>
    <row r="299" spans="1:34" x14ac:dyDescent="0.25">
      <c r="A299" t="s">
        <v>1372</v>
      </c>
      <c r="B299" t="s">
        <v>1373</v>
      </c>
      <c r="C299" t="s">
        <v>1374</v>
      </c>
      <c r="D299" t="s">
        <v>1375</v>
      </c>
      <c r="E299" t="s">
        <v>1376</v>
      </c>
      <c r="F299" t="s">
        <v>1377</v>
      </c>
      <c r="G299" t="s">
        <v>5</v>
      </c>
      <c r="H299" t="s">
        <v>65</v>
      </c>
      <c r="I299" t="s">
        <v>66</v>
      </c>
      <c r="J299" t="s">
        <v>67</v>
      </c>
      <c r="K299" t="s">
        <v>3</v>
      </c>
      <c r="L299" t="s">
        <v>4</v>
      </c>
      <c r="M299" t="s">
        <v>49</v>
      </c>
      <c r="N299" t="s">
        <v>1378</v>
      </c>
      <c r="O299" s="31" t="s">
        <v>1379</v>
      </c>
      <c r="P299">
        <v>220</v>
      </c>
      <c r="R299">
        <v>4</v>
      </c>
      <c r="S299" s="31">
        <v>300000</v>
      </c>
      <c r="T299" s="39">
        <v>320000</v>
      </c>
      <c r="U299">
        <v>20000</v>
      </c>
      <c r="V299">
        <v>32000</v>
      </c>
      <c r="W299">
        <v>0</v>
      </c>
      <c r="X299" s="39">
        <v>70000</v>
      </c>
      <c r="Y299">
        <v>0</v>
      </c>
      <c r="Z299" s="31">
        <v>268000</v>
      </c>
      <c r="AA299">
        <v>8</v>
      </c>
      <c r="AB299" s="3">
        <f t="shared" si="14"/>
        <v>268000</v>
      </c>
      <c r="AC299" t="str">
        <f>IF(AB299-S299&lt;0,"YES","NO")</f>
        <v>YES</v>
      </c>
      <c r="AD299">
        <f>IF(AC299="NO",0,AB299-S299)</f>
        <v>-32000</v>
      </c>
      <c r="AE299" s="43">
        <v>0.08</v>
      </c>
      <c r="AF299" s="3">
        <f t="shared" si="15"/>
        <v>-29629.629629629628</v>
      </c>
      <c r="AG299" s="45">
        <f t="shared" si="16"/>
        <v>-32592.592592592595</v>
      </c>
      <c r="AH299" s="55"/>
    </row>
    <row r="300" spans="1:34" x14ac:dyDescent="0.25">
      <c r="A300" t="s">
        <v>1380</v>
      </c>
      <c r="B300" t="s">
        <v>1381</v>
      </c>
      <c r="C300" t="s">
        <v>1382</v>
      </c>
      <c r="D300" t="s">
        <v>1383</v>
      </c>
      <c r="E300" t="s">
        <v>1384</v>
      </c>
      <c r="F300" t="s">
        <v>1385</v>
      </c>
      <c r="G300" t="s">
        <v>5</v>
      </c>
      <c r="H300" t="s">
        <v>61</v>
      </c>
      <c r="I300" t="s">
        <v>97</v>
      </c>
      <c r="J300" t="s">
        <v>98</v>
      </c>
      <c r="K300" t="s">
        <v>3</v>
      </c>
      <c r="L300" t="s">
        <v>4</v>
      </c>
      <c r="M300" t="s">
        <v>49</v>
      </c>
      <c r="N300" t="s">
        <v>1386</v>
      </c>
      <c r="O300" s="31" t="s">
        <v>1387</v>
      </c>
      <c r="P300">
        <v>20</v>
      </c>
      <c r="Q300" t="s">
        <v>99</v>
      </c>
      <c r="R300">
        <v>1</v>
      </c>
      <c r="S300" s="31">
        <v>0</v>
      </c>
      <c r="T300" s="39">
        <v>0</v>
      </c>
      <c r="U300">
        <v>0</v>
      </c>
      <c r="V300">
        <v>0</v>
      </c>
      <c r="W300">
        <v>0</v>
      </c>
      <c r="X300" s="39">
        <v>0</v>
      </c>
      <c r="Y300">
        <v>0</v>
      </c>
      <c r="Z300" s="31">
        <v>0</v>
      </c>
      <c r="AA300">
        <v>8</v>
      </c>
      <c r="AB300" s="3">
        <f t="shared" si="14"/>
        <v>0</v>
      </c>
      <c r="AC300" t="str">
        <f>IF(AB300-S300&lt;0,"YES","NO")</f>
        <v>NO</v>
      </c>
      <c r="AD300">
        <f>IF(AC300="NO",0,AB300-S300)</f>
        <v>0</v>
      </c>
      <c r="AE300" s="43">
        <v>0.08</v>
      </c>
      <c r="AF300" s="3">
        <f t="shared" si="15"/>
        <v>0</v>
      </c>
      <c r="AG300" s="45">
        <f t="shared" si="16"/>
        <v>0</v>
      </c>
      <c r="AH300" s="55"/>
    </row>
    <row r="301" spans="1:34" x14ac:dyDescent="0.25">
      <c r="A301" t="s">
        <v>1380</v>
      </c>
      <c r="B301" t="s">
        <v>1381</v>
      </c>
      <c r="C301" t="s">
        <v>1382</v>
      </c>
      <c r="D301" t="s">
        <v>1383</v>
      </c>
      <c r="E301" t="s">
        <v>1384</v>
      </c>
      <c r="F301" t="s">
        <v>1385</v>
      </c>
      <c r="G301" t="s">
        <v>5</v>
      </c>
      <c r="H301" t="s">
        <v>61</v>
      </c>
      <c r="I301" t="s">
        <v>84</v>
      </c>
      <c r="J301" t="s">
        <v>85</v>
      </c>
      <c r="K301" t="s">
        <v>3</v>
      </c>
      <c r="L301" t="s">
        <v>4</v>
      </c>
      <c r="M301" t="s">
        <v>49</v>
      </c>
      <c r="N301" t="s">
        <v>1386</v>
      </c>
      <c r="O301" s="31" t="s">
        <v>1387</v>
      </c>
      <c r="P301">
        <v>100</v>
      </c>
      <c r="Q301" t="s">
        <v>86</v>
      </c>
      <c r="R301">
        <v>1</v>
      </c>
      <c r="S301" s="31">
        <v>0</v>
      </c>
      <c r="T301" s="39">
        <v>0</v>
      </c>
      <c r="U301">
        <v>0</v>
      </c>
      <c r="V301">
        <v>0</v>
      </c>
      <c r="W301">
        <v>0</v>
      </c>
      <c r="X301" s="39">
        <v>0</v>
      </c>
      <c r="Y301">
        <v>0</v>
      </c>
      <c r="Z301" s="31">
        <v>0</v>
      </c>
      <c r="AA301">
        <v>8</v>
      </c>
      <c r="AB301" s="3">
        <f t="shared" si="14"/>
        <v>0</v>
      </c>
      <c r="AC301" t="str">
        <f>IF(AB301-S301&lt;0,"YES","NO")</f>
        <v>NO</v>
      </c>
      <c r="AD301">
        <f>IF(AC301="NO",0,AB301-S301)</f>
        <v>0</v>
      </c>
      <c r="AE301" s="43">
        <v>0.08</v>
      </c>
      <c r="AF301" s="3">
        <f t="shared" si="15"/>
        <v>0</v>
      </c>
      <c r="AG301" s="45">
        <f t="shared" si="16"/>
        <v>0</v>
      </c>
      <c r="AH301" s="55"/>
    </row>
    <row r="302" spans="1:34" x14ac:dyDescent="0.25">
      <c r="A302" t="s">
        <v>1380</v>
      </c>
      <c r="B302" t="s">
        <v>1381</v>
      </c>
      <c r="C302" t="s">
        <v>1382</v>
      </c>
      <c r="D302" t="s">
        <v>1383</v>
      </c>
      <c r="E302" t="s">
        <v>1384</v>
      </c>
      <c r="F302" t="s">
        <v>1385</v>
      </c>
      <c r="G302" t="s">
        <v>5</v>
      </c>
      <c r="H302" t="s">
        <v>65</v>
      </c>
      <c r="I302" t="s">
        <v>100</v>
      </c>
      <c r="J302" t="s">
        <v>101</v>
      </c>
      <c r="K302" t="s">
        <v>3</v>
      </c>
      <c r="L302" t="s">
        <v>4</v>
      </c>
      <c r="M302" t="s">
        <v>49</v>
      </c>
      <c r="N302" t="s">
        <v>1386</v>
      </c>
      <c r="O302" s="31" t="s">
        <v>1387</v>
      </c>
      <c r="P302">
        <v>200</v>
      </c>
      <c r="R302">
        <v>2</v>
      </c>
      <c r="S302" s="31">
        <v>144000</v>
      </c>
      <c r="T302" s="39">
        <v>160000</v>
      </c>
      <c r="U302">
        <v>0</v>
      </c>
      <c r="V302">
        <v>16000</v>
      </c>
      <c r="W302">
        <v>0</v>
      </c>
      <c r="X302" s="39">
        <v>31679</v>
      </c>
      <c r="Y302">
        <v>0</v>
      </c>
      <c r="Z302" s="31">
        <v>144000</v>
      </c>
      <c r="AA302">
        <v>8</v>
      </c>
      <c r="AB302" s="3">
        <f t="shared" si="14"/>
        <v>144000</v>
      </c>
      <c r="AC302" t="str">
        <f>IF(AB302-S302&lt;0,"YES","NO")</f>
        <v>NO</v>
      </c>
      <c r="AD302">
        <f>IF(AC302="NO",0,AB302-S302)</f>
        <v>0</v>
      </c>
      <c r="AE302" s="43">
        <v>0.08</v>
      </c>
      <c r="AF302" s="3">
        <f t="shared" si="15"/>
        <v>0</v>
      </c>
      <c r="AG302" s="45">
        <f t="shared" si="16"/>
        <v>0</v>
      </c>
      <c r="AH302" s="55"/>
    </row>
    <row r="303" spans="1:34" x14ac:dyDescent="0.25">
      <c r="A303" t="s">
        <v>1380</v>
      </c>
      <c r="B303" t="s">
        <v>1381</v>
      </c>
      <c r="C303" t="s">
        <v>1382</v>
      </c>
      <c r="D303" t="s">
        <v>1383</v>
      </c>
      <c r="E303" t="s">
        <v>1384</v>
      </c>
      <c r="F303" t="s">
        <v>1385</v>
      </c>
      <c r="G303" t="s">
        <v>5</v>
      </c>
      <c r="H303" t="s">
        <v>65</v>
      </c>
      <c r="I303" t="s">
        <v>66</v>
      </c>
      <c r="J303" t="s">
        <v>67</v>
      </c>
      <c r="K303" t="s">
        <v>3</v>
      </c>
      <c r="L303" t="s">
        <v>4</v>
      </c>
      <c r="M303" t="s">
        <v>49</v>
      </c>
      <c r="N303" t="s">
        <v>1386</v>
      </c>
      <c r="O303" s="31" t="s">
        <v>1387</v>
      </c>
      <c r="P303">
        <v>220</v>
      </c>
      <c r="R303">
        <v>1</v>
      </c>
      <c r="S303" s="31">
        <v>75000</v>
      </c>
      <c r="T303" s="39">
        <v>80000</v>
      </c>
      <c r="U303">
        <v>5978.34</v>
      </c>
      <c r="V303">
        <v>4333.33</v>
      </c>
      <c r="W303">
        <v>0</v>
      </c>
      <c r="X303" s="39">
        <v>21310</v>
      </c>
      <c r="Y303">
        <v>0</v>
      </c>
      <c r="Z303" s="31">
        <v>69688.33</v>
      </c>
      <c r="AA303">
        <v>8</v>
      </c>
      <c r="AB303" s="3">
        <f t="shared" si="14"/>
        <v>69688.33</v>
      </c>
      <c r="AC303" t="str">
        <f>IF(AB303-S303&lt;0,"YES","NO")</f>
        <v>YES</v>
      </c>
      <c r="AD303">
        <f>IF(AC303="NO",0,AB303-S303)</f>
        <v>-5311.6699999999983</v>
      </c>
      <c r="AE303" s="43">
        <v>0.08</v>
      </c>
      <c r="AF303" s="3">
        <f t="shared" si="15"/>
        <v>-4918.2129629629608</v>
      </c>
      <c r="AG303" s="45">
        <f t="shared" si="16"/>
        <v>-5410.0342592592569</v>
      </c>
      <c r="AH303" s="55"/>
    </row>
    <row r="304" spans="1:34" x14ac:dyDescent="0.25">
      <c r="A304" t="s">
        <v>1380</v>
      </c>
      <c r="B304" t="s">
        <v>1381</v>
      </c>
      <c r="C304" t="s">
        <v>1382</v>
      </c>
      <c r="D304" t="s">
        <v>1383</v>
      </c>
      <c r="E304" t="s">
        <v>1384</v>
      </c>
      <c r="F304" t="s">
        <v>1385</v>
      </c>
      <c r="G304" t="s">
        <v>5</v>
      </c>
      <c r="H304" t="s">
        <v>65</v>
      </c>
      <c r="I304" t="s">
        <v>78</v>
      </c>
      <c r="J304" t="s">
        <v>79</v>
      </c>
      <c r="K304" t="s">
        <v>3</v>
      </c>
      <c r="L304" t="s">
        <v>4</v>
      </c>
      <c r="M304" t="s">
        <v>49</v>
      </c>
      <c r="N304" t="s">
        <v>1386</v>
      </c>
      <c r="O304" s="31" t="s">
        <v>1387</v>
      </c>
      <c r="P304">
        <v>220</v>
      </c>
      <c r="R304">
        <v>1</v>
      </c>
      <c r="S304" s="31">
        <v>75000</v>
      </c>
      <c r="T304" s="39">
        <v>80000</v>
      </c>
      <c r="U304">
        <v>5978.34</v>
      </c>
      <c r="V304">
        <v>4333.33</v>
      </c>
      <c r="W304">
        <v>0</v>
      </c>
      <c r="X304" s="39">
        <v>21310</v>
      </c>
      <c r="Y304">
        <v>0</v>
      </c>
      <c r="Z304" s="31">
        <v>69688.33</v>
      </c>
      <c r="AA304">
        <v>8</v>
      </c>
      <c r="AB304" s="3">
        <f t="shared" si="14"/>
        <v>69688.33</v>
      </c>
      <c r="AC304" t="str">
        <f>IF(AB304-S304&lt;0,"YES","NO")</f>
        <v>YES</v>
      </c>
      <c r="AD304">
        <f>IF(AC304="NO",0,AB304-S304)</f>
        <v>-5311.6699999999983</v>
      </c>
      <c r="AE304" s="43">
        <v>0.08</v>
      </c>
      <c r="AF304" s="3">
        <f t="shared" si="15"/>
        <v>-4918.2129629629608</v>
      </c>
      <c r="AG304" s="45">
        <f t="shared" si="16"/>
        <v>-5410.0342592592569</v>
      </c>
      <c r="AH304" s="55"/>
    </row>
    <row r="305" spans="1:34" x14ac:dyDescent="0.25">
      <c r="A305" t="s">
        <v>1380</v>
      </c>
      <c r="B305" t="s">
        <v>1381</v>
      </c>
      <c r="C305" t="s">
        <v>1382</v>
      </c>
      <c r="D305" t="s">
        <v>1383</v>
      </c>
      <c r="E305" t="s">
        <v>1384</v>
      </c>
      <c r="F305" t="s">
        <v>1385</v>
      </c>
      <c r="G305" t="s">
        <v>5</v>
      </c>
      <c r="H305" t="s">
        <v>65</v>
      </c>
      <c r="I305" t="s">
        <v>80</v>
      </c>
      <c r="J305" t="s">
        <v>81</v>
      </c>
      <c r="K305" t="s">
        <v>3</v>
      </c>
      <c r="L305" t="s">
        <v>4</v>
      </c>
      <c r="M305" t="s">
        <v>49</v>
      </c>
      <c r="N305" t="s">
        <v>1386</v>
      </c>
      <c r="O305" s="31" t="s">
        <v>1387</v>
      </c>
      <c r="P305">
        <v>220</v>
      </c>
      <c r="R305">
        <v>1</v>
      </c>
      <c r="S305" s="31">
        <v>75000</v>
      </c>
      <c r="T305" s="39">
        <v>80000</v>
      </c>
      <c r="U305">
        <v>5978.34</v>
      </c>
      <c r="V305">
        <v>4333.33</v>
      </c>
      <c r="W305">
        <v>0</v>
      </c>
      <c r="X305" s="39">
        <v>21310</v>
      </c>
      <c r="Y305">
        <v>0</v>
      </c>
      <c r="Z305" s="31">
        <v>69688.33</v>
      </c>
      <c r="AA305">
        <v>8</v>
      </c>
      <c r="AB305" s="3">
        <f t="shared" si="14"/>
        <v>69688.33</v>
      </c>
      <c r="AC305" t="str">
        <f>IF(AB305-S305&lt;0,"YES","NO")</f>
        <v>YES</v>
      </c>
      <c r="AD305">
        <f>IF(AC305="NO",0,AB305-S305)</f>
        <v>-5311.6699999999983</v>
      </c>
      <c r="AE305" s="43">
        <v>0.08</v>
      </c>
      <c r="AF305" s="3">
        <f t="shared" si="15"/>
        <v>-4918.2129629629608</v>
      </c>
      <c r="AG305" s="45">
        <f t="shared" si="16"/>
        <v>-5410.0342592592569</v>
      </c>
      <c r="AH305" s="55"/>
    </row>
    <row r="306" spans="1:34" x14ac:dyDescent="0.25">
      <c r="A306" t="s">
        <v>1380</v>
      </c>
      <c r="B306" t="s">
        <v>1381</v>
      </c>
      <c r="C306" t="s">
        <v>1382</v>
      </c>
      <c r="D306" t="s">
        <v>1383</v>
      </c>
      <c r="E306" t="s">
        <v>1384</v>
      </c>
      <c r="F306" t="s">
        <v>1385</v>
      </c>
      <c r="G306" t="s">
        <v>5</v>
      </c>
      <c r="H306" t="s">
        <v>65</v>
      </c>
      <c r="I306" t="s">
        <v>66</v>
      </c>
      <c r="J306" t="s">
        <v>67</v>
      </c>
      <c r="K306" t="s">
        <v>3</v>
      </c>
      <c r="L306" t="s">
        <v>4</v>
      </c>
      <c r="M306" t="s">
        <v>49</v>
      </c>
      <c r="N306" t="s">
        <v>1386</v>
      </c>
      <c r="O306" s="31" t="s">
        <v>1387</v>
      </c>
      <c r="P306">
        <v>220</v>
      </c>
      <c r="R306">
        <v>3</v>
      </c>
      <c r="S306" s="31">
        <v>225000</v>
      </c>
      <c r="T306" s="39">
        <v>240000</v>
      </c>
      <c r="U306">
        <v>17064.990000000002</v>
      </c>
      <c r="V306">
        <v>24000</v>
      </c>
      <c r="W306">
        <v>0</v>
      </c>
      <c r="X306" s="39">
        <v>60831</v>
      </c>
      <c r="Y306">
        <v>0</v>
      </c>
      <c r="Z306" s="31">
        <v>198935.01</v>
      </c>
      <c r="AA306">
        <v>8</v>
      </c>
      <c r="AB306" s="3">
        <f t="shared" si="14"/>
        <v>198935.01</v>
      </c>
      <c r="AC306" t="str">
        <f>IF(AB306-S306&lt;0,"YES","NO")</f>
        <v>YES</v>
      </c>
      <c r="AD306">
        <f>IF(AC306="NO",0,AB306-S306)</f>
        <v>-26064.989999999991</v>
      </c>
      <c r="AE306" s="43">
        <v>0.08</v>
      </c>
      <c r="AF306" s="3">
        <f t="shared" si="15"/>
        <v>-24134.249999999989</v>
      </c>
      <c r="AG306" s="45">
        <f t="shared" si="16"/>
        <v>-26547.674999999988</v>
      </c>
      <c r="AH306" s="55"/>
    </row>
    <row r="307" spans="1:34" x14ac:dyDescent="0.25">
      <c r="A307" t="s">
        <v>1388</v>
      </c>
      <c r="B307" t="s">
        <v>1389</v>
      </c>
      <c r="C307" t="s">
        <v>1390</v>
      </c>
      <c r="D307" t="s">
        <v>1391</v>
      </c>
      <c r="E307" t="s">
        <v>1392</v>
      </c>
      <c r="F307" t="s">
        <v>1393</v>
      </c>
      <c r="G307" t="s">
        <v>5</v>
      </c>
      <c r="H307" t="s">
        <v>61</v>
      </c>
      <c r="I307" t="s">
        <v>62</v>
      </c>
      <c r="J307" t="s">
        <v>63</v>
      </c>
      <c r="K307" t="s">
        <v>3</v>
      </c>
      <c r="L307" t="s">
        <v>4</v>
      </c>
      <c r="M307" t="s">
        <v>49</v>
      </c>
      <c r="N307" t="s">
        <v>1394</v>
      </c>
      <c r="O307" s="31" t="s">
        <v>1395</v>
      </c>
      <c r="P307">
        <v>20000</v>
      </c>
      <c r="Q307" t="s">
        <v>64</v>
      </c>
      <c r="R307">
        <v>1</v>
      </c>
      <c r="S307" s="31">
        <v>0</v>
      </c>
      <c r="T307" s="39">
        <v>0</v>
      </c>
      <c r="U307">
        <v>0</v>
      </c>
      <c r="V307">
        <v>0</v>
      </c>
      <c r="W307">
        <v>0</v>
      </c>
      <c r="X307" s="39">
        <v>0</v>
      </c>
      <c r="Y307">
        <v>0</v>
      </c>
      <c r="Z307" s="31">
        <v>0</v>
      </c>
      <c r="AA307">
        <v>8</v>
      </c>
      <c r="AB307" s="3">
        <f t="shared" si="14"/>
        <v>0</v>
      </c>
      <c r="AC307" t="str">
        <f>IF(AB307-S307&lt;0,"YES","NO")</f>
        <v>NO</v>
      </c>
      <c r="AD307">
        <f>IF(AC307="NO",0,AB307-S307)</f>
        <v>0</v>
      </c>
      <c r="AE307" s="43">
        <v>0.08</v>
      </c>
      <c r="AF307" s="3">
        <f t="shared" si="15"/>
        <v>0</v>
      </c>
      <c r="AG307" s="45">
        <f t="shared" si="16"/>
        <v>0</v>
      </c>
      <c r="AH307" s="55"/>
    </row>
    <row r="308" spans="1:34" x14ac:dyDescent="0.25">
      <c r="A308" t="s">
        <v>1388</v>
      </c>
      <c r="B308" t="s">
        <v>1389</v>
      </c>
      <c r="C308" t="s">
        <v>1390</v>
      </c>
      <c r="D308" t="s">
        <v>1391</v>
      </c>
      <c r="E308" t="s">
        <v>1392</v>
      </c>
      <c r="F308" t="s">
        <v>1393</v>
      </c>
      <c r="G308" t="s">
        <v>5</v>
      </c>
      <c r="H308" t="s">
        <v>65</v>
      </c>
      <c r="I308" t="s">
        <v>87</v>
      </c>
      <c r="J308" t="s">
        <v>88</v>
      </c>
      <c r="K308" t="s">
        <v>3</v>
      </c>
      <c r="L308" t="s">
        <v>4</v>
      </c>
      <c r="M308" t="s">
        <v>49</v>
      </c>
      <c r="N308" t="s">
        <v>1394</v>
      </c>
      <c r="O308" s="31" t="s">
        <v>1395</v>
      </c>
      <c r="P308">
        <v>220</v>
      </c>
      <c r="Q308" t="s">
        <v>89</v>
      </c>
      <c r="R308">
        <v>1</v>
      </c>
      <c r="S308" s="31">
        <v>59000</v>
      </c>
      <c r="T308" s="39">
        <v>70000</v>
      </c>
      <c r="U308">
        <v>0</v>
      </c>
      <c r="V308">
        <v>6500</v>
      </c>
      <c r="W308">
        <v>0</v>
      </c>
      <c r="X308" s="39">
        <v>10160</v>
      </c>
      <c r="Y308">
        <v>0</v>
      </c>
      <c r="Z308" s="31">
        <v>63500</v>
      </c>
      <c r="AA308">
        <v>8</v>
      </c>
      <c r="AB308" s="3">
        <f t="shared" si="14"/>
        <v>63500</v>
      </c>
      <c r="AC308" t="str">
        <f>IF(AB308-S308&lt;0,"YES","NO")</f>
        <v>NO</v>
      </c>
      <c r="AD308">
        <f>IF(AC308="NO",0,AB308-S308)</f>
        <v>0</v>
      </c>
      <c r="AE308" s="43">
        <v>0.08</v>
      </c>
      <c r="AF308" s="3">
        <f t="shared" si="15"/>
        <v>0</v>
      </c>
      <c r="AG308" s="45">
        <f t="shared" si="16"/>
        <v>0</v>
      </c>
      <c r="AH308" s="55"/>
    </row>
    <row r="309" spans="1:34" x14ac:dyDescent="0.25">
      <c r="A309" t="s">
        <v>1388</v>
      </c>
      <c r="B309" t="s">
        <v>1389</v>
      </c>
      <c r="C309" t="s">
        <v>1390</v>
      </c>
      <c r="D309" t="s">
        <v>1391</v>
      </c>
      <c r="E309" t="s">
        <v>1392</v>
      </c>
      <c r="F309" t="s">
        <v>1393</v>
      </c>
      <c r="G309" t="s">
        <v>5</v>
      </c>
      <c r="H309" t="s">
        <v>65</v>
      </c>
      <c r="I309" t="s">
        <v>90</v>
      </c>
      <c r="J309" t="s">
        <v>91</v>
      </c>
      <c r="K309" t="s">
        <v>3</v>
      </c>
      <c r="L309" t="s">
        <v>4</v>
      </c>
      <c r="M309" t="s">
        <v>49</v>
      </c>
      <c r="N309" t="s">
        <v>1394</v>
      </c>
      <c r="O309" s="31" t="s">
        <v>1395</v>
      </c>
      <c r="P309">
        <v>220</v>
      </c>
      <c r="Q309" t="s">
        <v>92</v>
      </c>
      <c r="R309">
        <v>1</v>
      </c>
      <c r="S309" s="31">
        <v>59000</v>
      </c>
      <c r="T309" s="39">
        <v>70000</v>
      </c>
      <c r="U309">
        <v>0</v>
      </c>
      <c r="V309">
        <v>6500</v>
      </c>
      <c r="W309">
        <v>0</v>
      </c>
      <c r="X309" s="39">
        <v>10160</v>
      </c>
      <c r="Y309">
        <v>0</v>
      </c>
      <c r="Z309" s="31">
        <v>63500</v>
      </c>
      <c r="AA309">
        <v>8</v>
      </c>
      <c r="AB309" s="3">
        <f t="shared" si="14"/>
        <v>63500</v>
      </c>
      <c r="AC309" t="str">
        <f>IF(AB309-S309&lt;0,"YES","NO")</f>
        <v>NO</v>
      </c>
      <c r="AD309">
        <f>IF(AC309="NO",0,AB309-S309)</f>
        <v>0</v>
      </c>
      <c r="AE309" s="43">
        <v>0.08</v>
      </c>
      <c r="AF309" s="3">
        <f t="shared" si="15"/>
        <v>0</v>
      </c>
      <c r="AG309" s="45">
        <f t="shared" si="16"/>
        <v>0</v>
      </c>
      <c r="AH309" s="55"/>
    </row>
    <row r="310" spans="1:34" x14ac:dyDescent="0.25">
      <c r="A310" t="s">
        <v>1388</v>
      </c>
      <c r="B310" t="s">
        <v>1389</v>
      </c>
      <c r="C310" t="s">
        <v>1390</v>
      </c>
      <c r="D310" t="s">
        <v>1391</v>
      </c>
      <c r="E310" t="s">
        <v>1392</v>
      </c>
      <c r="F310" t="s">
        <v>1393</v>
      </c>
      <c r="G310" t="s">
        <v>5</v>
      </c>
      <c r="H310" t="s">
        <v>65</v>
      </c>
      <c r="I310" t="s">
        <v>80</v>
      </c>
      <c r="J310" t="s">
        <v>81</v>
      </c>
      <c r="K310" t="s">
        <v>3</v>
      </c>
      <c r="L310" t="s">
        <v>4</v>
      </c>
      <c r="M310" t="s">
        <v>49</v>
      </c>
      <c r="N310" t="s">
        <v>1394</v>
      </c>
      <c r="O310" s="31" t="s">
        <v>1395</v>
      </c>
      <c r="P310">
        <v>220</v>
      </c>
      <c r="R310">
        <v>2</v>
      </c>
      <c r="S310" s="31">
        <v>150000</v>
      </c>
      <c r="T310" s="39">
        <v>160000</v>
      </c>
      <c r="U310">
        <v>0</v>
      </c>
      <c r="V310">
        <v>10000</v>
      </c>
      <c r="W310">
        <v>0</v>
      </c>
      <c r="X310" s="39">
        <v>24000</v>
      </c>
      <c r="Y310">
        <v>0</v>
      </c>
      <c r="Z310" s="31">
        <v>150000</v>
      </c>
      <c r="AA310">
        <v>8</v>
      </c>
      <c r="AB310" s="3">
        <f t="shared" si="14"/>
        <v>150000</v>
      </c>
      <c r="AC310" t="str">
        <f>IF(AB310-S310&lt;0,"YES","NO")</f>
        <v>NO</v>
      </c>
      <c r="AD310">
        <f>IF(AC310="NO",0,AB310-S310)</f>
        <v>0</v>
      </c>
      <c r="AE310" s="43">
        <v>0.08</v>
      </c>
      <c r="AF310" s="3">
        <f t="shared" si="15"/>
        <v>0</v>
      </c>
      <c r="AG310" s="45">
        <f t="shared" si="16"/>
        <v>0</v>
      </c>
      <c r="AH310" s="55"/>
    </row>
    <row r="311" spans="1:34" x14ac:dyDescent="0.25">
      <c r="A311" t="s">
        <v>1388</v>
      </c>
      <c r="B311" t="s">
        <v>1389</v>
      </c>
      <c r="C311" t="s">
        <v>1390</v>
      </c>
      <c r="D311" t="s">
        <v>1391</v>
      </c>
      <c r="E311" t="s">
        <v>1392</v>
      </c>
      <c r="F311" t="s">
        <v>1393</v>
      </c>
      <c r="G311" t="s">
        <v>5</v>
      </c>
      <c r="H311" t="s">
        <v>65</v>
      </c>
      <c r="I311" t="s">
        <v>71</v>
      </c>
      <c r="J311" t="s">
        <v>72</v>
      </c>
      <c r="K311" t="s">
        <v>3</v>
      </c>
      <c r="L311" t="s">
        <v>4</v>
      </c>
      <c r="M311" t="s">
        <v>49</v>
      </c>
      <c r="N311" t="s">
        <v>1394</v>
      </c>
      <c r="O311" s="31" t="s">
        <v>1395</v>
      </c>
      <c r="P311">
        <v>220</v>
      </c>
      <c r="Q311" t="s">
        <v>70</v>
      </c>
      <c r="R311">
        <v>3</v>
      </c>
      <c r="S311" s="31">
        <v>177000</v>
      </c>
      <c r="T311" s="39">
        <v>195000</v>
      </c>
      <c r="U311">
        <v>35000.01</v>
      </c>
      <c r="V311">
        <v>19500</v>
      </c>
      <c r="W311">
        <v>0</v>
      </c>
      <c r="X311" s="39">
        <v>57480</v>
      </c>
      <c r="Y311">
        <v>0</v>
      </c>
      <c r="Z311" s="31">
        <v>140499.99</v>
      </c>
      <c r="AA311">
        <v>8</v>
      </c>
      <c r="AB311" s="3">
        <f t="shared" si="14"/>
        <v>140499.99</v>
      </c>
      <c r="AC311" t="str">
        <f>IF(AB311-S311&lt;0,"YES","NO")</f>
        <v>YES</v>
      </c>
      <c r="AD311">
        <f>IF(AC311="NO",0,AB311-S311)</f>
        <v>-36500.010000000009</v>
      </c>
      <c r="AE311" s="43">
        <v>0.08</v>
      </c>
      <c r="AF311" s="3">
        <f t="shared" si="15"/>
        <v>-33796.305555555562</v>
      </c>
      <c r="AG311" s="45">
        <f t="shared" si="16"/>
        <v>-37175.936111111121</v>
      </c>
      <c r="AH311" s="55"/>
    </row>
    <row r="312" spans="1:34" x14ac:dyDescent="0.25">
      <c r="A312" t="s">
        <v>1396</v>
      </c>
      <c r="B312" t="s">
        <v>1397</v>
      </c>
      <c r="C312" t="s">
        <v>1398</v>
      </c>
      <c r="D312" t="s">
        <v>1399</v>
      </c>
      <c r="E312" t="s">
        <v>1400</v>
      </c>
      <c r="F312" t="s">
        <v>1401</v>
      </c>
      <c r="G312" t="s">
        <v>5</v>
      </c>
      <c r="H312" t="s">
        <v>65</v>
      </c>
      <c r="I312" t="s">
        <v>66</v>
      </c>
      <c r="J312" t="s">
        <v>67</v>
      </c>
      <c r="K312" t="s">
        <v>3</v>
      </c>
      <c r="L312" t="s">
        <v>4</v>
      </c>
      <c r="M312" t="s">
        <v>49</v>
      </c>
      <c r="N312" t="s">
        <v>1402</v>
      </c>
      <c r="O312" s="31" t="s">
        <v>1403</v>
      </c>
      <c r="P312">
        <v>220</v>
      </c>
      <c r="R312">
        <v>3</v>
      </c>
      <c r="S312" s="31">
        <v>225000</v>
      </c>
      <c r="T312" s="39">
        <v>240000</v>
      </c>
      <c r="U312">
        <v>35000.01</v>
      </c>
      <c r="V312">
        <v>24000</v>
      </c>
      <c r="W312">
        <v>0</v>
      </c>
      <c r="X312" s="39">
        <v>50000.01</v>
      </c>
      <c r="Y312">
        <v>0</v>
      </c>
      <c r="Z312" s="31">
        <v>180999.99</v>
      </c>
      <c r="AA312">
        <v>8</v>
      </c>
      <c r="AB312" s="3">
        <f t="shared" si="14"/>
        <v>180999.99</v>
      </c>
      <c r="AC312" t="str">
        <f>IF(AB312-S312&lt;0,"YES","NO")</f>
        <v>YES</v>
      </c>
      <c r="AD312">
        <f>IF(AC312="NO",0,AB312-S312)</f>
        <v>-44000.010000000009</v>
      </c>
      <c r="AE312" s="43">
        <v>0.08</v>
      </c>
      <c r="AF312" s="3">
        <f t="shared" si="15"/>
        <v>-40740.750000000007</v>
      </c>
      <c r="AG312" s="45">
        <f t="shared" si="16"/>
        <v>-44814.825000000012</v>
      </c>
      <c r="AH312" s="55"/>
    </row>
    <row r="313" spans="1:34" x14ac:dyDescent="0.25">
      <c r="A313" t="s">
        <v>1404</v>
      </c>
      <c r="B313" t="s">
        <v>1405</v>
      </c>
      <c r="C313" t="s">
        <v>1406</v>
      </c>
      <c r="D313" t="s">
        <v>1407</v>
      </c>
      <c r="E313" t="s">
        <v>1408</v>
      </c>
      <c r="F313" t="s">
        <v>1409</v>
      </c>
      <c r="G313" t="s">
        <v>5</v>
      </c>
      <c r="H313" t="s">
        <v>65</v>
      </c>
      <c r="I313" t="s">
        <v>66</v>
      </c>
      <c r="J313" t="s">
        <v>67</v>
      </c>
      <c r="K313" t="s">
        <v>3</v>
      </c>
      <c r="L313" t="s">
        <v>4</v>
      </c>
      <c r="M313" t="s">
        <v>49</v>
      </c>
      <c r="N313" t="s">
        <v>1410</v>
      </c>
      <c r="O313" s="31" t="s">
        <v>1411</v>
      </c>
      <c r="P313">
        <v>220</v>
      </c>
      <c r="R313">
        <v>2</v>
      </c>
      <c r="S313" s="31">
        <v>150000</v>
      </c>
      <c r="T313" s="39">
        <v>160000</v>
      </c>
      <c r="U313">
        <v>25000</v>
      </c>
      <c r="V313">
        <v>8333.34</v>
      </c>
      <c r="W313">
        <v>0</v>
      </c>
      <c r="X313" s="39">
        <v>50333.32</v>
      </c>
      <c r="Y313">
        <v>0</v>
      </c>
      <c r="Z313" s="31">
        <v>126666.66</v>
      </c>
      <c r="AA313">
        <v>8</v>
      </c>
      <c r="AB313" s="3">
        <f t="shared" si="14"/>
        <v>126666.66</v>
      </c>
      <c r="AC313" t="str">
        <f>IF(AB313-S313&lt;0,"YES","NO")</f>
        <v>YES</v>
      </c>
      <c r="AD313">
        <f>IF(AC313="NO",0,AB313-S313)</f>
        <v>-23333.339999999997</v>
      </c>
      <c r="AE313" s="43">
        <v>0.08</v>
      </c>
      <c r="AF313" s="3">
        <f t="shared" si="15"/>
        <v>-21604.944444444438</v>
      </c>
      <c r="AG313" s="45">
        <f t="shared" si="16"/>
        <v>-23765.438888888883</v>
      </c>
      <c r="AH313" s="55"/>
    </row>
    <row r="314" spans="1:34" x14ac:dyDescent="0.25">
      <c r="A314" t="s">
        <v>1404</v>
      </c>
      <c r="B314" t="s">
        <v>1405</v>
      </c>
      <c r="C314" t="s">
        <v>1406</v>
      </c>
      <c r="D314" t="s">
        <v>1407</v>
      </c>
      <c r="E314" t="s">
        <v>1408</v>
      </c>
      <c r="F314" t="s">
        <v>1409</v>
      </c>
      <c r="G314" t="s">
        <v>5</v>
      </c>
      <c r="H314" t="s">
        <v>65</v>
      </c>
      <c r="I314" t="s">
        <v>78</v>
      </c>
      <c r="J314" t="s">
        <v>79</v>
      </c>
      <c r="K314" t="s">
        <v>3</v>
      </c>
      <c r="L314" t="s">
        <v>4</v>
      </c>
      <c r="M314" t="s">
        <v>49</v>
      </c>
      <c r="N314" t="s">
        <v>1410</v>
      </c>
      <c r="O314" s="31" t="s">
        <v>1411</v>
      </c>
      <c r="P314">
        <v>220</v>
      </c>
      <c r="R314">
        <v>2</v>
      </c>
      <c r="S314" s="31">
        <v>150000</v>
      </c>
      <c r="T314" s="39">
        <v>160000</v>
      </c>
      <c r="U314">
        <v>25000</v>
      </c>
      <c r="V314">
        <v>8333.34</v>
      </c>
      <c r="W314">
        <v>0</v>
      </c>
      <c r="X314" s="39">
        <v>50333.32</v>
      </c>
      <c r="Y314">
        <v>0</v>
      </c>
      <c r="Z314" s="31">
        <v>126666.66</v>
      </c>
      <c r="AA314">
        <v>8</v>
      </c>
      <c r="AB314" s="3">
        <f t="shared" si="14"/>
        <v>126666.66</v>
      </c>
      <c r="AC314" t="str">
        <f>IF(AB314-S314&lt;0,"YES","NO")</f>
        <v>YES</v>
      </c>
      <c r="AD314">
        <f>IF(AC314="NO",0,AB314-S314)</f>
        <v>-23333.339999999997</v>
      </c>
      <c r="AE314" s="43">
        <v>0.08</v>
      </c>
      <c r="AF314" s="3">
        <f t="shared" si="15"/>
        <v>-21604.944444444438</v>
      </c>
      <c r="AG314" s="45">
        <f t="shared" si="16"/>
        <v>-23765.438888888883</v>
      </c>
      <c r="AH314" s="55"/>
    </row>
    <row r="315" spans="1:34" x14ac:dyDescent="0.25">
      <c r="A315" t="s">
        <v>1404</v>
      </c>
      <c r="B315" t="s">
        <v>1405</v>
      </c>
      <c r="C315" t="s">
        <v>1406</v>
      </c>
      <c r="D315" t="s">
        <v>1407</v>
      </c>
      <c r="E315" t="s">
        <v>1408</v>
      </c>
      <c r="F315" t="s">
        <v>1409</v>
      </c>
      <c r="G315" t="s">
        <v>5</v>
      </c>
      <c r="H315" t="s">
        <v>65</v>
      </c>
      <c r="I315" t="s">
        <v>80</v>
      </c>
      <c r="J315" t="s">
        <v>81</v>
      </c>
      <c r="K315" t="s">
        <v>3</v>
      </c>
      <c r="L315" t="s">
        <v>4</v>
      </c>
      <c r="M315" t="s">
        <v>49</v>
      </c>
      <c r="N315" t="s">
        <v>1410</v>
      </c>
      <c r="O315" s="31" t="s">
        <v>1411</v>
      </c>
      <c r="P315">
        <v>220</v>
      </c>
      <c r="R315">
        <v>2</v>
      </c>
      <c r="S315" s="31">
        <v>150000</v>
      </c>
      <c r="T315" s="39">
        <v>160000</v>
      </c>
      <c r="U315">
        <v>25000</v>
      </c>
      <c r="V315">
        <v>8333.34</v>
      </c>
      <c r="W315">
        <v>0</v>
      </c>
      <c r="X315" s="39">
        <v>50333.32</v>
      </c>
      <c r="Y315">
        <v>0</v>
      </c>
      <c r="Z315" s="31">
        <v>126666.66</v>
      </c>
      <c r="AA315">
        <v>8</v>
      </c>
      <c r="AB315" s="3">
        <f t="shared" si="14"/>
        <v>126666.66</v>
      </c>
      <c r="AC315" t="str">
        <f>IF(AB315-S315&lt;0,"YES","NO")</f>
        <v>YES</v>
      </c>
      <c r="AD315">
        <f>IF(AC315="NO",0,AB315-S315)</f>
        <v>-23333.339999999997</v>
      </c>
      <c r="AE315" s="43">
        <v>0.08</v>
      </c>
      <c r="AF315" s="3">
        <f t="shared" si="15"/>
        <v>-21604.944444444438</v>
      </c>
      <c r="AG315" s="45">
        <f t="shared" si="16"/>
        <v>-23765.438888888883</v>
      </c>
      <c r="AH315" s="55"/>
    </row>
    <row r="316" spans="1:34" x14ac:dyDescent="0.25">
      <c r="A316" t="s">
        <v>1412</v>
      </c>
      <c r="B316" t="s">
        <v>1413</v>
      </c>
      <c r="C316" t="s">
        <v>1414</v>
      </c>
      <c r="D316" t="s">
        <v>1415</v>
      </c>
      <c r="E316" t="s">
        <v>1416</v>
      </c>
      <c r="F316" t="s">
        <v>1417</v>
      </c>
      <c r="G316" t="s">
        <v>5</v>
      </c>
      <c r="H316" t="s">
        <v>65</v>
      </c>
      <c r="I316" t="s">
        <v>109</v>
      </c>
      <c r="J316" t="s">
        <v>110</v>
      </c>
      <c r="K316" t="s">
        <v>3</v>
      </c>
      <c r="L316" t="s">
        <v>4</v>
      </c>
      <c r="M316" t="s">
        <v>49</v>
      </c>
      <c r="N316" t="s">
        <v>1418</v>
      </c>
      <c r="O316" s="31" t="s">
        <v>1419</v>
      </c>
      <c r="P316">
        <v>380</v>
      </c>
      <c r="R316">
        <v>2</v>
      </c>
      <c r="S316" s="31">
        <v>132000</v>
      </c>
      <c r="T316" s="39">
        <v>140000</v>
      </c>
      <c r="U316">
        <v>22277</v>
      </c>
      <c r="V316">
        <v>8000</v>
      </c>
      <c r="W316">
        <v>0</v>
      </c>
      <c r="X316" s="39">
        <v>44221</v>
      </c>
      <c r="Y316">
        <v>0</v>
      </c>
      <c r="Z316" s="31">
        <v>109723</v>
      </c>
      <c r="AA316">
        <v>8</v>
      </c>
      <c r="AB316" s="3">
        <f t="shared" si="14"/>
        <v>109723</v>
      </c>
      <c r="AC316" t="str">
        <f>IF(AB316-S316&lt;0,"YES","NO")</f>
        <v>YES</v>
      </c>
      <c r="AD316">
        <f>IF(AC316="NO",0,AB316-S316)</f>
        <v>-22277</v>
      </c>
      <c r="AE316" s="43">
        <v>0.08</v>
      </c>
      <c r="AF316" s="3">
        <f t="shared" si="15"/>
        <v>-20626.85185185185</v>
      </c>
      <c r="AG316" s="45">
        <f t="shared" si="16"/>
        <v>-22689.537037037036</v>
      </c>
      <c r="AH316" s="55"/>
    </row>
    <row r="317" spans="1:34" x14ac:dyDescent="0.25">
      <c r="A317" t="s">
        <v>1412</v>
      </c>
      <c r="B317" t="s">
        <v>1413</v>
      </c>
      <c r="C317" t="s">
        <v>1414</v>
      </c>
      <c r="D317" t="s">
        <v>1415</v>
      </c>
      <c r="E317" t="s">
        <v>1416</v>
      </c>
      <c r="F317" t="s">
        <v>1417</v>
      </c>
      <c r="G317" t="s">
        <v>5</v>
      </c>
      <c r="H317" t="s">
        <v>65</v>
      </c>
      <c r="I317" t="s">
        <v>87</v>
      </c>
      <c r="J317" t="s">
        <v>88</v>
      </c>
      <c r="K317" t="s">
        <v>3</v>
      </c>
      <c r="L317" t="s">
        <v>4</v>
      </c>
      <c r="M317" t="s">
        <v>49</v>
      </c>
      <c r="N317" t="s">
        <v>1418</v>
      </c>
      <c r="O317" s="31" t="s">
        <v>1419</v>
      </c>
      <c r="P317">
        <v>220</v>
      </c>
      <c r="Q317" t="s">
        <v>89</v>
      </c>
      <c r="R317">
        <v>3</v>
      </c>
      <c r="S317" s="31">
        <v>177000</v>
      </c>
      <c r="T317" s="39">
        <v>210000</v>
      </c>
      <c r="U317">
        <v>32406</v>
      </c>
      <c r="V317">
        <v>18000</v>
      </c>
      <c r="W317">
        <v>0</v>
      </c>
      <c r="X317" s="39">
        <v>64325.01</v>
      </c>
      <c r="Y317">
        <v>0</v>
      </c>
      <c r="Z317" s="31">
        <v>159594</v>
      </c>
      <c r="AA317">
        <v>8</v>
      </c>
      <c r="AB317" s="3">
        <f t="shared" si="14"/>
        <v>159594</v>
      </c>
      <c r="AC317" t="str">
        <f>IF(AB317-S317&lt;0,"YES","NO")</f>
        <v>YES</v>
      </c>
      <c r="AD317">
        <f>IF(AC317="NO",0,AB317-S317)</f>
        <v>-17406</v>
      </c>
      <c r="AE317" s="43">
        <v>0.08</v>
      </c>
      <c r="AF317" s="3">
        <f t="shared" si="15"/>
        <v>-16116.666666666666</v>
      </c>
      <c r="AG317" s="45">
        <f t="shared" si="16"/>
        <v>-17728.333333333336</v>
      </c>
      <c r="AH317" s="55"/>
    </row>
    <row r="318" spans="1:34" x14ac:dyDescent="0.25">
      <c r="A318" t="s">
        <v>1412</v>
      </c>
      <c r="B318" t="s">
        <v>1413</v>
      </c>
      <c r="C318" t="s">
        <v>1414</v>
      </c>
      <c r="D318" t="s">
        <v>1415</v>
      </c>
      <c r="E318" t="s">
        <v>1416</v>
      </c>
      <c r="F318" t="s">
        <v>1417</v>
      </c>
      <c r="G318" t="s">
        <v>5</v>
      </c>
      <c r="H318" t="s">
        <v>65</v>
      </c>
      <c r="I318" t="s">
        <v>78</v>
      </c>
      <c r="J318" t="s">
        <v>79</v>
      </c>
      <c r="K318" t="s">
        <v>3</v>
      </c>
      <c r="L318" t="s">
        <v>4</v>
      </c>
      <c r="M318" t="s">
        <v>49</v>
      </c>
      <c r="N318" t="s">
        <v>1418</v>
      </c>
      <c r="O318" s="31" t="s">
        <v>1419</v>
      </c>
      <c r="P318">
        <v>220</v>
      </c>
      <c r="R318">
        <v>2</v>
      </c>
      <c r="S318" s="31">
        <v>150000</v>
      </c>
      <c r="T318" s="39">
        <v>160000</v>
      </c>
      <c r="U318">
        <v>25317</v>
      </c>
      <c r="V318">
        <v>10000</v>
      </c>
      <c r="W318">
        <v>0</v>
      </c>
      <c r="X318" s="39">
        <v>50254</v>
      </c>
      <c r="Y318">
        <v>0</v>
      </c>
      <c r="Z318" s="31">
        <v>124683</v>
      </c>
      <c r="AA318">
        <v>8</v>
      </c>
      <c r="AB318" s="3">
        <f t="shared" si="14"/>
        <v>124683</v>
      </c>
      <c r="AC318" t="str">
        <f>IF(AB318-S318&lt;0,"YES","NO")</f>
        <v>YES</v>
      </c>
      <c r="AD318">
        <f>IF(AC318="NO",0,AB318-S318)</f>
        <v>-25317</v>
      </c>
      <c r="AE318" s="43">
        <v>0.08</v>
      </c>
      <c r="AF318" s="3">
        <f t="shared" si="15"/>
        <v>-23441.666666666664</v>
      </c>
      <c r="AG318" s="45">
        <f t="shared" si="16"/>
        <v>-25785.833333333332</v>
      </c>
      <c r="AH318" s="55"/>
    </row>
    <row r="319" spans="1:34" x14ac:dyDescent="0.25">
      <c r="A319" t="s">
        <v>1420</v>
      </c>
      <c r="B319" t="s">
        <v>1421</v>
      </c>
      <c r="C319" t="s">
        <v>1422</v>
      </c>
      <c r="D319" t="s">
        <v>1423</v>
      </c>
      <c r="E319" t="s">
        <v>1424</v>
      </c>
      <c r="F319" t="s">
        <v>1425</v>
      </c>
      <c r="G319" t="s">
        <v>5</v>
      </c>
      <c r="H319" t="s">
        <v>65</v>
      </c>
      <c r="I319" t="s">
        <v>66</v>
      </c>
      <c r="J319" t="s">
        <v>67</v>
      </c>
      <c r="K319" t="s">
        <v>3</v>
      </c>
      <c r="L319" t="s">
        <v>4</v>
      </c>
      <c r="M319" t="s">
        <v>49</v>
      </c>
      <c r="N319" t="s">
        <v>1426</v>
      </c>
      <c r="O319" s="31" t="s">
        <v>1427</v>
      </c>
      <c r="P319">
        <v>220</v>
      </c>
      <c r="R319">
        <v>2</v>
      </c>
      <c r="S319" s="31">
        <v>150000</v>
      </c>
      <c r="T319" s="39">
        <v>160000</v>
      </c>
      <c r="U319">
        <v>20000</v>
      </c>
      <c r="V319">
        <v>16000</v>
      </c>
      <c r="W319">
        <v>0</v>
      </c>
      <c r="X319" s="39">
        <v>40000</v>
      </c>
      <c r="Y319">
        <v>0</v>
      </c>
      <c r="Z319" s="31">
        <v>124000</v>
      </c>
      <c r="AA319">
        <v>8</v>
      </c>
      <c r="AB319" s="3">
        <f t="shared" si="14"/>
        <v>124000</v>
      </c>
      <c r="AC319" t="str">
        <f>IF(AB319-S319&lt;0,"YES","NO")</f>
        <v>YES</v>
      </c>
      <c r="AD319">
        <f>IF(AC319="NO",0,AB319-S319)</f>
        <v>-26000</v>
      </c>
      <c r="AE319" s="43">
        <v>0.08</v>
      </c>
      <c r="AF319" s="3">
        <f t="shared" si="15"/>
        <v>-24074.074074074073</v>
      </c>
      <c r="AG319" s="45">
        <f t="shared" si="16"/>
        <v>-26481.481481481482</v>
      </c>
      <c r="AH319" s="55"/>
    </row>
    <row r="320" spans="1:34" x14ac:dyDescent="0.25">
      <c r="A320" t="s">
        <v>1428</v>
      </c>
      <c r="B320" t="s">
        <v>1429</v>
      </c>
      <c r="C320" t="s">
        <v>1430</v>
      </c>
      <c r="D320" t="s">
        <v>1431</v>
      </c>
      <c r="E320" t="s">
        <v>1432</v>
      </c>
      <c r="F320" t="s">
        <v>1433</v>
      </c>
      <c r="G320" t="s">
        <v>5</v>
      </c>
      <c r="H320" t="s">
        <v>65</v>
      </c>
      <c r="I320" t="s">
        <v>66</v>
      </c>
      <c r="J320" t="s">
        <v>67</v>
      </c>
      <c r="K320" t="s">
        <v>3</v>
      </c>
      <c r="L320" t="s">
        <v>4</v>
      </c>
      <c r="M320" t="s">
        <v>49</v>
      </c>
      <c r="N320" t="s">
        <v>1434</v>
      </c>
      <c r="O320" s="31" t="s">
        <v>1435</v>
      </c>
      <c r="P320">
        <v>220</v>
      </c>
      <c r="R320">
        <v>6</v>
      </c>
      <c r="S320" s="31">
        <v>450000</v>
      </c>
      <c r="T320" s="39">
        <v>480000</v>
      </c>
      <c r="U320">
        <v>75000</v>
      </c>
      <c r="V320">
        <v>48000</v>
      </c>
      <c r="W320">
        <v>0</v>
      </c>
      <c r="X320" s="39">
        <v>146400</v>
      </c>
      <c r="Y320">
        <v>0</v>
      </c>
      <c r="Z320" s="31">
        <v>357000</v>
      </c>
      <c r="AA320">
        <v>8</v>
      </c>
      <c r="AB320" s="3">
        <f t="shared" si="14"/>
        <v>357000</v>
      </c>
      <c r="AC320" t="str">
        <f>IF(AB320-S320&lt;0,"YES","NO")</f>
        <v>YES</v>
      </c>
      <c r="AD320">
        <f>IF(AC320="NO",0,AB320-S320)</f>
        <v>-93000</v>
      </c>
      <c r="AE320" s="43">
        <v>0.08</v>
      </c>
      <c r="AF320" s="3">
        <f t="shared" si="15"/>
        <v>-86111.111111111109</v>
      </c>
      <c r="AG320" s="45">
        <f t="shared" si="16"/>
        <v>-94722.222222222234</v>
      </c>
      <c r="AH320" s="55"/>
    </row>
    <row r="321" spans="1:34" x14ac:dyDescent="0.25">
      <c r="A321" t="s">
        <v>1436</v>
      </c>
      <c r="B321" t="s">
        <v>1437</v>
      </c>
      <c r="C321" t="s">
        <v>1438</v>
      </c>
      <c r="D321" t="s">
        <v>1439</v>
      </c>
      <c r="E321" t="s">
        <v>1440</v>
      </c>
      <c r="F321" t="s">
        <v>1441</v>
      </c>
      <c r="G321" t="s">
        <v>5</v>
      </c>
      <c r="H321" t="s">
        <v>65</v>
      </c>
      <c r="I321" t="s">
        <v>66</v>
      </c>
      <c r="J321" t="s">
        <v>67</v>
      </c>
      <c r="K321" t="s">
        <v>3</v>
      </c>
      <c r="L321" t="s">
        <v>4</v>
      </c>
      <c r="M321" t="s">
        <v>49</v>
      </c>
      <c r="N321" t="s">
        <v>1442</v>
      </c>
      <c r="O321" s="31" t="s">
        <v>1443</v>
      </c>
      <c r="P321">
        <v>220</v>
      </c>
      <c r="R321">
        <v>6</v>
      </c>
      <c r="S321" s="31">
        <v>450000</v>
      </c>
      <c r="T321" s="39">
        <v>480000</v>
      </c>
      <c r="U321">
        <v>75000</v>
      </c>
      <c r="V321">
        <v>48000</v>
      </c>
      <c r="W321">
        <v>0</v>
      </c>
      <c r="X321" s="39">
        <v>135690</v>
      </c>
      <c r="Y321">
        <v>0</v>
      </c>
      <c r="Z321" s="31">
        <v>357000</v>
      </c>
      <c r="AA321">
        <v>8</v>
      </c>
      <c r="AB321" s="3">
        <f t="shared" si="14"/>
        <v>357000</v>
      </c>
      <c r="AC321" t="str">
        <f>IF(AB321-S321&lt;0,"YES","NO")</f>
        <v>YES</v>
      </c>
      <c r="AD321">
        <f>IF(AC321="NO",0,AB321-S321)</f>
        <v>-93000</v>
      </c>
      <c r="AE321" s="43">
        <v>0.08</v>
      </c>
      <c r="AF321" s="3">
        <f t="shared" si="15"/>
        <v>-86111.111111111109</v>
      </c>
      <c r="AG321" s="45">
        <f t="shared" si="16"/>
        <v>-94722.222222222234</v>
      </c>
      <c r="AH321" s="55"/>
    </row>
    <row r="322" spans="1:34" x14ac:dyDescent="0.25">
      <c r="A322" t="s">
        <v>1444</v>
      </c>
      <c r="B322" t="s">
        <v>1445</v>
      </c>
      <c r="C322" t="s">
        <v>1446</v>
      </c>
      <c r="D322" t="s">
        <v>1447</v>
      </c>
      <c r="E322" t="s">
        <v>1448</v>
      </c>
      <c r="F322" t="s">
        <v>1449</v>
      </c>
      <c r="G322" t="s">
        <v>5</v>
      </c>
      <c r="H322" t="s">
        <v>65</v>
      </c>
      <c r="I322" t="s">
        <v>71</v>
      </c>
      <c r="J322" t="s">
        <v>72</v>
      </c>
      <c r="K322" t="s">
        <v>3</v>
      </c>
      <c r="L322" t="s">
        <v>4</v>
      </c>
      <c r="M322" t="s">
        <v>49</v>
      </c>
      <c r="N322" t="s">
        <v>1450</v>
      </c>
      <c r="O322" s="31" t="s">
        <v>1451</v>
      </c>
      <c r="P322">
        <v>220</v>
      </c>
      <c r="Q322" t="s">
        <v>70</v>
      </c>
      <c r="R322">
        <v>9</v>
      </c>
      <c r="S322" s="31">
        <v>531000</v>
      </c>
      <c r="T322" s="39">
        <v>585000</v>
      </c>
      <c r="U322">
        <v>35000.01</v>
      </c>
      <c r="V322">
        <v>58500</v>
      </c>
      <c r="W322">
        <v>0</v>
      </c>
      <c r="X322" s="39">
        <v>133299.99</v>
      </c>
      <c r="Y322">
        <v>0</v>
      </c>
      <c r="Z322" s="31">
        <v>491499.99</v>
      </c>
      <c r="AA322">
        <v>8</v>
      </c>
      <c r="AB322" s="3">
        <f t="shared" si="14"/>
        <v>491499.99</v>
      </c>
      <c r="AC322" t="str">
        <f>IF(AB322-S322&lt;0,"YES","NO")</f>
        <v>YES</v>
      </c>
      <c r="AD322">
        <f>IF(AC322="NO",0,AB322-S322)</f>
        <v>-39500.010000000009</v>
      </c>
      <c r="AE322" s="43">
        <v>0.08</v>
      </c>
      <c r="AF322" s="3">
        <f t="shared" si="15"/>
        <v>-36574.083333333343</v>
      </c>
      <c r="AG322" s="45">
        <f t="shared" si="16"/>
        <v>-40231.491666666683</v>
      </c>
      <c r="AH322" s="55"/>
    </row>
    <row r="323" spans="1:34" x14ac:dyDescent="0.25">
      <c r="A323" t="s">
        <v>1452</v>
      </c>
      <c r="B323" t="s">
        <v>1453</v>
      </c>
      <c r="C323" t="s">
        <v>1454</v>
      </c>
      <c r="D323" t="s">
        <v>1455</v>
      </c>
      <c r="E323" t="s">
        <v>1456</v>
      </c>
      <c r="F323" t="s">
        <v>1457</v>
      </c>
      <c r="G323" t="s">
        <v>5</v>
      </c>
      <c r="H323" t="s">
        <v>65</v>
      </c>
      <c r="I323" t="s">
        <v>82</v>
      </c>
      <c r="J323" t="s">
        <v>83</v>
      </c>
      <c r="K323" t="s">
        <v>3</v>
      </c>
      <c r="L323" t="s">
        <v>4</v>
      </c>
      <c r="M323" t="s">
        <v>49</v>
      </c>
      <c r="N323" t="s">
        <v>1458</v>
      </c>
      <c r="O323" s="31" t="s">
        <v>1459</v>
      </c>
      <c r="P323">
        <v>220</v>
      </c>
      <c r="R323">
        <v>2</v>
      </c>
      <c r="S323" s="31">
        <v>150000</v>
      </c>
      <c r="T323" s="39">
        <v>160000</v>
      </c>
      <c r="U323">
        <v>20000</v>
      </c>
      <c r="V323">
        <v>10000</v>
      </c>
      <c r="W323">
        <v>0</v>
      </c>
      <c r="X323" s="39">
        <v>46000</v>
      </c>
      <c r="Y323">
        <v>0</v>
      </c>
      <c r="Z323" s="31">
        <v>130000</v>
      </c>
      <c r="AA323">
        <v>8</v>
      </c>
      <c r="AB323" s="3">
        <f t="shared" si="14"/>
        <v>130000</v>
      </c>
      <c r="AC323" t="str">
        <f>IF(AB323-S323&lt;0,"YES","NO")</f>
        <v>YES</v>
      </c>
      <c r="AD323">
        <f>IF(AC323="NO",0,AB323-S323)</f>
        <v>-20000</v>
      </c>
      <c r="AE323" s="43">
        <v>0.08</v>
      </c>
      <c r="AF323" s="3">
        <f t="shared" si="15"/>
        <v>-18518.518518518518</v>
      </c>
      <c r="AG323" s="45">
        <f t="shared" si="16"/>
        <v>-20370.370370370372</v>
      </c>
      <c r="AH323" s="55"/>
    </row>
    <row r="324" spans="1:34" x14ac:dyDescent="0.25">
      <c r="A324" t="s">
        <v>1460</v>
      </c>
      <c r="B324" t="s">
        <v>1461</v>
      </c>
      <c r="C324" t="s">
        <v>1462</v>
      </c>
      <c r="D324" t="s">
        <v>1463</v>
      </c>
      <c r="E324" t="s">
        <v>1464</v>
      </c>
      <c r="F324" t="s">
        <v>1465</v>
      </c>
      <c r="G324" t="s">
        <v>5</v>
      </c>
      <c r="H324" t="s">
        <v>65</v>
      </c>
      <c r="I324" t="s">
        <v>71</v>
      </c>
      <c r="J324" t="s">
        <v>72</v>
      </c>
      <c r="K324" t="s">
        <v>3</v>
      </c>
      <c r="L324" t="s">
        <v>4</v>
      </c>
      <c r="M324" t="s">
        <v>49</v>
      </c>
      <c r="N324" t="s">
        <v>1466</v>
      </c>
      <c r="O324" s="31" t="s">
        <v>1467</v>
      </c>
      <c r="P324">
        <v>220</v>
      </c>
      <c r="Q324" t="s">
        <v>70</v>
      </c>
      <c r="R324">
        <v>9</v>
      </c>
      <c r="S324" s="31">
        <v>531000</v>
      </c>
      <c r="T324" s="39">
        <v>585000</v>
      </c>
      <c r="U324">
        <v>35000.01</v>
      </c>
      <c r="V324">
        <v>58500</v>
      </c>
      <c r="W324">
        <v>0</v>
      </c>
      <c r="X324" s="39">
        <v>133299.99</v>
      </c>
      <c r="Y324">
        <v>0</v>
      </c>
      <c r="Z324" s="31">
        <v>491499.99</v>
      </c>
      <c r="AA324">
        <v>8</v>
      </c>
      <c r="AB324" s="3">
        <f t="shared" si="14"/>
        <v>491499.99</v>
      </c>
      <c r="AC324" t="str">
        <f>IF(AB324-S324&lt;0,"YES","NO")</f>
        <v>YES</v>
      </c>
      <c r="AD324">
        <f>IF(AC324="NO",0,AB324-S324)</f>
        <v>-39500.010000000009</v>
      </c>
      <c r="AE324" s="43">
        <v>0.08</v>
      </c>
      <c r="AF324" s="3">
        <f t="shared" si="15"/>
        <v>-36574.083333333343</v>
      </c>
      <c r="AG324" s="45">
        <f t="shared" si="16"/>
        <v>-40231.491666666683</v>
      </c>
      <c r="AH324" s="55"/>
    </row>
    <row r="325" spans="1:34" x14ac:dyDescent="0.25">
      <c r="A325" t="s">
        <v>1468</v>
      </c>
      <c r="B325" t="s">
        <v>1469</v>
      </c>
      <c r="C325" t="s">
        <v>1470</v>
      </c>
      <c r="D325" t="s">
        <v>1471</v>
      </c>
      <c r="E325" t="s">
        <v>1472</v>
      </c>
      <c r="F325" t="s">
        <v>1473</v>
      </c>
      <c r="G325" t="s">
        <v>5</v>
      </c>
      <c r="H325" t="s">
        <v>65</v>
      </c>
      <c r="I325" t="s">
        <v>71</v>
      </c>
      <c r="J325" t="s">
        <v>72</v>
      </c>
      <c r="K325" t="s">
        <v>3</v>
      </c>
      <c r="L325" t="s">
        <v>4</v>
      </c>
      <c r="M325" t="s">
        <v>49</v>
      </c>
      <c r="N325" t="s">
        <v>1474</v>
      </c>
      <c r="O325" s="31" t="s">
        <v>1475</v>
      </c>
      <c r="P325">
        <v>220</v>
      </c>
      <c r="Q325" t="s">
        <v>70</v>
      </c>
      <c r="R325">
        <v>9</v>
      </c>
      <c r="S325" s="31">
        <v>531000</v>
      </c>
      <c r="T325" s="39">
        <v>585000</v>
      </c>
      <c r="U325">
        <v>35000.01</v>
      </c>
      <c r="V325">
        <v>58500</v>
      </c>
      <c r="W325">
        <v>0</v>
      </c>
      <c r="X325" s="39">
        <v>133299.99</v>
      </c>
      <c r="Y325">
        <v>0</v>
      </c>
      <c r="Z325" s="31">
        <v>491499.99</v>
      </c>
      <c r="AA325">
        <v>8</v>
      </c>
      <c r="AB325" s="3">
        <f t="shared" si="14"/>
        <v>491499.99</v>
      </c>
      <c r="AC325" t="str">
        <f>IF(AB325-S325&lt;0,"YES","NO")</f>
        <v>YES</v>
      </c>
      <c r="AD325">
        <f>IF(AC325="NO",0,AB325-S325)</f>
        <v>-39500.010000000009</v>
      </c>
      <c r="AE325" s="43">
        <v>0.08</v>
      </c>
      <c r="AF325" s="3">
        <f t="shared" si="15"/>
        <v>-36574.083333333343</v>
      </c>
      <c r="AG325" s="45">
        <f t="shared" si="16"/>
        <v>-40231.491666666683</v>
      </c>
      <c r="AH325" s="55"/>
    </row>
    <row r="326" spans="1:34" x14ac:dyDescent="0.25">
      <c r="A326" t="s">
        <v>1476</v>
      </c>
      <c r="B326" t="s">
        <v>1477</v>
      </c>
      <c r="C326" t="s">
        <v>1478</v>
      </c>
      <c r="D326" t="s">
        <v>1479</v>
      </c>
      <c r="E326" t="s">
        <v>1480</v>
      </c>
      <c r="F326" t="s">
        <v>1481</v>
      </c>
      <c r="G326" t="s">
        <v>5</v>
      </c>
      <c r="H326" t="s">
        <v>65</v>
      </c>
      <c r="I326" t="s">
        <v>71</v>
      </c>
      <c r="J326" t="s">
        <v>72</v>
      </c>
      <c r="K326" t="s">
        <v>3</v>
      </c>
      <c r="L326" t="s">
        <v>4</v>
      </c>
      <c r="M326" t="s">
        <v>49</v>
      </c>
      <c r="N326" t="s">
        <v>1482</v>
      </c>
      <c r="O326" s="31" t="s">
        <v>1483</v>
      </c>
      <c r="P326">
        <v>220</v>
      </c>
      <c r="Q326" t="s">
        <v>70</v>
      </c>
      <c r="R326">
        <v>9</v>
      </c>
      <c r="S326" s="31">
        <v>531000</v>
      </c>
      <c r="T326" s="39">
        <v>585000</v>
      </c>
      <c r="U326">
        <v>35000.01</v>
      </c>
      <c r="V326">
        <v>58500</v>
      </c>
      <c r="W326">
        <v>0</v>
      </c>
      <c r="X326" s="39">
        <v>133299.99</v>
      </c>
      <c r="Y326">
        <v>0</v>
      </c>
      <c r="Z326" s="31">
        <v>491499.99</v>
      </c>
      <c r="AA326">
        <v>8</v>
      </c>
      <c r="AB326" s="3">
        <f t="shared" ref="AB326:AB389" si="17">Z326</f>
        <v>491499.99</v>
      </c>
      <c r="AC326" t="str">
        <f>IF(AB326-S326&lt;0,"YES","NO")</f>
        <v>YES</v>
      </c>
      <c r="AD326">
        <f>IF(AC326="NO",0,AB326-S326)</f>
        <v>-39500.010000000009</v>
      </c>
      <c r="AE326" s="43">
        <v>0.08</v>
      </c>
      <c r="AF326" s="3">
        <f t="shared" ref="AF326:AF389" si="18">AD326/(1+AE326)</f>
        <v>-36574.083333333343</v>
      </c>
      <c r="AG326" s="45">
        <f t="shared" ref="AG326:AG389" si="19">AF326*1.1</f>
        <v>-40231.491666666683</v>
      </c>
      <c r="AH326" s="55"/>
    </row>
    <row r="327" spans="1:34" x14ac:dyDescent="0.25">
      <c r="A327" t="s">
        <v>1484</v>
      </c>
      <c r="B327" t="s">
        <v>1485</v>
      </c>
      <c r="C327" t="s">
        <v>1486</v>
      </c>
      <c r="D327" t="s">
        <v>1487</v>
      </c>
      <c r="E327" t="s">
        <v>1488</v>
      </c>
      <c r="F327" t="s">
        <v>1489</v>
      </c>
      <c r="G327" t="s">
        <v>5</v>
      </c>
      <c r="H327" t="s">
        <v>65</v>
      </c>
      <c r="I327" t="s">
        <v>71</v>
      </c>
      <c r="J327" t="s">
        <v>72</v>
      </c>
      <c r="K327" t="s">
        <v>3</v>
      </c>
      <c r="L327" t="s">
        <v>4</v>
      </c>
      <c r="M327" t="s">
        <v>49</v>
      </c>
      <c r="N327" t="s">
        <v>1490</v>
      </c>
      <c r="O327" s="31" t="s">
        <v>1491</v>
      </c>
      <c r="P327">
        <v>220</v>
      </c>
      <c r="Q327" t="s">
        <v>70</v>
      </c>
      <c r="R327">
        <v>9</v>
      </c>
      <c r="S327" s="31">
        <v>531000</v>
      </c>
      <c r="T327" s="39">
        <v>585000</v>
      </c>
      <c r="U327">
        <v>35000.01</v>
      </c>
      <c r="V327">
        <v>58500</v>
      </c>
      <c r="W327">
        <v>0</v>
      </c>
      <c r="X327" s="39">
        <v>133299.99</v>
      </c>
      <c r="Y327">
        <v>0</v>
      </c>
      <c r="Z327" s="31">
        <v>491499.99</v>
      </c>
      <c r="AA327">
        <v>8</v>
      </c>
      <c r="AB327" s="3">
        <f t="shared" si="17"/>
        <v>491499.99</v>
      </c>
      <c r="AC327" t="str">
        <f>IF(AB327-S327&lt;0,"YES","NO")</f>
        <v>YES</v>
      </c>
      <c r="AD327">
        <f>IF(AC327="NO",0,AB327-S327)</f>
        <v>-39500.010000000009</v>
      </c>
      <c r="AE327" s="43">
        <v>0.08</v>
      </c>
      <c r="AF327" s="3">
        <f t="shared" si="18"/>
        <v>-36574.083333333343</v>
      </c>
      <c r="AG327" s="45">
        <f t="shared" si="19"/>
        <v>-40231.491666666683</v>
      </c>
      <c r="AH327" s="55"/>
    </row>
    <row r="328" spans="1:34" x14ac:dyDescent="0.25">
      <c r="A328" t="s">
        <v>1492</v>
      </c>
      <c r="B328" t="s">
        <v>1493</v>
      </c>
      <c r="C328" t="s">
        <v>1494</v>
      </c>
      <c r="D328" t="s">
        <v>1495</v>
      </c>
      <c r="E328" t="s">
        <v>1496</v>
      </c>
      <c r="F328" t="s">
        <v>1497</v>
      </c>
      <c r="G328" t="s">
        <v>5</v>
      </c>
      <c r="H328" t="s">
        <v>65</v>
      </c>
      <c r="I328" t="s">
        <v>82</v>
      </c>
      <c r="J328" t="s">
        <v>83</v>
      </c>
      <c r="K328" t="s">
        <v>3</v>
      </c>
      <c r="L328" t="s">
        <v>4</v>
      </c>
      <c r="M328" t="s">
        <v>49</v>
      </c>
      <c r="N328" t="s">
        <v>1498</v>
      </c>
      <c r="O328" s="31" t="s">
        <v>1499</v>
      </c>
      <c r="P328">
        <v>220</v>
      </c>
      <c r="R328">
        <v>6</v>
      </c>
      <c r="S328" s="31">
        <v>450000</v>
      </c>
      <c r="T328" s="39">
        <v>480000</v>
      </c>
      <c r="U328">
        <v>75000</v>
      </c>
      <c r="V328">
        <v>25000.02</v>
      </c>
      <c r="W328">
        <v>0</v>
      </c>
      <c r="X328" s="39">
        <v>135799.98000000001</v>
      </c>
      <c r="Y328">
        <v>0</v>
      </c>
      <c r="Z328" s="31">
        <v>379999.98</v>
      </c>
      <c r="AA328">
        <v>8</v>
      </c>
      <c r="AB328" s="3">
        <f t="shared" si="17"/>
        <v>379999.98</v>
      </c>
      <c r="AC328" t="str">
        <f>IF(AB328-S328&lt;0,"YES","NO")</f>
        <v>YES</v>
      </c>
      <c r="AD328">
        <f>IF(AC328="NO",0,AB328-S328)</f>
        <v>-70000.020000000019</v>
      </c>
      <c r="AE328" s="43">
        <v>0.08</v>
      </c>
      <c r="AF328" s="3">
        <f t="shared" si="18"/>
        <v>-64814.833333333343</v>
      </c>
      <c r="AG328" s="45">
        <f t="shared" si="19"/>
        <v>-71296.31666666668</v>
      </c>
      <c r="AH328" s="55"/>
    </row>
    <row r="329" spans="1:34" x14ac:dyDescent="0.25">
      <c r="A329" t="s">
        <v>1500</v>
      </c>
      <c r="B329" t="s">
        <v>1501</v>
      </c>
      <c r="C329" t="s">
        <v>1502</v>
      </c>
      <c r="D329" t="s">
        <v>1503</v>
      </c>
      <c r="E329" t="s">
        <v>1504</v>
      </c>
      <c r="F329" t="s">
        <v>1505</v>
      </c>
      <c r="G329" t="s">
        <v>5</v>
      </c>
      <c r="H329" t="s">
        <v>65</v>
      </c>
      <c r="I329" t="s">
        <v>66</v>
      </c>
      <c r="J329" t="s">
        <v>67</v>
      </c>
      <c r="K329" t="s">
        <v>3</v>
      </c>
      <c r="L329" t="s">
        <v>4</v>
      </c>
      <c r="M329" t="s">
        <v>49</v>
      </c>
      <c r="N329" t="s">
        <v>1506</v>
      </c>
      <c r="O329" s="31" t="s">
        <v>1507</v>
      </c>
      <c r="P329">
        <v>220</v>
      </c>
      <c r="R329">
        <v>3</v>
      </c>
      <c r="S329" s="31">
        <v>225000</v>
      </c>
      <c r="T329" s="39">
        <v>240000</v>
      </c>
      <c r="U329">
        <v>35000.01</v>
      </c>
      <c r="V329">
        <v>24000</v>
      </c>
      <c r="W329">
        <v>0</v>
      </c>
      <c r="X329" s="39">
        <v>71199.990000000005</v>
      </c>
      <c r="Y329">
        <v>0</v>
      </c>
      <c r="Z329" s="31">
        <v>180999.99</v>
      </c>
      <c r="AA329">
        <v>8</v>
      </c>
      <c r="AB329" s="3">
        <f t="shared" si="17"/>
        <v>180999.99</v>
      </c>
      <c r="AC329" t="str">
        <f>IF(AB329-S329&lt;0,"YES","NO")</f>
        <v>YES</v>
      </c>
      <c r="AD329">
        <f>IF(AC329="NO",0,AB329-S329)</f>
        <v>-44000.010000000009</v>
      </c>
      <c r="AE329" s="43">
        <v>0.08</v>
      </c>
      <c r="AF329" s="3">
        <f t="shared" si="18"/>
        <v>-40740.750000000007</v>
      </c>
      <c r="AG329" s="45">
        <f t="shared" si="19"/>
        <v>-44814.825000000012</v>
      </c>
      <c r="AH329" s="55"/>
    </row>
    <row r="330" spans="1:34" x14ac:dyDescent="0.25">
      <c r="A330" t="s">
        <v>1508</v>
      </c>
      <c r="B330" t="s">
        <v>1509</v>
      </c>
      <c r="C330" t="s">
        <v>1510</v>
      </c>
      <c r="D330" t="s">
        <v>1511</v>
      </c>
      <c r="E330" t="s">
        <v>1512</v>
      </c>
      <c r="F330" t="s">
        <v>1513</v>
      </c>
      <c r="G330" t="s">
        <v>5</v>
      </c>
      <c r="H330" t="s">
        <v>65</v>
      </c>
      <c r="I330" t="s">
        <v>106</v>
      </c>
      <c r="J330" t="s">
        <v>107</v>
      </c>
      <c r="K330" t="s">
        <v>3</v>
      </c>
      <c r="L330" t="s">
        <v>4</v>
      </c>
      <c r="M330" t="s">
        <v>49</v>
      </c>
      <c r="N330" t="s">
        <v>1514</v>
      </c>
      <c r="O330" s="31" t="s">
        <v>1515</v>
      </c>
      <c r="P330">
        <v>20</v>
      </c>
      <c r="Q330" t="s">
        <v>108</v>
      </c>
      <c r="R330">
        <v>1</v>
      </c>
      <c r="S330" s="31">
        <v>0</v>
      </c>
      <c r="T330" s="39">
        <v>0</v>
      </c>
      <c r="U330">
        <v>0</v>
      </c>
      <c r="V330">
        <v>0</v>
      </c>
      <c r="W330">
        <v>0</v>
      </c>
      <c r="X330" s="39">
        <v>0</v>
      </c>
      <c r="Y330">
        <v>0</v>
      </c>
      <c r="Z330" s="31">
        <v>0</v>
      </c>
      <c r="AA330">
        <v>8</v>
      </c>
      <c r="AB330" s="3">
        <f t="shared" si="17"/>
        <v>0</v>
      </c>
      <c r="AC330" t="str">
        <f>IF(AB330-S330&lt;0,"YES","NO")</f>
        <v>NO</v>
      </c>
      <c r="AD330">
        <f>IF(AC330="NO",0,AB330-S330)</f>
        <v>0</v>
      </c>
      <c r="AE330" s="43">
        <v>0.08</v>
      </c>
      <c r="AF330" s="3">
        <f t="shared" si="18"/>
        <v>0</v>
      </c>
      <c r="AG330" s="45">
        <f t="shared" si="19"/>
        <v>0</v>
      </c>
      <c r="AH330" s="55"/>
    </row>
    <row r="331" spans="1:34" x14ac:dyDescent="0.25">
      <c r="A331" t="s">
        <v>1508</v>
      </c>
      <c r="B331" t="s">
        <v>1509</v>
      </c>
      <c r="C331" t="s">
        <v>1510</v>
      </c>
      <c r="D331" t="s">
        <v>1511</v>
      </c>
      <c r="E331" t="s">
        <v>1512</v>
      </c>
      <c r="F331" t="s">
        <v>1513</v>
      </c>
      <c r="G331" t="s">
        <v>5</v>
      </c>
      <c r="H331" t="s">
        <v>65</v>
      </c>
      <c r="I331" t="s">
        <v>66</v>
      </c>
      <c r="J331" t="s">
        <v>67</v>
      </c>
      <c r="K331" t="s">
        <v>3</v>
      </c>
      <c r="L331" t="s">
        <v>4</v>
      </c>
      <c r="M331" t="s">
        <v>49</v>
      </c>
      <c r="N331" t="s">
        <v>1514</v>
      </c>
      <c r="O331" s="31" t="s">
        <v>1515</v>
      </c>
      <c r="P331">
        <v>220</v>
      </c>
      <c r="R331">
        <v>6</v>
      </c>
      <c r="S331" s="31">
        <v>450000</v>
      </c>
      <c r="T331" s="39">
        <v>480000</v>
      </c>
      <c r="U331">
        <v>75000</v>
      </c>
      <c r="V331">
        <v>25000.02</v>
      </c>
      <c r="W331">
        <v>0</v>
      </c>
      <c r="X331" s="39">
        <v>135799.98000000001</v>
      </c>
      <c r="Y331">
        <v>0</v>
      </c>
      <c r="Z331" s="31">
        <v>379999.98</v>
      </c>
      <c r="AA331">
        <v>8</v>
      </c>
      <c r="AB331" s="3">
        <f t="shared" si="17"/>
        <v>379999.98</v>
      </c>
      <c r="AC331" t="str">
        <f>IF(AB331-S331&lt;0,"YES","NO")</f>
        <v>YES</v>
      </c>
      <c r="AD331">
        <f>IF(AC331="NO",0,AB331-S331)</f>
        <v>-70000.020000000019</v>
      </c>
      <c r="AE331" s="43">
        <v>0.08</v>
      </c>
      <c r="AF331" s="3">
        <f t="shared" si="18"/>
        <v>-64814.833333333343</v>
      </c>
      <c r="AG331" s="45">
        <f t="shared" si="19"/>
        <v>-71296.31666666668</v>
      </c>
      <c r="AH331" s="55"/>
    </row>
    <row r="332" spans="1:34" x14ac:dyDescent="0.25">
      <c r="A332" t="s">
        <v>1516</v>
      </c>
      <c r="B332" t="s">
        <v>1517</v>
      </c>
      <c r="C332" t="s">
        <v>1518</v>
      </c>
      <c r="D332" t="s">
        <v>1519</v>
      </c>
      <c r="E332" t="s">
        <v>1520</v>
      </c>
      <c r="F332" t="s">
        <v>1521</v>
      </c>
      <c r="G332" t="s">
        <v>5</v>
      </c>
      <c r="H332" t="s">
        <v>65</v>
      </c>
      <c r="I332" t="s">
        <v>78</v>
      </c>
      <c r="J332" t="s">
        <v>79</v>
      </c>
      <c r="K332" t="s">
        <v>3</v>
      </c>
      <c r="L332" t="s">
        <v>4</v>
      </c>
      <c r="M332" t="s">
        <v>49</v>
      </c>
      <c r="N332" t="s">
        <v>1522</v>
      </c>
      <c r="O332" s="31" t="s">
        <v>1523</v>
      </c>
      <c r="P332">
        <v>220</v>
      </c>
      <c r="R332">
        <v>3</v>
      </c>
      <c r="S332" s="31">
        <v>225000</v>
      </c>
      <c r="T332" s="39">
        <v>240000</v>
      </c>
      <c r="U332">
        <v>35000.01</v>
      </c>
      <c r="V332">
        <v>12999.99</v>
      </c>
      <c r="W332">
        <v>0</v>
      </c>
      <c r="X332" s="39">
        <v>73400.009999999995</v>
      </c>
      <c r="Y332">
        <v>0</v>
      </c>
      <c r="Z332" s="31">
        <v>192000</v>
      </c>
      <c r="AA332">
        <v>8</v>
      </c>
      <c r="AB332" s="3">
        <f t="shared" si="17"/>
        <v>192000</v>
      </c>
      <c r="AC332" t="str">
        <f>IF(AB332-S332&lt;0,"YES","NO")</f>
        <v>YES</v>
      </c>
      <c r="AD332">
        <f>IF(AC332="NO",0,AB332-S332)</f>
        <v>-33000</v>
      </c>
      <c r="AE332" s="43">
        <v>0.08</v>
      </c>
      <c r="AF332" s="3">
        <f t="shared" si="18"/>
        <v>-30555.555555555555</v>
      </c>
      <c r="AG332" s="45">
        <f t="shared" si="19"/>
        <v>-33611.111111111109</v>
      </c>
      <c r="AH332" s="55"/>
    </row>
    <row r="333" spans="1:34" x14ac:dyDescent="0.25">
      <c r="A333" t="s">
        <v>1524</v>
      </c>
      <c r="B333" t="s">
        <v>1525</v>
      </c>
      <c r="C333" t="s">
        <v>1526</v>
      </c>
      <c r="D333" t="s">
        <v>1527</v>
      </c>
      <c r="E333" t="s">
        <v>1528</v>
      </c>
      <c r="F333" t="s">
        <v>1529</v>
      </c>
      <c r="G333" t="s">
        <v>5</v>
      </c>
      <c r="H333" t="s">
        <v>65</v>
      </c>
      <c r="I333" t="s">
        <v>66</v>
      </c>
      <c r="J333" t="s">
        <v>67</v>
      </c>
      <c r="K333" t="s">
        <v>3</v>
      </c>
      <c r="L333" t="s">
        <v>4</v>
      </c>
      <c r="M333" t="s">
        <v>49</v>
      </c>
      <c r="N333" t="s">
        <v>1530</v>
      </c>
      <c r="O333" s="31" t="s">
        <v>1531</v>
      </c>
      <c r="P333">
        <v>220</v>
      </c>
      <c r="R333">
        <v>6</v>
      </c>
      <c r="S333" s="31">
        <v>450000</v>
      </c>
      <c r="T333" s="39">
        <v>480000</v>
      </c>
      <c r="U333">
        <v>75000</v>
      </c>
      <c r="V333">
        <v>48000</v>
      </c>
      <c r="W333">
        <v>0</v>
      </c>
      <c r="X333" s="39">
        <v>132120</v>
      </c>
      <c r="Y333">
        <v>0</v>
      </c>
      <c r="Z333" s="31">
        <v>357000</v>
      </c>
      <c r="AA333">
        <v>8</v>
      </c>
      <c r="AB333" s="3">
        <f t="shared" si="17"/>
        <v>357000</v>
      </c>
      <c r="AC333" t="str">
        <f>IF(AB333-S333&lt;0,"YES","NO")</f>
        <v>YES</v>
      </c>
      <c r="AD333">
        <f>IF(AC333="NO",0,AB333-S333)</f>
        <v>-93000</v>
      </c>
      <c r="AE333" s="43">
        <v>0.08</v>
      </c>
      <c r="AF333" s="3">
        <f t="shared" si="18"/>
        <v>-86111.111111111109</v>
      </c>
      <c r="AG333" s="45">
        <f t="shared" si="19"/>
        <v>-94722.222222222234</v>
      </c>
      <c r="AH333" s="55"/>
    </row>
    <row r="334" spans="1:34" x14ac:dyDescent="0.25">
      <c r="A334" t="s">
        <v>1532</v>
      </c>
      <c r="B334" t="s">
        <v>1533</v>
      </c>
      <c r="C334" t="s">
        <v>1534</v>
      </c>
      <c r="D334" t="s">
        <v>1535</v>
      </c>
      <c r="E334" t="s">
        <v>1536</v>
      </c>
      <c r="F334" t="s">
        <v>1537</v>
      </c>
      <c r="G334" t="s">
        <v>5</v>
      </c>
      <c r="H334" t="s">
        <v>65</v>
      </c>
      <c r="I334" t="s">
        <v>78</v>
      </c>
      <c r="J334" t="s">
        <v>79</v>
      </c>
      <c r="K334" t="s">
        <v>3</v>
      </c>
      <c r="L334" t="s">
        <v>4</v>
      </c>
      <c r="M334" t="s">
        <v>49</v>
      </c>
      <c r="N334" t="s">
        <v>1538</v>
      </c>
      <c r="O334" s="31" t="s">
        <v>1539</v>
      </c>
      <c r="P334">
        <v>220</v>
      </c>
      <c r="R334">
        <v>6</v>
      </c>
      <c r="S334" s="31">
        <v>450000</v>
      </c>
      <c r="T334" s="39">
        <v>480000</v>
      </c>
      <c r="U334">
        <v>79999.98</v>
      </c>
      <c r="V334">
        <v>25000.02</v>
      </c>
      <c r="W334">
        <v>0</v>
      </c>
      <c r="X334" s="39">
        <v>136249.98000000001</v>
      </c>
      <c r="Y334">
        <v>0</v>
      </c>
      <c r="Z334" s="31">
        <v>375000</v>
      </c>
      <c r="AA334">
        <v>8</v>
      </c>
      <c r="AB334" s="3">
        <f t="shared" si="17"/>
        <v>375000</v>
      </c>
      <c r="AC334" t="str">
        <f>IF(AB334-S334&lt;0,"YES","NO")</f>
        <v>YES</v>
      </c>
      <c r="AD334">
        <f>IF(AC334="NO",0,AB334-S334)</f>
        <v>-75000</v>
      </c>
      <c r="AE334" s="43">
        <v>0.08</v>
      </c>
      <c r="AF334" s="3">
        <f t="shared" si="18"/>
        <v>-69444.444444444438</v>
      </c>
      <c r="AG334" s="45">
        <f t="shared" si="19"/>
        <v>-76388.888888888891</v>
      </c>
      <c r="AH334" s="55"/>
    </row>
    <row r="335" spans="1:34" x14ac:dyDescent="0.25">
      <c r="A335" t="s">
        <v>1540</v>
      </c>
      <c r="B335" t="s">
        <v>1541</v>
      </c>
      <c r="C335" t="s">
        <v>1542</v>
      </c>
      <c r="D335" t="s">
        <v>1543</v>
      </c>
      <c r="E335" t="s">
        <v>1544</v>
      </c>
      <c r="F335" t="s">
        <v>1545</v>
      </c>
      <c r="G335" t="s">
        <v>5</v>
      </c>
      <c r="H335" t="s">
        <v>65</v>
      </c>
      <c r="I335" t="s">
        <v>66</v>
      </c>
      <c r="J335" t="s">
        <v>67</v>
      </c>
      <c r="K335" t="s">
        <v>3</v>
      </c>
      <c r="L335" t="s">
        <v>4</v>
      </c>
      <c r="M335" t="s">
        <v>49</v>
      </c>
      <c r="N335" t="s">
        <v>1546</v>
      </c>
      <c r="O335" s="31" t="s">
        <v>1547</v>
      </c>
      <c r="P335">
        <v>220</v>
      </c>
      <c r="R335">
        <v>3</v>
      </c>
      <c r="S335" s="31">
        <v>225000</v>
      </c>
      <c r="T335" s="39">
        <v>240000</v>
      </c>
      <c r="U335">
        <v>35000.01</v>
      </c>
      <c r="V335">
        <v>24000</v>
      </c>
      <c r="W335">
        <v>0</v>
      </c>
      <c r="X335" s="39">
        <v>60339.99</v>
      </c>
      <c r="Y335">
        <v>0</v>
      </c>
      <c r="Z335" s="31">
        <v>180999.99</v>
      </c>
      <c r="AA335">
        <v>8</v>
      </c>
      <c r="AB335" s="3">
        <f t="shared" si="17"/>
        <v>180999.99</v>
      </c>
      <c r="AC335" t="str">
        <f>IF(AB335-S335&lt;0,"YES","NO")</f>
        <v>YES</v>
      </c>
      <c r="AD335">
        <f>IF(AC335="NO",0,AB335-S335)</f>
        <v>-44000.010000000009</v>
      </c>
      <c r="AE335" s="43">
        <v>0.08</v>
      </c>
      <c r="AF335" s="3">
        <f t="shared" si="18"/>
        <v>-40740.750000000007</v>
      </c>
      <c r="AG335" s="45">
        <f t="shared" si="19"/>
        <v>-44814.825000000012</v>
      </c>
      <c r="AH335" s="55"/>
    </row>
    <row r="336" spans="1:34" x14ac:dyDescent="0.25">
      <c r="A336" t="s">
        <v>1548</v>
      </c>
      <c r="B336" t="s">
        <v>1549</v>
      </c>
      <c r="C336" t="s">
        <v>1550</v>
      </c>
      <c r="D336" t="s">
        <v>1551</v>
      </c>
      <c r="E336" t="s">
        <v>1552</v>
      </c>
      <c r="F336" t="s">
        <v>1553</v>
      </c>
      <c r="G336" t="s">
        <v>5</v>
      </c>
      <c r="H336" t="s">
        <v>65</v>
      </c>
      <c r="I336" t="s">
        <v>71</v>
      </c>
      <c r="J336" t="s">
        <v>72</v>
      </c>
      <c r="K336" t="s">
        <v>3</v>
      </c>
      <c r="L336" t="s">
        <v>4</v>
      </c>
      <c r="M336" t="s">
        <v>49</v>
      </c>
      <c r="N336" t="s">
        <v>1554</v>
      </c>
      <c r="O336" s="31" t="s">
        <v>1555</v>
      </c>
      <c r="P336">
        <v>220</v>
      </c>
      <c r="Q336" t="s">
        <v>70</v>
      </c>
      <c r="R336">
        <v>3</v>
      </c>
      <c r="S336" s="31">
        <v>177000</v>
      </c>
      <c r="T336" s="39">
        <v>195000</v>
      </c>
      <c r="U336">
        <v>35000.01</v>
      </c>
      <c r="V336">
        <v>19500</v>
      </c>
      <c r="W336">
        <v>0</v>
      </c>
      <c r="X336" s="39">
        <v>135000</v>
      </c>
      <c r="Y336">
        <v>0</v>
      </c>
      <c r="Z336" s="31">
        <v>140499.99</v>
      </c>
      <c r="AA336">
        <v>8</v>
      </c>
      <c r="AB336" s="3">
        <f t="shared" si="17"/>
        <v>140499.99</v>
      </c>
      <c r="AC336" t="str">
        <f>IF(AB336-S336&lt;0,"YES","NO")</f>
        <v>YES</v>
      </c>
      <c r="AD336">
        <f>IF(AC336="NO",0,AB336-S336)</f>
        <v>-36500.010000000009</v>
      </c>
      <c r="AE336" s="43">
        <v>0.08</v>
      </c>
      <c r="AF336" s="3">
        <f t="shared" si="18"/>
        <v>-33796.305555555562</v>
      </c>
      <c r="AG336" s="45">
        <f t="shared" si="19"/>
        <v>-37175.936111111121</v>
      </c>
      <c r="AH336" s="55"/>
    </row>
    <row r="337" spans="1:34" x14ac:dyDescent="0.25">
      <c r="A337" t="s">
        <v>1556</v>
      </c>
      <c r="B337" t="s">
        <v>1557</v>
      </c>
      <c r="C337" t="s">
        <v>1558</v>
      </c>
      <c r="D337" t="s">
        <v>1559</v>
      </c>
      <c r="E337" t="s">
        <v>1560</v>
      </c>
      <c r="F337" t="s">
        <v>1561</v>
      </c>
      <c r="G337" t="s">
        <v>5</v>
      </c>
      <c r="H337" t="s">
        <v>65</v>
      </c>
      <c r="I337" t="s">
        <v>78</v>
      </c>
      <c r="J337" t="s">
        <v>79</v>
      </c>
      <c r="K337" t="s">
        <v>3</v>
      </c>
      <c r="L337" t="s">
        <v>4</v>
      </c>
      <c r="M337" t="s">
        <v>49</v>
      </c>
      <c r="N337" t="s">
        <v>1562</v>
      </c>
      <c r="O337" s="31" t="s">
        <v>1563</v>
      </c>
      <c r="P337">
        <v>220</v>
      </c>
      <c r="R337">
        <v>3</v>
      </c>
      <c r="S337" s="31">
        <v>225000</v>
      </c>
      <c r="T337" s="39">
        <v>240000</v>
      </c>
      <c r="U337">
        <v>35000.01</v>
      </c>
      <c r="V337">
        <v>12999.99</v>
      </c>
      <c r="W337">
        <v>0</v>
      </c>
      <c r="X337" s="39">
        <v>73400.009999999995</v>
      </c>
      <c r="Y337">
        <v>0</v>
      </c>
      <c r="Z337" s="31">
        <v>192000</v>
      </c>
      <c r="AA337">
        <v>8</v>
      </c>
      <c r="AB337" s="3">
        <f t="shared" si="17"/>
        <v>192000</v>
      </c>
      <c r="AC337" t="str">
        <f>IF(AB337-S337&lt;0,"YES","NO")</f>
        <v>YES</v>
      </c>
      <c r="AD337">
        <f>IF(AC337="NO",0,AB337-S337)</f>
        <v>-33000</v>
      </c>
      <c r="AE337" s="43">
        <v>0.08</v>
      </c>
      <c r="AF337" s="3">
        <f t="shared" si="18"/>
        <v>-30555.555555555555</v>
      </c>
      <c r="AG337" s="45">
        <f t="shared" si="19"/>
        <v>-33611.111111111109</v>
      </c>
      <c r="AH337" s="55"/>
    </row>
    <row r="338" spans="1:34" x14ac:dyDescent="0.25">
      <c r="A338" t="s">
        <v>1564</v>
      </c>
      <c r="B338" t="s">
        <v>1565</v>
      </c>
      <c r="C338" t="s">
        <v>1566</v>
      </c>
      <c r="D338" t="s">
        <v>1567</v>
      </c>
      <c r="E338" t="s">
        <v>1568</v>
      </c>
      <c r="F338" t="s">
        <v>1569</v>
      </c>
      <c r="G338" t="s">
        <v>5</v>
      </c>
      <c r="H338" t="s">
        <v>65</v>
      </c>
      <c r="I338" t="s">
        <v>68</v>
      </c>
      <c r="J338" t="s">
        <v>69</v>
      </c>
      <c r="K338" t="s">
        <v>3</v>
      </c>
      <c r="L338" t="s">
        <v>4</v>
      </c>
      <c r="M338" t="s">
        <v>49</v>
      </c>
      <c r="N338" t="s">
        <v>1570</v>
      </c>
      <c r="O338" s="31" t="s">
        <v>1571</v>
      </c>
      <c r="P338">
        <v>220</v>
      </c>
      <c r="Q338" t="s">
        <v>70</v>
      </c>
      <c r="R338">
        <v>3</v>
      </c>
      <c r="S338" s="31">
        <v>177000</v>
      </c>
      <c r="T338" s="39">
        <v>195000</v>
      </c>
      <c r="U338">
        <v>35000.01</v>
      </c>
      <c r="V338">
        <v>19500</v>
      </c>
      <c r="W338">
        <v>0</v>
      </c>
      <c r="X338" s="39">
        <v>56075.01</v>
      </c>
      <c r="Y338">
        <v>0</v>
      </c>
      <c r="Z338" s="31">
        <v>140499.99</v>
      </c>
      <c r="AA338">
        <v>8</v>
      </c>
      <c r="AB338" s="3">
        <f t="shared" si="17"/>
        <v>140499.99</v>
      </c>
      <c r="AC338" t="str">
        <f>IF(AB338-S338&lt;0,"YES","NO")</f>
        <v>YES</v>
      </c>
      <c r="AD338">
        <f>IF(AC338="NO",0,AB338-S338)</f>
        <v>-36500.010000000009</v>
      </c>
      <c r="AE338" s="43">
        <v>0.08</v>
      </c>
      <c r="AF338" s="3">
        <f t="shared" si="18"/>
        <v>-33796.305555555562</v>
      </c>
      <c r="AG338" s="45">
        <f t="shared" si="19"/>
        <v>-37175.936111111121</v>
      </c>
      <c r="AH338" s="55"/>
    </row>
    <row r="339" spans="1:34" x14ac:dyDescent="0.25">
      <c r="A339" t="s">
        <v>1564</v>
      </c>
      <c r="B339" t="s">
        <v>1565</v>
      </c>
      <c r="C339" t="s">
        <v>1566</v>
      </c>
      <c r="D339" t="s">
        <v>1567</v>
      </c>
      <c r="E339" t="s">
        <v>1568</v>
      </c>
      <c r="F339" t="s">
        <v>1569</v>
      </c>
      <c r="G339" t="s">
        <v>5</v>
      </c>
      <c r="H339" t="s">
        <v>65</v>
      </c>
      <c r="I339" t="s">
        <v>78</v>
      </c>
      <c r="J339" t="s">
        <v>79</v>
      </c>
      <c r="K339" t="s">
        <v>3</v>
      </c>
      <c r="L339" t="s">
        <v>4</v>
      </c>
      <c r="M339" t="s">
        <v>49</v>
      </c>
      <c r="N339" t="s">
        <v>1570</v>
      </c>
      <c r="O339" s="31" t="s">
        <v>1571</v>
      </c>
      <c r="P339">
        <v>220</v>
      </c>
      <c r="R339">
        <v>2</v>
      </c>
      <c r="S339" s="31">
        <v>150000</v>
      </c>
      <c r="T339" s="39">
        <v>160000</v>
      </c>
      <c r="U339">
        <v>0</v>
      </c>
      <c r="V339">
        <v>10000</v>
      </c>
      <c r="W339">
        <v>0</v>
      </c>
      <c r="X339" s="39">
        <v>0</v>
      </c>
      <c r="Y339">
        <v>0</v>
      </c>
      <c r="Z339" s="31">
        <v>150000</v>
      </c>
      <c r="AA339">
        <v>8</v>
      </c>
      <c r="AB339" s="3">
        <f t="shared" si="17"/>
        <v>150000</v>
      </c>
      <c r="AC339" t="str">
        <f>IF(AB339-S339&lt;0,"YES","NO")</f>
        <v>NO</v>
      </c>
      <c r="AD339">
        <f>IF(AC339="NO",0,AB339-S339)</f>
        <v>0</v>
      </c>
      <c r="AE339" s="43">
        <v>0.08</v>
      </c>
      <c r="AF339" s="3">
        <f t="shared" si="18"/>
        <v>0</v>
      </c>
      <c r="AG339" s="45">
        <f t="shared" si="19"/>
        <v>0</v>
      </c>
      <c r="AH339" s="55"/>
    </row>
    <row r="340" spans="1:34" x14ac:dyDescent="0.25">
      <c r="A340" t="s">
        <v>1572</v>
      </c>
      <c r="B340" t="s">
        <v>1573</v>
      </c>
      <c r="C340" t="s">
        <v>1574</v>
      </c>
      <c r="D340" t="s">
        <v>1575</v>
      </c>
      <c r="E340" t="s">
        <v>1576</v>
      </c>
      <c r="F340" t="s">
        <v>1577</v>
      </c>
      <c r="G340" t="s">
        <v>5</v>
      </c>
      <c r="H340" t="s">
        <v>65</v>
      </c>
      <c r="I340" t="s">
        <v>66</v>
      </c>
      <c r="J340" t="s">
        <v>67</v>
      </c>
      <c r="K340" t="s">
        <v>3</v>
      </c>
      <c r="L340" t="s">
        <v>4</v>
      </c>
      <c r="M340" t="s">
        <v>49</v>
      </c>
      <c r="N340" t="s">
        <v>1578</v>
      </c>
      <c r="O340" s="31" t="s">
        <v>1579</v>
      </c>
      <c r="P340">
        <v>220</v>
      </c>
      <c r="R340">
        <v>2</v>
      </c>
      <c r="S340" s="31">
        <v>150000</v>
      </c>
      <c r="T340" s="39">
        <v>160000</v>
      </c>
      <c r="U340">
        <v>26666.66</v>
      </c>
      <c r="V340">
        <v>8333.34</v>
      </c>
      <c r="W340">
        <v>0</v>
      </c>
      <c r="X340" s="39">
        <v>46666.66</v>
      </c>
      <c r="Y340">
        <v>0</v>
      </c>
      <c r="Z340" s="31">
        <v>125000</v>
      </c>
      <c r="AA340">
        <v>8</v>
      </c>
      <c r="AB340" s="3">
        <f t="shared" si="17"/>
        <v>125000</v>
      </c>
      <c r="AC340" t="str">
        <f>IF(AB340-S340&lt;0,"YES","NO")</f>
        <v>YES</v>
      </c>
      <c r="AD340">
        <f>IF(AC340="NO",0,AB340-S340)</f>
        <v>-25000</v>
      </c>
      <c r="AE340" s="43">
        <v>0.08</v>
      </c>
      <c r="AF340" s="3">
        <f t="shared" si="18"/>
        <v>-23148.148148148146</v>
      </c>
      <c r="AG340" s="45">
        <f t="shared" si="19"/>
        <v>-25462.962962962964</v>
      </c>
      <c r="AH340" s="55"/>
    </row>
    <row r="341" spans="1:34" x14ac:dyDescent="0.25">
      <c r="A341" t="s">
        <v>1572</v>
      </c>
      <c r="B341" t="s">
        <v>1573</v>
      </c>
      <c r="C341" t="s">
        <v>1574</v>
      </c>
      <c r="D341" t="s">
        <v>1575</v>
      </c>
      <c r="E341" t="s">
        <v>1576</v>
      </c>
      <c r="F341" t="s">
        <v>1577</v>
      </c>
      <c r="G341" t="s">
        <v>5</v>
      </c>
      <c r="H341" t="s">
        <v>65</v>
      </c>
      <c r="I341" t="s">
        <v>78</v>
      </c>
      <c r="J341" t="s">
        <v>79</v>
      </c>
      <c r="K341" t="s">
        <v>3</v>
      </c>
      <c r="L341" t="s">
        <v>4</v>
      </c>
      <c r="M341" t="s">
        <v>49</v>
      </c>
      <c r="N341" t="s">
        <v>1578</v>
      </c>
      <c r="O341" s="31" t="s">
        <v>1579</v>
      </c>
      <c r="P341">
        <v>220</v>
      </c>
      <c r="R341">
        <v>2</v>
      </c>
      <c r="S341" s="31">
        <v>150000</v>
      </c>
      <c r="T341" s="39">
        <v>160000</v>
      </c>
      <c r="U341">
        <v>26666.66</v>
      </c>
      <c r="V341">
        <v>8333.34</v>
      </c>
      <c r="W341">
        <v>0</v>
      </c>
      <c r="X341" s="39">
        <v>46666.66</v>
      </c>
      <c r="Y341">
        <v>0</v>
      </c>
      <c r="Z341" s="31">
        <v>125000</v>
      </c>
      <c r="AA341">
        <v>8</v>
      </c>
      <c r="AB341" s="3">
        <f t="shared" si="17"/>
        <v>125000</v>
      </c>
      <c r="AC341" t="str">
        <f>IF(AB341-S341&lt;0,"YES","NO")</f>
        <v>YES</v>
      </c>
      <c r="AD341">
        <f>IF(AC341="NO",0,AB341-S341)</f>
        <v>-25000</v>
      </c>
      <c r="AE341" s="43">
        <v>0.08</v>
      </c>
      <c r="AF341" s="3">
        <f t="shared" si="18"/>
        <v>-23148.148148148146</v>
      </c>
      <c r="AG341" s="45">
        <f t="shared" si="19"/>
        <v>-25462.962962962964</v>
      </c>
      <c r="AH341" s="55"/>
    </row>
    <row r="342" spans="1:34" x14ac:dyDescent="0.25">
      <c r="A342" t="s">
        <v>1572</v>
      </c>
      <c r="B342" t="s">
        <v>1573</v>
      </c>
      <c r="C342" t="s">
        <v>1574</v>
      </c>
      <c r="D342" t="s">
        <v>1575</v>
      </c>
      <c r="E342" t="s">
        <v>1576</v>
      </c>
      <c r="F342" t="s">
        <v>1577</v>
      </c>
      <c r="G342" t="s">
        <v>5</v>
      </c>
      <c r="H342" t="s">
        <v>65</v>
      </c>
      <c r="I342" t="s">
        <v>80</v>
      </c>
      <c r="J342" t="s">
        <v>81</v>
      </c>
      <c r="K342" t="s">
        <v>3</v>
      </c>
      <c r="L342" t="s">
        <v>4</v>
      </c>
      <c r="M342" t="s">
        <v>49</v>
      </c>
      <c r="N342" t="s">
        <v>1578</v>
      </c>
      <c r="O342" s="31" t="s">
        <v>1579</v>
      </c>
      <c r="P342">
        <v>220</v>
      </c>
      <c r="R342">
        <v>2</v>
      </c>
      <c r="S342" s="31">
        <v>150000</v>
      </c>
      <c r="T342" s="39">
        <v>160000</v>
      </c>
      <c r="U342">
        <v>26666.66</v>
      </c>
      <c r="V342">
        <v>8333.34</v>
      </c>
      <c r="W342">
        <v>0</v>
      </c>
      <c r="X342" s="39">
        <v>46666.66</v>
      </c>
      <c r="Y342">
        <v>0</v>
      </c>
      <c r="Z342" s="31">
        <v>125000</v>
      </c>
      <c r="AA342">
        <v>8</v>
      </c>
      <c r="AB342" s="3">
        <f t="shared" si="17"/>
        <v>125000</v>
      </c>
      <c r="AC342" t="str">
        <f>IF(AB342-S342&lt;0,"YES","NO")</f>
        <v>YES</v>
      </c>
      <c r="AD342">
        <f>IF(AC342="NO",0,AB342-S342)</f>
        <v>-25000</v>
      </c>
      <c r="AE342" s="43">
        <v>0.08</v>
      </c>
      <c r="AF342" s="3">
        <f t="shared" si="18"/>
        <v>-23148.148148148146</v>
      </c>
      <c r="AG342" s="45">
        <f t="shared" si="19"/>
        <v>-25462.962962962964</v>
      </c>
      <c r="AH342" s="55"/>
    </row>
    <row r="343" spans="1:34" x14ac:dyDescent="0.25">
      <c r="A343" t="s">
        <v>1580</v>
      </c>
      <c r="B343" t="s">
        <v>1581</v>
      </c>
      <c r="C343" t="s">
        <v>1582</v>
      </c>
      <c r="D343" t="s">
        <v>1583</v>
      </c>
      <c r="E343" t="s">
        <v>1584</v>
      </c>
      <c r="F343" t="s">
        <v>1585</v>
      </c>
      <c r="G343" t="s">
        <v>5</v>
      </c>
      <c r="H343" t="s">
        <v>65</v>
      </c>
      <c r="I343" t="s">
        <v>106</v>
      </c>
      <c r="J343" t="s">
        <v>107</v>
      </c>
      <c r="K343" t="s">
        <v>3</v>
      </c>
      <c r="L343" t="s">
        <v>4</v>
      </c>
      <c r="M343" t="s">
        <v>49</v>
      </c>
      <c r="N343" t="s">
        <v>1586</v>
      </c>
      <c r="O343" s="31" t="s">
        <v>1587</v>
      </c>
      <c r="P343">
        <v>20</v>
      </c>
      <c r="Q343" t="s">
        <v>108</v>
      </c>
      <c r="R343">
        <v>1</v>
      </c>
      <c r="S343" s="31">
        <v>0</v>
      </c>
      <c r="T343" s="39">
        <v>0</v>
      </c>
      <c r="U343">
        <v>0</v>
      </c>
      <c r="V343">
        <v>0</v>
      </c>
      <c r="W343">
        <v>0</v>
      </c>
      <c r="X343" s="39">
        <v>0</v>
      </c>
      <c r="Y343">
        <v>0</v>
      </c>
      <c r="Z343" s="31">
        <v>0</v>
      </c>
      <c r="AA343">
        <v>8</v>
      </c>
      <c r="AB343" s="3">
        <f t="shared" si="17"/>
        <v>0</v>
      </c>
      <c r="AC343" t="str">
        <f>IF(AB343-S343&lt;0,"YES","NO")</f>
        <v>NO</v>
      </c>
      <c r="AD343">
        <f>IF(AC343="NO",0,AB343-S343)</f>
        <v>0</v>
      </c>
      <c r="AE343" s="43">
        <v>0.08</v>
      </c>
      <c r="AF343" s="3">
        <f t="shared" si="18"/>
        <v>0</v>
      </c>
      <c r="AG343" s="45">
        <f t="shared" si="19"/>
        <v>0</v>
      </c>
      <c r="AH343" s="55"/>
    </row>
    <row r="344" spans="1:34" x14ac:dyDescent="0.25">
      <c r="A344" t="s">
        <v>1580</v>
      </c>
      <c r="B344" t="s">
        <v>1581</v>
      </c>
      <c r="C344" t="s">
        <v>1582</v>
      </c>
      <c r="D344" t="s">
        <v>1583</v>
      </c>
      <c r="E344" t="s">
        <v>1584</v>
      </c>
      <c r="F344" t="s">
        <v>1585</v>
      </c>
      <c r="G344" t="s">
        <v>5</v>
      </c>
      <c r="H344" t="s">
        <v>65</v>
      </c>
      <c r="I344" t="s">
        <v>95</v>
      </c>
      <c r="J344" t="s">
        <v>96</v>
      </c>
      <c r="K344" t="s">
        <v>3</v>
      </c>
      <c r="L344" t="s">
        <v>4</v>
      </c>
      <c r="M344" t="s">
        <v>49</v>
      </c>
      <c r="N344" t="s">
        <v>1586</v>
      </c>
      <c r="O344" s="31" t="s">
        <v>1587</v>
      </c>
      <c r="P344">
        <v>200</v>
      </c>
      <c r="R344">
        <v>6</v>
      </c>
      <c r="S344" s="31">
        <v>432000</v>
      </c>
      <c r="T344" s="39">
        <v>480000</v>
      </c>
      <c r="U344">
        <v>75000</v>
      </c>
      <c r="V344">
        <v>40000.019999999997</v>
      </c>
      <c r="W344">
        <v>0</v>
      </c>
      <c r="X344" s="39">
        <v>118800</v>
      </c>
      <c r="Y344">
        <v>0</v>
      </c>
      <c r="Z344" s="31">
        <v>364999.98</v>
      </c>
      <c r="AA344">
        <v>8</v>
      </c>
      <c r="AB344" s="3">
        <f t="shared" si="17"/>
        <v>364999.98</v>
      </c>
      <c r="AC344" t="str">
        <f>IF(AB344-S344&lt;0,"YES","NO")</f>
        <v>YES</v>
      </c>
      <c r="AD344">
        <f>IF(AC344="NO",0,AB344-S344)</f>
        <v>-67000.020000000019</v>
      </c>
      <c r="AE344" s="43">
        <v>0.08</v>
      </c>
      <c r="AF344" s="3">
        <f t="shared" si="18"/>
        <v>-62037.055555555569</v>
      </c>
      <c r="AG344" s="45">
        <f t="shared" si="19"/>
        <v>-68240.761111111133</v>
      </c>
      <c r="AH344" s="55"/>
    </row>
    <row r="345" spans="1:34" x14ac:dyDescent="0.25">
      <c r="A345" t="s">
        <v>1588</v>
      </c>
      <c r="B345" t="s">
        <v>1589</v>
      </c>
      <c r="C345" t="s">
        <v>1590</v>
      </c>
      <c r="D345" t="s">
        <v>1591</v>
      </c>
      <c r="E345" t="s">
        <v>1592</v>
      </c>
      <c r="F345" t="s">
        <v>1593</v>
      </c>
      <c r="G345" t="s">
        <v>5</v>
      </c>
      <c r="H345" t="s">
        <v>65</v>
      </c>
      <c r="I345" t="s">
        <v>66</v>
      </c>
      <c r="J345" t="s">
        <v>67</v>
      </c>
      <c r="K345" t="s">
        <v>3</v>
      </c>
      <c r="L345" t="s">
        <v>4</v>
      </c>
      <c r="M345" t="s">
        <v>49</v>
      </c>
      <c r="N345" t="s">
        <v>1594</v>
      </c>
      <c r="O345" s="31" t="s">
        <v>1595</v>
      </c>
      <c r="P345">
        <v>220</v>
      </c>
      <c r="R345">
        <v>2</v>
      </c>
      <c r="S345" s="31">
        <v>150000</v>
      </c>
      <c r="T345" s="39">
        <v>160000</v>
      </c>
      <c r="U345">
        <v>20000</v>
      </c>
      <c r="V345">
        <v>16000</v>
      </c>
      <c r="W345">
        <v>0</v>
      </c>
      <c r="X345" s="39">
        <v>44800</v>
      </c>
      <c r="Y345">
        <v>0</v>
      </c>
      <c r="Z345" s="31">
        <v>124000</v>
      </c>
      <c r="AA345">
        <v>8</v>
      </c>
      <c r="AB345" s="3">
        <f t="shared" si="17"/>
        <v>124000</v>
      </c>
      <c r="AC345" t="str">
        <f>IF(AB345-S345&lt;0,"YES","NO")</f>
        <v>YES</v>
      </c>
      <c r="AD345">
        <f>IF(AC345="NO",0,AB345-S345)</f>
        <v>-26000</v>
      </c>
      <c r="AE345" s="43">
        <v>0.08</v>
      </c>
      <c r="AF345" s="3">
        <f t="shared" si="18"/>
        <v>-24074.074074074073</v>
      </c>
      <c r="AG345" s="45">
        <f t="shared" si="19"/>
        <v>-26481.481481481482</v>
      </c>
      <c r="AH345" s="55"/>
    </row>
    <row r="346" spans="1:34" x14ac:dyDescent="0.25">
      <c r="A346" t="s">
        <v>1596</v>
      </c>
      <c r="B346" t="s">
        <v>1597</v>
      </c>
      <c r="C346" t="s">
        <v>1598</v>
      </c>
      <c r="D346" t="s">
        <v>1599</v>
      </c>
      <c r="E346" t="s">
        <v>1600</v>
      </c>
      <c r="F346" t="s">
        <v>1601</v>
      </c>
      <c r="G346" t="s">
        <v>5</v>
      </c>
      <c r="H346" t="s">
        <v>65</v>
      </c>
      <c r="I346" t="s">
        <v>68</v>
      </c>
      <c r="J346" t="s">
        <v>69</v>
      </c>
      <c r="K346" t="s">
        <v>3</v>
      </c>
      <c r="L346" t="s">
        <v>4</v>
      </c>
      <c r="M346" t="s">
        <v>49</v>
      </c>
      <c r="N346" t="s">
        <v>1602</v>
      </c>
      <c r="O346" s="31" t="s">
        <v>1603</v>
      </c>
      <c r="P346">
        <v>220</v>
      </c>
      <c r="Q346" t="s">
        <v>70</v>
      </c>
      <c r="R346">
        <v>1</v>
      </c>
      <c r="S346" s="31">
        <v>59000</v>
      </c>
      <c r="T346" s="39">
        <v>65000</v>
      </c>
      <c r="U346">
        <v>11666.67</v>
      </c>
      <c r="V346">
        <v>5000</v>
      </c>
      <c r="W346">
        <v>0</v>
      </c>
      <c r="X346" s="39">
        <v>16500</v>
      </c>
      <c r="Y346">
        <v>0</v>
      </c>
      <c r="Z346" s="31">
        <v>48333.33</v>
      </c>
      <c r="AA346">
        <v>8</v>
      </c>
      <c r="AB346" s="3">
        <f t="shared" si="17"/>
        <v>48333.33</v>
      </c>
      <c r="AC346" t="str">
        <f>IF(AB346-S346&lt;0,"YES","NO")</f>
        <v>YES</v>
      </c>
      <c r="AD346">
        <f>IF(AC346="NO",0,AB346-S346)</f>
        <v>-10666.669999999998</v>
      </c>
      <c r="AE346" s="43">
        <v>0.08</v>
      </c>
      <c r="AF346" s="3">
        <f t="shared" si="18"/>
        <v>-9876.5462962962938</v>
      </c>
      <c r="AG346" s="45">
        <f t="shared" si="19"/>
        <v>-10864.200925925925</v>
      </c>
      <c r="AH346" s="55"/>
    </row>
    <row r="347" spans="1:34" x14ac:dyDescent="0.25">
      <c r="A347" t="s">
        <v>1596</v>
      </c>
      <c r="B347" t="s">
        <v>1597</v>
      </c>
      <c r="C347" t="s">
        <v>1598</v>
      </c>
      <c r="D347" t="s">
        <v>1599</v>
      </c>
      <c r="E347" t="s">
        <v>1600</v>
      </c>
      <c r="F347" t="s">
        <v>1601</v>
      </c>
      <c r="G347" t="s">
        <v>5</v>
      </c>
      <c r="H347" t="s">
        <v>65</v>
      </c>
      <c r="I347" t="s">
        <v>71</v>
      </c>
      <c r="J347" t="s">
        <v>72</v>
      </c>
      <c r="K347" t="s">
        <v>3</v>
      </c>
      <c r="L347" t="s">
        <v>4</v>
      </c>
      <c r="M347" t="s">
        <v>49</v>
      </c>
      <c r="N347" t="s">
        <v>1602</v>
      </c>
      <c r="O347" s="31" t="s">
        <v>1603</v>
      </c>
      <c r="P347">
        <v>220</v>
      </c>
      <c r="Q347" t="s">
        <v>70</v>
      </c>
      <c r="R347">
        <v>1</v>
      </c>
      <c r="S347" s="31">
        <v>59000</v>
      </c>
      <c r="T347" s="39">
        <v>65000</v>
      </c>
      <c r="U347">
        <v>11666.67</v>
      </c>
      <c r="V347">
        <v>5000</v>
      </c>
      <c r="W347">
        <v>0</v>
      </c>
      <c r="X347" s="39">
        <v>16500</v>
      </c>
      <c r="Y347">
        <v>0</v>
      </c>
      <c r="Z347" s="31">
        <v>48333.33</v>
      </c>
      <c r="AA347">
        <v>8</v>
      </c>
      <c r="AB347" s="3">
        <f t="shared" si="17"/>
        <v>48333.33</v>
      </c>
      <c r="AC347" t="str">
        <f>IF(AB347-S347&lt;0,"YES","NO")</f>
        <v>YES</v>
      </c>
      <c r="AD347">
        <f>IF(AC347="NO",0,AB347-S347)</f>
        <v>-10666.669999999998</v>
      </c>
      <c r="AE347" s="43">
        <v>0.08</v>
      </c>
      <c r="AF347" s="3">
        <f t="shared" si="18"/>
        <v>-9876.5462962962938</v>
      </c>
      <c r="AG347" s="45">
        <f t="shared" si="19"/>
        <v>-10864.200925925925</v>
      </c>
      <c r="AH347" s="55"/>
    </row>
    <row r="348" spans="1:34" x14ac:dyDescent="0.25">
      <c r="A348" t="s">
        <v>1596</v>
      </c>
      <c r="B348" t="s">
        <v>1597</v>
      </c>
      <c r="C348" t="s">
        <v>1598</v>
      </c>
      <c r="D348" t="s">
        <v>1599</v>
      </c>
      <c r="E348" t="s">
        <v>1600</v>
      </c>
      <c r="F348" t="s">
        <v>1601</v>
      </c>
      <c r="G348" t="s">
        <v>5</v>
      </c>
      <c r="H348" t="s">
        <v>65</v>
      </c>
      <c r="I348" t="s">
        <v>73</v>
      </c>
      <c r="J348" t="s">
        <v>74</v>
      </c>
      <c r="K348" t="s">
        <v>3</v>
      </c>
      <c r="L348" t="s">
        <v>4</v>
      </c>
      <c r="M348" t="s">
        <v>49</v>
      </c>
      <c r="N348" t="s">
        <v>1602</v>
      </c>
      <c r="O348" s="31" t="s">
        <v>1603</v>
      </c>
      <c r="P348">
        <v>220</v>
      </c>
      <c r="Q348" t="s">
        <v>70</v>
      </c>
      <c r="R348">
        <v>1</v>
      </c>
      <c r="S348" s="31">
        <v>59000</v>
      </c>
      <c r="T348" s="39">
        <v>65000</v>
      </c>
      <c r="U348">
        <v>11666.67</v>
      </c>
      <c r="V348">
        <v>5000</v>
      </c>
      <c r="W348">
        <v>0</v>
      </c>
      <c r="X348" s="39">
        <v>16500</v>
      </c>
      <c r="Y348">
        <v>0</v>
      </c>
      <c r="Z348" s="31">
        <v>48333.33</v>
      </c>
      <c r="AA348">
        <v>8</v>
      </c>
      <c r="AB348" s="3">
        <f t="shared" si="17"/>
        <v>48333.33</v>
      </c>
      <c r="AC348" t="str">
        <f>IF(AB348-S348&lt;0,"YES","NO")</f>
        <v>YES</v>
      </c>
      <c r="AD348">
        <f>IF(AC348="NO",0,AB348-S348)</f>
        <v>-10666.669999999998</v>
      </c>
      <c r="AE348" s="43">
        <v>0.08</v>
      </c>
      <c r="AF348" s="3">
        <f t="shared" si="18"/>
        <v>-9876.5462962962938</v>
      </c>
      <c r="AG348" s="45">
        <f t="shared" si="19"/>
        <v>-10864.200925925925</v>
      </c>
      <c r="AH348" s="55"/>
    </row>
    <row r="349" spans="1:34" x14ac:dyDescent="0.25">
      <c r="A349" t="s">
        <v>1604</v>
      </c>
      <c r="B349" t="s">
        <v>1605</v>
      </c>
      <c r="C349" t="s">
        <v>1606</v>
      </c>
      <c r="D349" t="s">
        <v>1607</v>
      </c>
      <c r="E349" t="s">
        <v>1608</v>
      </c>
      <c r="F349" t="s">
        <v>1609</v>
      </c>
      <c r="G349" t="s">
        <v>5</v>
      </c>
      <c r="H349" t="s">
        <v>65</v>
      </c>
      <c r="I349" t="s">
        <v>109</v>
      </c>
      <c r="J349" t="s">
        <v>110</v>
      </c>
      <c r="K349" t="s">
        <v>3</v>
      </c>
      <c r="L349" t="s">
        <v>4</v>
      </c>
      <c r="M349" t="s">
        <v>49</v>
      </c>
      <c r="N349" t="s">
        <v>1610</v>
      </c>
      <c r="O349" s="31" t="s">
        <v>1611</v>
      </c>
      <c r="P349">
        <v>380</v>
      </c>
      <c r="R349">
        <v>6</v>
      </c>
      <c r="S349" s="31">
        <v>396000</v>
      </c>
      <c r="T349" s="39">
        <v>420000</v>
      </c>
      <c r="U349">
        <v>75000</v>
      </c>
      <c r="V349">
        <v>18000</v>
      </c>
      <c r="W349">
        <v>0</v>
      </c>
      <c r="X349" s="39">
        <v>127320</v>
      </c>
      <c r="Y349">
        <v>0</v>
      </c>
      <c r="Z349" s="31">
        <v>327000</v>
      </c>
      <c r="AA349">
        <v>8</v>
      </c>
      <c r="AB349" s="3">
        <f t="shared" si="17"/>
        <v>327000</v>
      </c>
      <c r="AC349" t="str">
        <f>IF(AB349-S349&lt;0,"YES","NO")</f>
        <v>YES</v>
      </c>
      <c r="AD349">
        <f>IF(AC349="NO",0,AB349-S349)</f>
        <v>-69000</v>
      </c>
      <c r="AE349" s="43">
        <v>0.08</v>
      </c>
      <c r="AF349" s="3">
        <f t="shared" si="18"/>
        <v>-63888.888888888883</v>
      </c>
      <c r="AG349" s="45">
        <f t="shared" si="19"/>
        <v>-70277.777777777781</v>
      </c>
      <c r="AH349" s="55"/>
    </row>
    <row r="350" spans="1:34" x14ac:dyDescent="0.25">
      <c r="A350" t="s">
        <v>1612</v>
      </c>
      <c r="B350" t="s">
        <v>1613</v>
      </c>
      <c r="C350" t="s">
        <v>1614</v>
      </c>
      <c r="D350" t="s">
        <v>1615</v>
      </c>
      <c r="E350" t="s">
        <v>1616</v>
      </c>
      <c r="F350" t="s">
        <v>1617</v>
      </c>
      <c r="G350" t="s">
        <v>5</v>
      </c>
      <c r="H350" t="s">
        <v>61</v>
      </c>
      <c r="I350" t="s">
        <v>84</v>
      </c>
      <c r="J350" t="s">
        <v>85</v>
      </c>
      <c r="K350" t="s">
        <v>3</v>
      </c>
      <c r="L350" t="s">
        <v>4</v>
      </c>
      <c r="M350" t="s">
        <v>49</v>
      </c>
      <c r="N350" t="s">
        <v>1618</v>
      </c>
      <c r="O350" s="31" t="s">
        <v>1619</v>
      </c>
      <c r="P350">
        <v>100</v>
      </c>
      <c r="Q350" t="s">
        <v>86</v>
      </c>
      <c r="R350">
        <v>1</v>
      </c>
      <c r="S350" s="31">
        <v>0</v>
      </c>
      <c r="T350" s="39">
        <v>0</v>
      </c>
      <c r="U350">
        <v>0</v>
      </c>
      <c r="V350">
        <v>0</v>
      </c>
      <c r="W350">
        <v>0</v>
      </c>
      <c r="X350" s="39">
        <v>0</v>
      </c>
      <c r="Y350">
        <v>0</v>
      </c>
      <c r="Z350" s="31">
        <v>0</v>
      </c>
      <c r="AA350">
        <v>8</v>
      </c>
      <c r="AB350" s="3">
        <f t="shared" si="17"/>
        <v>0</v>
      </c>
      <c r="AC350" t="str">
        <f>IF(AB350-S350&lt;0,"YES","NO")</f>
        <v>NO</v>
      </c>
      <c r="AD350">
        <f>IF(AC350="NO",0,AB350-S350)</f>
        <v>0</v>
      </c>
      <c r="AE350" s="43">
        <v>0.08</v>
      </c>
      <c r="AF350" s="3">
        <f t="shared" si="18"/>
        <v>0</v>
      </c>
      <c r="AG350" s="45">
        <f t="shared" si="19"/>
        <v>0</v>
      </c>
      <c r="AH350" s="55"/>
    </row>
    <row r="351" spans="1:34" x14ac:dyDescent="0.25">
      <c r="A351" t="s">
        <v>1612</v>
      </c>
      <c r="B351" t="s">
        <v>1613</v>
      </c>
      <c r="C351" t="s">
        <v>1614</v>
      </c>
      <c r="D351" t="s">
        <v>1615</v>
      </c>
      <c r="E351" t="s">
        <v>1616</v>
      </c>
      <c r="F351" t="s">
        <v>1617</v>
      </c>
      <c r="G351" t="s">
        <v>5</v>
      </c>
      <c r="H351" t="s">
        <v>65</v>
      </c>
      <c r="I351" t="s">
        <v>66</v>
      </c>
      <c r="J351" t="s">
        <v>67</v>
      </c>
      <c r="K351" t="s">
        <v>3</v>
      </c>
      <c r="L351" t="s">
        <v>4</v>
      </c>
      <c r="M351" t="s">
        <v>49</v>
      </c>
      <c r="N351" t="s">
        <v>1618</v>
      </c>
      <c r="O351" s="31" t="s">
        <v>1619</v>
      </c>
      <c r="P351">
        <v>220</v>
      </c>
      <c r="R351">
        <v>1</v>
      </c>
      <c r="S351" s="31">
        <v>75000</v>
      </c>
      <c r="T351" s="39">
        <v>80000</v>
      </c>
      <c r="U351">
        <v>11666.67</v>
      </c>
      <c r="V351">
        <v>4333.33</v>
      </c>
      <c r="W351">
        <v>0</v>
      </c>
      <c r="X351" s="39">
        <v>18706.669999999998</v>
      </c>
      <c r="Y351">
        <v>0</v>
      </c>
      <c r="Z351" s="31">
        <v>64000</v>
      </c>
      <c r="AA351">
        <v>8</v>
      </c>
      <c r="AB351" s="3">
        <f t="shared" si="17"/>
        <v>64000</v>
      </c>
      <c r="AC351" t="str">
        <f>IF(AB351-S351&lt;0,"YES","NO")</f>
        <v>YES</v>
      </c>
      <c r="AD351">
        <f>IF(AC351="NO",0,AB351-S351)</f>
        <v>-11000</v>
      </c>
      <c r="AE351" s="43">
        <v>0.08</v>
      </c>
      <c r="AF351" s="3">
        <f t="shared" si="18"/>
        <v>-10185.185185185184</v>
      </c>
      <c r="AG351" s="45">
        <f t="shared" si="19"/>
        <v>-11203.703703703704</v>
      </c>
      <c r="AH351" s="55"/>
    </row>
    <row r="352" spans="1:34" x14ac:dyDescent="0.25">
      <c r="A352" t="s">
        <v>1612</v>
      </c>
      <c r="B352" t="s">
        <v>1613</v>
      </c>
      <c r="C352" t="s">
        <v>1614</v>
      </c>
      <c r="D352" t="s">
        <v>1615</v>
      </c>
      <c r="E352" t="s">
        <v>1616</v>
      </c>
      <c r="F352" t="s">
        <v>1617</v>
      </c>
      <c r="G352" t="s">
        <v>5</v>
      </c>
      <c r="H352" t="s">
        <v>65</v>
      </c>
      <c r="I352" t="s">
        <v>78</v>
      </c>
      <c r="J352" t="s">
        <v>79</v>
      </c>
      <c r="K352" t="s">
        <v>3</v>
      </c>
      <c r="L352" t="s">
        <v>4</v>
      </c>
      <c r="M352" t="s">
        <v>49</v>
      </c>
      <c r="N352" t="s">
        <v>1618</v>
      </c>
      <c r="O352" s="31" t="s">
        <v>1619</v>
      </c>
      <c r="P352">
        <v>220</v>
      </c>
      <c r="R352">
        <v>1</v>
      </c>
      <c r="S352" s="31">
        <v>75000</v>
      </c>
      <c r="T352" s="39">
        <v>80000</v>
      </c>
      <c r="U352">
        <v>11666.67</v>
      </c>
      <c r="V352">
        <v>4333.33</v>
      </c>
      <c r="W352">
        <v>0</v>
      </c>
      <c r="X352" s="39">
        <v>18706.669999999998</v>
      </c>
      <c r="Y352">
        <v>0</v>
      </c>
      <c r="Z352" s="31">
        <v>64000</v>
      </c>
      <c r="AA352">
        <v>8</v>
      </c>
      <c r="AB352" s="3">
        <f t="shared" si="17"/>
        <v>64000</v>
      </c>
      <c r="AC352" t="str">
        <f>IF(AB352-S352&lt;0,"YES","NO")</f>
        <v>YES</v>
      </c>
      <c r="AD352">
        <f>IF(AC352="NO",0,AB352-S352)</f>
        <v>-11000</v>
      </c>
      <c r="AE352" s="43">
        <v>0.08</v>
      </c>
      <c r="AF352" s="3">
        <f t="shared" si="18"/>
        <v>-10185.185185185184</v>
      </c>
      <c r="AG352" s="45">
        <f t="shared" si="19"/>
        <v>-11203.703703703704</v>
      </c>
      <c r="AH352" s="55"/>
    </row>
    <row r="353" spans="1:34" x14ac:dyDescent="0.25">
      <c r="A353" t="s">
        <v>1612</v>
      </c>
      <c r="B353" t="s">
        <v>1613</v>
      </c>
      <c r="C353" t="s">
        <v>1614</v>
      </c>
      <c r="D353" t="s">
        <v>1615</v>
      </c>
      <c r="E353" t="s">
        <v>1616</v>
      </c>
      <c r="F353" t="s">
        <v>1617</v>
      </c>
      <c r="G353" t="s">
        <v>5</v>
      </c>
      <c r="H353" t="s">
        <v>65</v>
      </c>
      <c r="I353" t="s">
        <v>80</v>
      </c>
      <c r="J353" t="s">
        <v>81</v>
      </c>
      <c r="K353" t="s">
        <v>3</v>
      </c>
      <c r="L353" t="s">
        <v>4</v>
      </c>
      <c r="M353" t="s">
        <v>49</v>
      </c>
      <c r="N353" t="s">
        <v>1618</v>
      </c>
      <c r="O353" s="31" t="s">
        <v>1619</v>
      </c>
      <c r="P353">
        <v>220</v>
      </c>
      <c r="R353">
        <v>1</v>
      </c>
      <c r="S353" s="31">
        <v>75000</v>
      </c>
      <c r="T353" s="39">
        <v>80000</v>
      </c>
      <c r="U353">
        <v>11666.67</v>
      </c>
      <c r="V353">
        <v>4333.33</v>
      </c>
      <c r="W353">
        <v>0</v>
      </c>
      <c r="X353" s="39">
        <v>18706.669999999998</v>
      </c>
      <c r="Y353">
        <v>0</v>
      </c>
      <c r="Z353" s="31">
        <v>64000</v>
      </c>
      <c r="AA353">
        <v>8</v>
      </c>
      <c r="AB353" s="3">
        <f t="shared" si="17"/>
        <v>64000</v>
      </c>
      <c r="AC353" t="str">
        <f>IF(AB353-S353&lt;0,"YES","NO")</f>
        <v>YES</v>
      </c>
      <c r="AD353">
        <f>IF(AC353="NO",0,AB353-S353)</f>
        <v>-11000</v>
      </c>
      <c r="AE353" s="43">
        <v>0.08</v>
      </c>
      <c r="AF353" s="3">
        <f t="shared" si="18"/>
        <v>-10185.185185185184</v>
      </c>
      <c r="AG353" s="45">
        <f t="shared" si="19"/>
        <v>-11203.703703703704</v>
      </c>
      <c r="AH353" s="55"/>
    </row>
    <row r="354" spans="1:34" x14ac:dyDescent="0.25">
      <c r="A354" t="s">
        <v>1620</v>
      </c>
      <c r="B354" t="s">
        <v>1621</v>
      </c>
      <c r="C354" t="s">
        <v>1622</v>
      </c>
      <c r="D354" t="s">
        <v>1623</v>
      </c>
      <c r="E354" t="s">
        <v>1624</v>
      </c>
      <c r="F354" t="s">
        <v>1625</v>
      </c>
      <c r="G354" t="s">
        <v>5</v>
      </c>
      <c r="H354" t="s">
        <v>65</v>
      </c>
      <c r="I354" t="s">
        <v>66</v>
      </c>
      <c r="J354" t="s">
        <v>67</v>
      </c>
      <c r="K354" t="s">
        <v>3</v>
      </c>
      <c r="L354" t="s">
        <v>4</v>
      </c>
      <c r="M354" t="s">
        <v>49</v>
      </c>
      <c r="N354" t="s">
        <v>1626</v>
      </c>
      <c r="O354" s="31" t="s">
        <v>1627</v>
      </c>
      <c r="P354">
        <v>220</v>
      </c>
      <c r="R354">
        <v>2</v>
      </c>
      <c r="S354" s="31">
        <v>150000</v>
      </c>
      <c r="T354" s="39">
        <v>160000</v>
      </c>
      <c r="U354">
        <v>20000</v>
      </c>
      <c r="V354">
        <v>16000</v>
      </c>
      <c r="W354">
        <v>0</v>
      </c>
      <c r="X354" s="39">
        <v>32400</v>
      </c>
      <c r="Y354">
        <v>0</v>
      </c>
      <c r="Z354" s="31">
        <v>124000</v>
      </c>
      <c r="AA354">
        <v>8</v>
      </c>
      <c r="AB354" s="3">
        <f t="shared" si="17"/>
        <v>124000</v>
      </c>
      <c r="AC354" t="str">
        <f>IF(AB354-S354&lt;0,"YES","NO")</f>
        <v>YES</v>
      </c>
      <c r="AD354">
        <f>IF(AC354="NO",0,AB354-S354)</f>
        <v>-26000</v>
      </c>
      <c r="AE354" s="43">
        <v>0.08</v>
      </c>
      <c r="AF354" s="3">
        <f t="shared" si="18"/>
        <v>-24074.074074074073</v>
      </c>
      <c r="AG354" s="45">
        <f t="shared" si="19"/>
        <v>-26481.481481481482</v>
      </c>
      <c r="AH354" s="55"/>
    </row>
    <row r="355" spans="1:34" x14ac:dyDescent="0.25">
      <c r="A355" t="s">
        <v>1628</v>
      </c>
      <c r="B355" t="s">
        <v>1629</v>
      </c>
      <c r="C355" t="s">
        <v>1630</v>
      </c>
      <c r="D355" t="s">
        <v>1631</v>
      </c>
      <c r="E355" t="s">
        <v>1632</v>
      </c>
      <c r="F355" t="s">
        <v>1633</v>
      </c>
      <c r="G355" t="s">
        <v>5</v>
      </c>
      <c r="H355" t="s">
        <v>65</v>
      </c>
      <c r="I355" t="s">
        <v>106</v>
      </c>
      <c r="J355" t="s">
        <v>107</v>
      </c>
      <c r="K355" t="s">
        <v>3</v>
      </c>
      <c r="L355" t="s">
        <v>4</v>
      </c>
      <c r="M355" t="s">
        <v>49</v>
      </c>
      <c r="N355" t="s">
        <v>1634</v>
      </c>
      <c r="O355" s="31" t="s">
        <v>1635</v>
      </c>
      <c r="P355">
        <v>20</v>
      </c>
      <c r="Q355" t="s">
        <v>108</v>
      </c>
      <c r="R355">
        <v>1</v>
      </c>
      <c r="S355" s="31">
        <v>0</v>
      </c>
      <c r="T355" s="39">
        <v>0</v>
      </c>
      <c r="U355">
        <v>0</v>
      </c>
      <c r="V355">
        <v>0</v>
      </c>
      <c r="W355">
        <v>0</v>
      </c>
      <c r="X355" s="39">
        <v>0</v>
      </c>
      <c r="Y355">
        <v>0</v>
      </c>
      <c r="Z355" s="31">
        <v>0</v>
      </c>
      <c r="AA355">
        <v>8</v>
      </c>
      <c r="AB355" s="3">
        <f t="shared" si="17"/>
        <v>0</v>
      </c>
      <c r="AC355" t="str">
        <f>IF(AB355-S355&lt;0,"YES","NO")</f>
        <v>NO</v>
      </c>
      <c r="AD355">
        <f>IF(AC355="NO",0,AB355-S355)</f>
        <v>0</v>
      </c>
      <c r="AE355" s="43">
        <v>0.08</v>
      </c>
      <c r="AF355" s="3">
        <f t="shared" si="18"/>
        <v>0</v>
      </c>
      <c r="AG355" s="45">
        <f t="shared" si="19"/>
        <v>0</v>
      </c>
      <c r="AH355" s="55"/>
    </row>
    <row r="356" spans="1:34" x14ac:dyDescent="0.25">
      <c r="A356" t="s">
        <v>1628</v>
      </c>
      <c r="B356" t="s">
        <v>1629</v>
      </c>
      <c r="C356" t="s">
        <v>1630</v>
      </c>
      <c r="D356" t="s">
        <v>1631</v>
      </c>
      <c r="E356" t="s">
        <v>1632</v>
      </c>
      <c r="F356" t="s">
        <v>1633</v>
      </c>
      <c r="G356" t="s">
        <v>5</v>
      </c>
      <c r="H356" t="s">
        <v>65</v>
      </c>
      <c r="I356" t="s">
        <v>71</v>
      </c>
      <c r="J356" t="s">
        <v>72</v>
      </c>
      <c r="K356" t="s">
        <v>3</v>
      </c>
      <c r="L356" t="s">
        <v>4</v>
      </c>
      <c r="M356" t="s">
        <v>49</v>
      </c>
      <c r="N356" t="s">
        <v>1634</v>
      </c>
      <c r="O356" s="31" t="s">
        <v>1635</v>
      </c>
      <c r="P356">
        <v>220</v>
      </c>
      <c r="Q356" t="s">
        <v>70</v>
      </c>
      <c r="R356">
        <v>6</v>
      </c>
      <c r="S356" s="31">
        <v>354000</v>
      </c>
      <c r="T356" s="39">
        <v>390000</v>
      </c>
      <c r="U356">
        <v>75000</v>
      </c>
      <c r="V356">
        <v>25000.02</v>
      </c>
      <c r="W356">
        <v>0</v>
      </c>
      <c r="X356" s="39">
        <v>121399.98</v>
      </c>
      <c r="Y356">
        <v>0</v>
      </c>
      <c r="Z356" s="31">
        <v>289999.98</v>
      </c>
      <c r="AA356">
        <v>8</v>
      </c>
      <c r="AB356" s="3">
        <f t="shared" si="17"/>
        <v>289999.98</v>
      </c>
      <c r="AC356" t="str">
        <f>IF(AB356-S356&lt;0,"YES","NO")</f>
        <v>YES</v>
      </c>
      <c r="AD356">
        <f>IF(AC356="NO",0,AB356-S356)</f>
        <v>-64000.020000000019</v>
      </c>
      <c r="AE356" s="43">
        <v>0.08</v>
      </c>
      <c r="AF356" s="3">
        <f t="shared" si="18"/>
        <v>-59259.277777777788</v>
      </c>
      <c r="AG356" s="45">
        <f t="shared" si="19"/>
        <v>-65185.205555555571</v>
      </c>
      <c r="AH356" s="55"/>
    </row>
    <row r="357" spans="1:34" x14ac:dyDescent="0.25">
      <c r="A357" t="s">
        <v>1628</v>
      </c>
      <c r="B357" t="s">
        <v>1629</v>
      </c>
      <c r="C357" t="s">
        <v>1630</v>
      </c>
      <c r="D357" t="s">
        <v>1631</v>
      </c>
      <c r="E357" t="s">
        <v>1632</v>
      </c>
      <c r="F357" t="s">
        <v>1633</v>
      </c>
      <c r="G357" t="s">
        <v>5</v>
      </c>
      <c r="H357" t="s">
        <v>65</v>
      </c>
      <c r="I357" t="s">
        <v>78</v>
      </c>
      <c r="J357" t="s">
        <v>79</v>
      </c>
      <c r="K357" t="s">
        <v>3</v>
      </c>
      <c r="L357" t="s">
        <v>4</v>
      </c>
      <c r="M357" t="s">
        <v>49</v>
      </c>
      <c r="N357" t="s">
        <v>1634</v>
      </c>
      <c r="O357" s="31" t="s">
        <v>1635</v>
      </c>
      <c r="P357">
        <v>220</v>
      </c>
      <c r="R357">
        <v>3</v>
      </c>
      <c r="S357" s="31">
        <v>225000</v>
      </c>
      <c r="T357" s="39">
        <v>240000</v>
      </c>
      <c r="U357">
        <v>0</v>
      </c>
      <c r="V357">
        <v>12999.99</v>
      </c>
      <c r="W357">
        <v>0</v>
      </c>
      <c r="X357" s="39">
        <v>36320.01</v>
      </c>
      <c r="Y357">
        <v>0</v>
      </c>
      <c r="Z357" s="31">
        <v>227000.01</v>
      </c>
      <c r="AA357">
        <v>8</v>
      </c>
      <c r="AB357" s="3">
        <f t="shared" si="17"/>
        <v>227000.01</v>
      </c>
      <c r="AC357" t="str">
        <f>IF(AB357-S357&lt;0,"YES","NO")</f>
        <v>NO</v>
      </c>
      <c r="AD357">
        <f>IF(AC357="NO",0,AB357-S357)</f>
        <v>0</v>
      </c>
      <c r="AE357" s="43">
        <v>0.08</v>
      </c>
      <c r="AF357" s="3">
        <f t="shared" si="18"/>
        <v>0</v>
      </c>
      <c r="AG357" s="45">
        <f t="shared" si="19"/>
        <v>0</v>
      </c>
      <c r="AH357" s="55"/>
    </row>
    <row r="358" spans="1:34" x14ac:dyDescent="0.25">
      <c r="A358" t="s">
        <v>1636</v>
      </c>
      <c r="B358" t="s">
        <v>1637</v>
      </c>
      <c r="C358" t="s">
        <v>1638</v>
      </c>
      <c r="D358" t="s">
        <v>1639</v>
      </c>
      <c r="E358" t="s">
        <v>1640</v>
      </c>
      <c r="F358" t="s">
        <v>1641</v>
      </c>
      <c r="G358" t="s">
        <v>5</v>
      </c>
      <c r="H358" t="s">
        <v>65</v>
      </c>
      <c r="I358" t="s">
        <v>68</v>
      </c>
      <c r="J358" t="s">
        <v>69</v>
      </c>
      <c r="K358" t="s">
        <v>3</v>
      </c>
      <c r="L358" t="s">
        <v>4</v>
      </c>
      <c r="M358" t="s">
        <v>49</v>
      </c>
      <c r="N358" t="s">
        <v>1642</v>
      </c>
      <c r="O358" s="31" t="s">
        <v>1643</v>
      </c>
      <c r="P358">
        <v>220</v>
      </c>
      <c r="Q358" t="s">
        <v>70</v>
      </c>
      <c r="R358">
        <v>1</v>
      </c>
      <c r="S358" s="31">
        <v>59000</v>
      </c>
      <c r="T358" s="39">
        <v>65000</v>
      </c>
      <c r="U358">
        <v>5303</v>
      </c>
      <c r="V358">
        <v>5000</v>
      </c>
      <c r="W358">
        <v>0</v>
      </c>
      <c r="X358" s="39">
        <v>14054.33</v>
      </c>
      <c r="Y358">
        <v>0</v>
      </c>
      <c r="Z358" s="31">
        <v>54697</v>
      </c>
      <c r="AA358">
        <v>8</v>
      </c>
      <c r="AB358" s="3">
        <f t="shared" si="17"/>
        <v>54697</v>
      </c>
      <c r="AC358" t="str">
        <f>IF(AB358-S358&lt;0,"YES","NO")</f>
        <v>YES</v>
      </c>
      <c r="AD358">
        <f>IF(AC358="NO",0,AB358-S358)</f>
        <v>-4303</v>
      </c>
      <c r="AE358" s="43">
        <v>0.08</v>
      </c>
      <c r="AF358" s="3">
        <f t="shared" si="18"/>
        <v>-3984.2592592592591</v>
      </c>
      <c r="AG358" s="45">
        <f t="shared" si="19"/>
        <v>-4382.6851851851852</v>
      </c>
      <c r="AH358" s="55"/>
    </row>
    <row r="359" spans="1:34" x14ac:dyDescent="0.25">
      <c r="A359" t="s">
        <v>1636</v>
      </c>
      <c r="B359" t="s">
        <v>1637</v>
      </c>
      <c r="C359" t="s">
        <v>1638</v>
      </c>
      <c r="D359" t="s">
        <v>1639</v>
      </c>
      <c r="E359" t="s">
        <v>1640</v>
      </c>
      <c r="F359" t="s">
        <v>1641</v>
      </c>
      <c r="G359" t="s">
        <v>5</v>
      </c>
      <c r="H359" t="s">
        <v>65</v>
      </c>
      <c r="I359" t="s">
        <v>71</v>
      </c>
      <c r="J359" t="s">
        <v>72</v>
      </c>
      <c r="K359" t="s">
        <v>3</v>
      </c>
      <c r="L359" t="s">
        <v>4</v>
      </c>
      <c r="M359" t="s">
        <v>49</v>
      </c>
      <c r="N359" t="s">
        <v>1642</v>
      </c>
      <c r="O359" s="31" t="s">
        <v>1643</v>
      </c>
      <c r="P359">
        <v>220</v>
      </c>
      <c r="Q359" t="s">
        <v>70</v>
      </c>
      <c r="R359">
        <v>1</v>
      </c>
      <c r="S359" s="31">
        <v>59000</v>
      </c>
      <c r="T359" s="39">
        <v>65000</v>
      </c>
      <c r="U359">
        <v>5303</v>
      </c>
      <c r="V359">
        <v>5000</v>
      </c>
      <c r="W359">
        <v>0</v>
      </c>
      <c r="X359" s="39">
        <v>14054.33</v>
      </c>
      <c r="Y359">
        <v>0</v>
      </c>
      <c r="Z359" s="31">
        <v>54697</v>
      </c>
      <c r="AA359">
        <v>8</v>
      </c>
      <c r="AB359" s="3">
        <f t="shared" si="17"/>
        <v>54697</v>
      </c>
      <c r="AC359" t="str">
        <f>IF(AB359-S359&lt;0,"YES","NO")</f>
        <v>YES</v>
      </c>
      <c r="AD359">
        <f>IF(AC359="NO",0,AB359-S359)</f>
        <v>-4303</v>
      </c>
      <c r="AE359" s="43">
        <v>0.08</v>
      </c>
      <c r="AF359" s="3">
        <f t="shared" si="18"/>
        <v>-3984.2592592592591</v>
      </c>
      <c r="AG359" s="45">
        <f t="shared" si="19"/>
        <v>-4382.6851851851852</v>
      </c>
      <c r="AH359" s="55"/>
    </row>
    <row r="360" spans="1:34" x14ac:dyDescent="0.25">
      <c r="A360" t="s">
        <v>1636</v>
      </c>
      <c r="B360" t="s">
        <v>1637</v>
      </c>
      <c r="C360" t="s">
        <v>1638</v>
      </c>
      <c r="D360" t="s">
        <v>1639</v>
      </c>
      <c r="E360" t="s">
        <v>1640</v>
      </c>
      <c r="F360" t="s">
        <v>1641</v>
      </c>
      <c r="G360" t="s">
        <v>5</v>
      </c>
      <c r="H360" t="s">
        <v>65</v>
      </c>
      <c r="I360" t="s">
        <v>73</v>
      </c>
      <c r="J360" t="s">
        <v>74</v>
      </c>
      <c r="K360" t="s">
        <v>3</v>
      </c>
      <c r="L360" t="s">
        <v>4</v>
      </c>
      <c r="M360" t="s">
        <v>49</v>
      </c>
      <c r="N360" t="s">
        <v>1642</v>
      </c>
      <c r="O360" s="31" t="s">
        <v>1643</v>
      </c>
      <c r="P360">
        <v>220</v>
      </c>
      <c r="Q360" t="s">
        <v>70</v>
      </c>
      <c r="R360">
        <v>1</v>
      </c>
      <c r="S360" s="31">
        <v>59000</v>
      </c>
      <c r="T360" s="39">
        <v>65000</v>
      </c>
      <c r="U360">
        <v>5303</v>
      </c>
      <c r="V360">
        <v>5000</v>
      </c>
      <c r="W360">
        <v>0</v>
      </c>
      <c r="X360" s="39">
        <v>14054.33</v>
      </c>
      <c r="Y360">
        <v>0</v>
      </c>
      <c r="Z360" s="31">
        <v>54697</v>
      </c>
      <c r="AA360">
        <v>8</v>
      </c>
      <c r="AB360" s="3">
        <f t="shared" si="17"/>
        <v>54697</v>
      </c>
      <c r="AC360" t="str">
        <f>IF(AB360-S360&lt;0,"YES","NO")</f>
        <v>YES</v>
      </c>
      <c r="AD360">
        <f>IF(AC360="NO",0,AB360-S360)</f>
        <v>-4303</v>
      </c>
      <c r="AE360" s="43">
        <v>0.08</v>
      </c>
      <c r="AF360" s="3">
        <f t="shared" si="18"/>
        <v>-3984.2592592592591</v>
      </c>
      <c r="AG360" s="45">
        <f t="shared" si="19"/>
        <v>-4382.6851851851852</v>
      </c>
      <c r="AH360" s="55"/>
    </row>
    <row r="361" spans="1:34" x14ac:dyDescent="0.25">
      <c r="A361" t="s">
        <v>1636</v>
      </c>
      <c r="B361" t="s">
        <v>1637</v>
      </c>
      <c r="C361" t="s">
        <v>1638</v>
      </c>
      <c r="D361" t="s">
        <v>1639</v>
      </c>
      <c r="E361" t="s">
        <v>1640</v>
      </c>
      <c r="F361" t="s">
        <v>1641</v>
      </c>
      <c r="G361" t="s">
        <v>5</v>
      </c>
      <c r="H361" t="s">
        <v>65</v>
      </c>
      <c r="I361" t="s">
        <v>66</v>
      </c>
      <c r="J361" t="s">
        <v>67</v>
      </c>
      <c r="K361" t="s">
        <v>3</v>
      </c>
      <c r="L361" t="s">
        <v>4</v>
      </c>
      <c r="M361" t="s">
        <v>49</v>
      </c>
      <c r="N361" t="s">
        <v>1642</v>
      </c>
      <c r="O361" s="31" t="s">
        <v>1643</v>
      </c>
      <c r="P361">
        <v>220</v>
      </c>
      <c r="R361">
        <v>3</v>
      </c>
      <c r="S361" s="31">
        <v>225000</v>
      </c>
      <c r="T361" s="39">
        <v>240000</v>
      </c>
      <c r="U361">
        <v>19091.009999999998</v>
      </c>
      <c r="V361">
        <v>24000</v>
      </c>
      <c r="W361">
        <v>0</v>
      </c>
      <c r="X361" s="39">
        <v>50597.01</v>
      </c>
      <c r="Y361">
        <v>0</v>
      </c>
      <c r="Z361" s="31">
        <v>196908.99</v>
      </c>
      <c r="AA361">
        <v>8</v>
      </c>
      <c r="AB361" s="3">
        <f t="shared" si="17"/>
        <v>196908.99</v>
      </c>
      <c r="AC361" t="str">
        <f>IF(AB361-S361&lt;0,"YES","NO")</f>
        <v>YES</v>
      </c>
      <c r="AD361">
        <f>IF(AC361="NO",0,AB361-S361)</f>
        <v>-28091.010000000009</v>
      </c>
      <c r="AE361" s="43">
        <v>0.08</v>
      </c>
      <c r="AF361" s="3">
        <f t="shared" si="18"/>
        <v>-26010.194444444453</v>
      </c>
      <c r="AG361" s="45">
        <f t="shared" si="19"/>
        <v>-28611.213888888899</v>
      </c>
      <c r="AH361" s="55"/>
    </row>
    <row r="362" spans="1:34" x14ac:dyDescent="0.25">
      <c r="A362" t="s">
        <v>1644</v>
      </c>
      <c r="B362" t="s">
        <v>1645</v>
      </c>
      <c r="C362" t="s">
        <v>1646</v>
      </c>
      <c r="D362" t="s">
        <v>1647</v>
      </c>
      <c r="E362" t="s">
        <v>1648</v>
      </c>
      <c r="F362" t="s">
        <v>1649</v>
      </c>
      <c r="G362" t="s">
        <v>5</v>
      </c>
      <c r="H362" t="s">
        <v>65</v>
      </c>
      <c r="I362" t="s">
        <v>66</v>
      </c>
      <c r="J362" t="s">
        <v>67</v>
      </c>
      <c r="K362" t="s">
        <v>3</v>
      </c>
      <c r="L362" t="s">
        <v>4</v>
      </c>
      <c r="M362" t="s">
        <v>49</v>
      </c>
      <c r="N362" t="s">
        <v>1650</v>
      </c>
      <c r="O362" s="31" t="s">
        <v>1651</v>
      </c>
      <c r="P362">
        <v>220</v>
      </c>
      <c r="R362">
        <v>3</v>
      </c>
      <c r="S362" s="31">
        <v>225000</v>
      </c>
      <c r="T362" s="39">
        <v>240000</v>
      </c>
      <c r="U362">
        <v>35000.01</v>
      </c>
      <c r="V362">
        <v>24000</v>
      </c>
      <c r="W362">
        <v>0</v>
      </c>
      <c r="X362" s="39">
        <v>71199.990000000005</v>
      </c>
      <c r="Y362">
        <v>0</v>
      </c>
      <c r="Z362" s="31">
        <v>180999.99</v>
      </c>
      <c r="AA362">
        <v>8</v>
      </c>
      <c r="AB362" s="3">
        <f t="shared" si="17"/>
        <v>180999.99</v>
      </c>
      <c r="AC362" t="str">
        <f>IF(AB362-S362&lt;0,"YES","NO")</f>
        <v>YES</v>
      </c>
      <c r="AD362">
        <f>IF(AC362="NO",0,AB362-S362)</f>
        <v>-44000.010000000009</v>
      </c>
      <c r="AE362" s="43">
        <v>0.08</v>
      </c>
      <c r="AF362" s="3">
        <f t="shared" si="18"/>
        <v>-40740.750000000007</v>
      </c>
      <c r="AG362" s="45">
        <f t="shared" si="19"/>
        <v>-44814.825000000012</v>
      </c>
      <c r="AH362" s="55"/>
    </row>
    <row r="363" spans="1:34" x14ac:dyDescent="0.25">
      <c r="A363" t="s">
        <v>1652</v>
      </c>
      <c r="B363" t="s">
        <v>1653</v>
      </c>
      <c r="C363" t="s">
        <v>1654</v>
      </c>
      <c r="D363" t="s">
        <v>1655</v>
      </c>
      <c r="E363" t="s">
        <v>1656</v>
      </c>
      <c r="F363" t="s">
        <v>1657</v>
      </c>
      <c r="G363" t="s">
        <v>5</v>
      </c>
      <c r="H363" t="s">
        <v>61</v>
      </c>
      <c r="I363" t="s">
        <v>84</v>
      </c>
      <c r="J363" t="s">
        <v>85</v>
      </c>
      <c r="K363" t="s">
        <v>3</v>
      </c>
      <c r="L363" t="s">
        <v>4</v>
      </c>
      <c r="M363" t="s">
        <v>49</v>
      </c>
      <c r="N363" t="s">
        <v>1658</v>
      </c>
      <c r="O363" s="31" t="s">
        <v>1659</v>
      </c>
      <c r="P363">
        <v>100</v>
      </c>
      <c r="Q363" t="s">
        <v>86</v>
      </c>
      <c r="R363">
        <v>1</v>
      </c>
      <c r="S363" s="31">
        <v>0</v>
      </c>
      <c r="T363" s="39">
        <v>0</v>
      </c>
      <c r="U363">
        <v>0</v>
      </c>
      <c r="V363">
        <v>0</v>
      </c>
      <c r="W363">
        <v>0</v>
      </c>
      <c r="X363" s="39">
        <v>0</v>
      </c>
      <c r="Y363">
        <v>0</v>
      </c>
      <c r="Z363" s="31">
        <v>0</v>
      </c>
      <c r="AA363">
        <v>8</v>
      </c>
      <c r="AB363" s="3">
        <f t="shared" si="17"/>
        <v>0</v>
      </c>
      <c r="AC363" t="str">
        <f>IF(AB363-S363&lt;0,"YES","NO")</f>
        <v>NO</v>
      </c>
      <c r="AD363">
        <f>IF(AC363="NO",0,AB363-S363)</f>
        <v>0</v>
      </c>
      <c r="AE363" s="43">
        <v>0.08</v>
      </c>
      <c r="AF363" s="3">
        <f t="shared" si="18"/>
        <v>0</v>
      </c>
      <c r="AG363" s="45">
        <f t="shared" si="19"/>
        <v>0</v>
      </c>
      <c r="AH363" s="55"/>
    </row>
    <row r="364" spans="1:34" x14ac:dyDescent="0.25">
      <c r="A364" t="s">
        <v>1652</v>
      </c>
      <c r="B364" t="s">
        <v>1653</v>
      </c>
      <c r="C364" t="s">
        <v>1654</v>
      </c>
      <c r="D364" t="s">
        <v>1655</v>
      </c>
      <c r="E364" t="s">
        <v>1656</v>
      </c>
      <c r="F364" t="s">
        <v>1657</v>
      </c>
      <c r="G364" t="s">
        <v>5</v>
      </c>
      <c r="H364" t="s">
        <v>65</v>
      </c>
      <c r="I364" t="s">
        <v>66</v>
      </c>
      <c r="J364" t="s">
        <v>67</v>
      </c>
      <c r="K364" t="s">
        <v>3</v>
      </c>
      <c r="L364" t="s">
        <v>4</v>
      </c>
      <c r="M364" t="s">
        <v>49</v>
      </c>
      <c r="N364" t="s">
        <v>1658</v>
      </c>
      <c r="O364" s="31" t="s">
        <v>1659</v>
      </c>
      <c r="P364">
        <v>220</v>
      </c>
      <c r="R364">
        <v>2</v>
      </c>
      <c r="S364" s="31">
        <v>150000</v>
      </c>
      <c r="T364" s="39">
        <v>160000</v>
      </c>
      <c r="U364">
        <v>20000</v>
      </c>
      <c r="V364">
        <v>16000</v>
      </c>
      <c r="W364">
        <v>0</v>
      </c>
      <c r="X364" s="39">
        <v>51000</v>
      </c>
      <c r="Y364">
        <v>0</v>
      </c>
      <c r="Z364" s="31">
        <v>124000</v>
      </c>
      <c r="AA364">
        <v>8</v>
      </c>
      <c r="AB364" s="3">
        <f t="shared" si="17"/>
        <v>124000</v>
      </c>
      <c r="AC364" t="str">
        <f>IF(AB364-S364&lt;0,"YES","NO")</f>
        <v>YES</v>
      </c>
      <c r="AD364">
        <f>IF(AC364="NO",0,AB364-S364)</f>
        <v>-26000</v>
      </c>
      <c r="AE364" s="43">
        <v>0.08</v>
      </c>
      <c r="AF364" s="3">
        <f t="shared" si="18"/>
        <v>-24074.074074074073</v>
      </c>
      <c r="AG364" s="45">
        <f t="shared" si="19"/>
        <v>-26481.481481481482</v>
      </c>
      <c r="AH364" s="55"/>
    </row>
    <row r="365" spans="1:34" x14ac:dyDescent="0.25">
      <c r="A365" t="s">
        <v>1660</v>
      </c>
      <c r="B365" t="s">
        <v>1661</v>
      </c>
      <c r="C365" t="s">
        <v>1662</v>
      </c>
      <c r="D365" t="s">
        <v>1663</v>
      </c>
      <c r="E365" t="s">
        <v>1664</v>
      </c>
      <c r="F365" t="s">
        <v>1665</v>
      </c>
      <c r="G365" t="s">
        <v>5</v>
      </c>
      <c r="H365" t="s">
        <v>61</v>
      </c>
      <c r="I365" t="s">
        <v>84</v>
      </c>
      <c r="J365" t="s">
        <v>85</v>
      </c>
      <c r="K365" t="s">
        <v>3</v>
      </c>
      <c r="L365" t="s">
        <v>4</v>
      </c>
      <c r="M365" t="s">
        <v>49</v>
      </c>
      <c r="N365" t="s">
        <v>1666</v>
      </c>
      <c r="O365" s="31" t="s">
        <v>1667</v>
      </c>
      <c r="P365">
        <v>100</v>
      </c>
      <c r="Q365" t="s">
        <v>86</v>
      </c>
      <c r="R365">
        <v>1</v>
      </c>
      <c r="S365" s="31">
        <v>0</v>
      </c>
      <c r="T365" s="39">
        <v>0</v>
      </c>
      <c r="U365">
        <v>0</v>
      </c>
      <c r="V365">
        <v>0</v>
      </c>
      <c r="W365">
        <v>0</v>
      </c>
      <c r="X365" s="39">
        <v>0</v>
      </c>
      <c r="Y365">
        <v>0</v>
      </c>
      <c r="Z365" s="31">
        <v>0</v>
      </c>
      <c r="AA365">
        <v>8</v>
      </c>
      <c r="AB365" s="3">
        <f t="shared" si="17"/>
        <v>0</v>
      </c>
      <c r="AC365" t="str">
        <f>IF(AB365-S365&lt;0,"YES","NO")</f>
        <v>NO</v>
      </c>
      <c r="AD365">
        <f>IF(AC365="NO",0,AB365-S365)</f>
        <v>0</v>
      </c>
      <c r="AE365" s="43">
        <v>0.08</v>
      </c>
      <c r="AF365" s="3">
        <f t="shared" si="18"/>
        <v>0</v>
      </c>
      <c r="AG365" s="45">
        <f t="shared" si="19"/>
        <v>0</v>
      </c>
      <c r="AH365" s="55"/>
    </row>
    <row r="366" spans="1:34" x14ac:dyDescent="0.25">
      <c r="A366" t="s">
        <v>1660</v>
      </c>
      <c r="B366" t="s">
        <v>1661</v>
      </c>
      <c r="C366" t="s">
        <v>1662</v>
      </c>
      <c r="D366" t="s">
        <v>1663</v>
      </c>
      <c r="E366" t="s">
        <v>1664</v>
      </c>
      <c r="F366" t="s">
        <v>1665</v>
      </c>
      <c r="G366" t="s">
        <v>5</v>
      </c>
      <c r="H366" t="s">
        <v>65</v>
      </c>
      <c r="I366" t="s">
        <v>66</v>
      </c>
      <c r="J366" t="s">
        <v>67</v>
      </c>
      <c r="K366" t="s">
        <v>3</v>
      </c>
      <c r="L366" t="s">
        <v>4</v>
      </c>
      <c r="M366" t="s">
        <v>49</v>
      </c>
      <c r="N366" t="s">
        <v>1666</v>
      </c>
      <c r="O366" s="31" t="s">
        <v>1667</v>
      </c>
      <c r="P366">
        <v>220</v>
      </c>
      <c r="R366">
        <v>2</v>
      </c>
      <c r="S366" s="31">
        <v>150000</v>
      </c>
      <c r="T366" s="39">
        <v>160000</v>
      </c>
      <c r="U366">
        <v>20000</v>
      </c>
      <c r="V366">
        <v>16000</v>
      </c>
      <c r="W366">
        <v>0</v>
      </c>
      <c r="X366" s="39">
        <v>34880</v>
      </c>
      <c r="Y366">
        <v>0</v>
      </c>
      <c r="Z366" s="31">
        <v>124000</v>
      </c>
      <c r="AA366">
        <v>8</v>
      </c>
      <c r="AB366" s="3">
        <f t="shared" si="17"/>
        <v>124000</v>
      </c>
      <c r="AC366" t="str">
        <f>IF(AB366-S366&lt;0,"YES","NO")</f>
        <v>YES</v>
      </c>
      <c r="AD366">
        <f>IF(AC366="NO",0,AB366-S366)</f>
        <v>-26000</v>
      </c>
      <c r="AE366" s="43">
        <v>0.08</v>
      </c>
      <c r="AF366" s="3">
        <f t="shared" si="18"/>
        <v>-24074.074074074073</v>
      </c>
      <c r="AG366" s="45">
        <f t="shared" si="19"/>
        <v>-26481.481481481482</v>
      </c>
      <c r="AH366" s="55"/>
    </row>
    <row r="367" spans="1:34" x14ac:dyDescent="0.25">
      <c r="A367" t="s">
        <v>1668</v>
      </c>
      <c r="B367" t="s">
        <v>1669</v>
      </c>
      <c r="C367" t="s">
        <v>1670</v>
      </c>
      <c r="D367" t="s">
        <v>1671</v>
      </c>
      <c r="E367" t="s">
        <v>1672</v>
      </c>
      <c r="F367" t="s">
        <v>1673</v>
      </c>
      <c r="G367" t="s">
        <v>5</v>
      </c>
      <c r="H367" t="s">
        <v>61</v>
      </c>
      <c r="I367" t="s">
        <v>84</v>
      </c>
      <c r="J367" t="s">
        <v>85</v>
      </c>
      <c r="K367" t="s">
        <v>3</v>
      </c>
      <c r="L367" t="s">
        <v>4</v>
      </c>
      <c r="M367" t="s">
        <v>49</v>
      </c>
      <c r="N367" t="s">
        <v>1674</v>
      </c>
      <c r="O367" s="31" t="s">
        <v>1675</v>
      </c>
      <c r="P367">
        <v>100</v>
      </c>
      <c r="Q367" t="s">
        <v>86</v>
      </c>
      <c r="R367">
        <v>1</v>
      </c>
      <c r="S367" s="31">
        <v>0</v>
      </c>
      <c r="T367" s="39">
        <v>0</v>
      </c>
      <c r="U367">
        <v>0</v>
      </c>
      <c r="V367">
        <v>0</v>
      </c>
      <c r="W367">
        <v>0</v>
      </c>
      <c r="X367" s="39">
        <v>0</v>
      </c>
      <c r="Y367">
        <v>0</v>
      </c>
      <c r="Z367" s="31">
        <v>0</v>
      </c>
      <c r="AA367">
        <v>8</v>
      </c>
      <c r="AB367" s="3">
        <f t="shared" si="17"/>
        <v>0</v>
      </c>
      <c r="AC367" t="str">
        <f>IF(AB367-S367&lt;0,"YES","NO")</f>
        <v>NO</v>
      </c>
      <c r="AD367">
        <f>IF(AC367="NO",0,AB367-S367)</f>
        <v>0</v>
      </c>
      <c r="AE367" s="43">
        <v>0.08</v>
      </c>
      <c r="AF367" s="3">
        <f t="shared" si="18"/>
        <v>0</v>
      </c>
      <c r="AG367" s="45">
        <f t="shared" si="19"/>
        <v>0</v>
      </c>
      <c r="AH367" s="55"/>
    </row>
    <row r="368" spans="1:34" x14ac:dyDescent="0.25">
      <c r="A368" t="s">
        <v>1668</v>
      </c>
      <c r="B368" t="s">
        <v>1669</v>
      </c>
      <c r="C368" t="s">
        <v>1670</v>
      </c>
      <c r="D368" t="s">
        <v>1671</v>
      </c>
      <c r="E368" t="s">
        <v>1672</v>
      </c>
      <c r="F368" t="s">
        <v>1673</v>
      </c>
      <c r="G368" t="s">
        <v>5</v>
      </c>
      <c r="H368" t="s">
        <v>65</v>
      </c>
      <c r="I368" t="s">
        <v>66</v>
      </c>
      <c r="J368" t="s">
        <v>67</v>
      </c>
      <c r="K368" t="s">
        <v>3</v>
      </c>
      <c r="L368" t="s">
        <v>4</v>
      </c>
      <c r="M368" t="s">
        <v>49</v>
      </c>
      <c r="N368" t="s">
        <v>1674</v>
      </c>
      <c r="O368" s="31" t="s">
        <v>1675</v>
      </c>
      <c r="P368">
        <v>220</v>
      </c>
      <c r="R368">
        <v>6</v>
      </c>
      <c r="S368" s="31">
        <v>450000</v>
      </c>
      <c r="T368" s="39">
        <v>480000</v>
      </c>
      <c r="U368">
        <v>39999.96</v>
      </c>
      <c r="V368">
        <v>25000.02</v>
      </c>
      <c r="W368">
        <v>0</v>
      </c>
      <c r="X368" s="39">
        <v>106399.98</v>
      </c>
      <c r="Y368">
        <v>0</v>
      </c>
      <c r="Z368" s="31">
        <v>415000.02</v>
      </c>
      <c r="AA368">
        <v>8</v>
      </c>
      <c r="AB368" s="3">
        <f t="shared" si="17"/>
        <v>415000.02</v>
      </c>
      <c r="AC368" t="str">
        <f>IF(AB368-S368&lt;0,"YES","NO")</f>
        <v>YES</v>
      </c>
      <c r="AD368">
        <f>IF(AC368="NO",0,AB368-S368)</f>
        <v>-34999.979999999981</v>
      </c>
      <c r="AE368" s="43">
        <v>0.08</v>
      </c>
      <c r="AF368" s="3">
        <f t="shared" si="18"/>
        <v>-32407.388888888869</v>
      </c>
      <c r="AG368" s="45">
        <f t="shared" si="19"/>
        <v>-35648.127777777758</v>
      </c>
      <c r="AH368" s="55"/>
    </row>
    <row r="369" spans="1:34" x14ac:dyDescent="0.25">
      <c r="A369" t="s">
        <v>1668</v>
      </c>
      <c r="B369" t="s">
        <v>1669</v>
      </c>
      <c r="C369" t="s">
        <v>1670</v>
      </c>
      <c r="D369" t="s">
        <v>1671</v>
      </c>
      <c r="E369" t="s">
        <v>1672</v>
      </c>
      <c r="F369" t="s">
        <v>1673</v>
      </c>
      <c r="G369" t="s">
        <v>5</v>
      </c>
      <c r="H369" t="s">
        <v>65</v>
      </c>
      <c r="I369" t="s">
        <v>78</v>
      </c>
      <c r="J369" t="s">
        <v>79</v>
      </c>
      <c r="K369" t="s">
        <v>3</v>
      </c>
      <c r="L369" t="s">
        <v>4</v>
      </c>
      <c r="M369" t="s">
        <v>49</v>
      </c>
      <c r="N369" t="s">
        <v>1674</v>
      </c>
      <c r="O369" s="31" t="s">
        <v>1675</v>
      </c>
      <c r="P369">
        <v>220</v>
      </c>
      <c r="R369">
        <v>6</v>
      </c>
      <c r="S369" s="31">
        <v>450000</v>
      </c>
      <c r="T369" s="39">
        <v>480000</v>
      </c>
      <c r="U369">
        <v>39999.96</v>
      </c>
      <c r="V369">
        <v>25000.02</v>
      </c>
      <c r="W369">
        <v>0</v>
      </c>
      <c r="X369" s="39">
        <v>106399.98</v>
      </c>
      <c r="Y369">
        <v>0</v>
      </c>
      <c r="Z369" s="31">
        <v>415000.02</v>
      </c>
      <c r="AA369">
        <v>8</v>
      </c>
      <c r="AB369" s="3">
        <f t="shared" si="17"/>
        <v>415000.02</v>
      </c>
      <c r="AC369" t="str">
        <f>IF(AB369-S369&lt;0,"YES","NO")</f>
        <v>YES</v>
      </c>
      <c r="AD369">
        <f>IF(AC369="NO",0,AB369-S369)</f>
        <v>-34999.979999999981</v>
      </c>
      <c r="AE369" s="43">
        <v>0.08</v>
      </c>
      <c r="AF369" s="3">
        <f t="shared" si="18"/>
        <v>-32407.388888888869</v>
      </c>
      <c r="AG369" s="45">
        <f t="shared" si="19"/>
        <v>-35648.127777777758</v>
      </c>
      <c r="AH369" s="55"/>
    </row>
    <row r="370" spans="1:34" x14ac:dyDescent="0.25">
      <c r="A370" t="s">
        <v>1676</v>
      </c>
      <c r="B370" t="s">
        <v>1677</v>
      </c>
      <c r="C370" t="s">
        <v>1678</v>
      </c>
      <c r="D370" t="s">
        <v>1679</v>
      </c>
      <c r="E370" t="s">
        <v>1680</v>
      </c>
      <c r="F370" t="s">
        <v>1681</v>
      </c>
      <c r="G370" t="s">
        <v>5</v>
      </c>
      <c r="H370" t="s">
        <v>61</v>
      </c>
      <c r="I370" t="s">
        <v>84</v>
      </c>
      <c r="J370" t="s">
        <v>85</v>
      </c>
      <c r="K370" t="s">
        <v>3</v>
      </c>
      <c r="L370" t="s">
        <v>4</v>
      </c>
      <c r="M370" t="s">
        <v>49</v>
      </c>
      <c r="N370" t="s">
        <v>1682</v>
      </c>
      <c r="O370" s="31" t="s">
        <v>1683</v>
      </c>
      <c r="P370">
        <v>100</v>
      </c>
      <c r="Q370" t="s">
        <v>86</v>
      </c>
      <c r="R370">
        <v>1</v>
      </c>
      <c r="S370" s="31">
        <v>0</v>
      </c>
      <c r="T370" s="39">
        <v>0</v>
      </c>
      <c r="U370">
        <v>0</v>
      </c>
      <c r="V370">
        <v>0</v>
      </c>
      <c r="W370">
        <v>0</v>
      </c>
      <c r="X370" s="39">
        <v>0</v>
      </c>
      <c r="Y370">
        <v>0</v>
      </c>
      <c r="Z370" s="31">
        <v>0</v>
      </c>
      <c r="AA370">
        <v>8</v>
      </c>
      <c r="AB370" s="3">
        <f t="shared" si="17"/>
        <v>0</v>
      </c>
      <c r="AC370" t="str">
        <f>IF(AB370-S370&lt;0,"YES","NO")</f>
        <v>NO</v>
      </c>
      <c r="AD370">
        <f>IF(AC370="NO",0,AB370-S370)</f>
        <v>0</v>
      </c>
      <c r="AE370" s="43">
        <v>0.08</v>
      </c>
      <c r="AF370" s="3">
        <f t="shared" si="18"/>
        <v>0</v>
      </c>
      <c r="AG370" s="45">
        <f t="shared" si="19"/>
        <v>0</v>
      </c>
      <c r="AH370" s="55"/>
    </row>
    <row r="371" spans="1:34" x14ac:dyDescent="0.25">
      <c r="A371" t="s">
        <v>1676</v>
      </c>
      <c r="B371" t="s">
        <v>1677</v>
      </c>
      <c r="C371" t="s">
        <v>1678</v>
      </c>
      <c r="D371" t="s">
        <v>1679</v>
      </c>
      <c r="E371" t="s">
        <v>1680</v>
      </c>
      <c r="F371" t="s">
        <v>1681</v>
      </c>
      <c r="G371" t="s">
        <v>5</v>
      </c>
      <c r="H371" t="s">
        <v>65</v>
      </c>
      <c r="I371" t="s">
        <v>66</v>
      </c>
      <c r="J371" t="s">
        <v>67</v>
      </c>
      <c r="K371" t="s">
        <v>3</v>
      </c>
      <c r="L371" t="s">
        <v>4</v>
      </c>
      <c r="M371" t="s">
        <v>49</v>
      </c>
      <c r="N371" t="s">
        <v>1682</v>
      </c>
      <c r="O371" s="31" t="s">
        <v>1683</v>
      </c>
      <c r="P371">
        <v>220</v>
      </c>
      <c r="R371">
        <v>6</v>
      </c>
      <c r="S371" s="31">
        <v>450000</v>
      </c>
      <c r="T371" s="39">
        <v>480000</v>
      </c>
      <c r="U371">
        <v>75000</v>
      </c>
      <c r="V371">
        <v>48000</v>
      </c>
      <c r="W371">
        <v>0</v>
      </c>
      <c r="X371" s="39">
        <v>132120</v>
      </c>
      <c r="Y371">
        <v>0</v>
      </c>
      <c r="Z371" s="31">
        <v>357000</v>
      </c>
      <c r="AA371">
        <v>8</v>
      </c>
      <c r="AB371" s="3">
        <f t="shared" si="17"/>
        <v>357000</v>
      </c>
      <c r="AC371" t="str">
        <f>IF(AB371-S371&lt;0,"YES","NO")</f>
        <v>YES</v>
      </c>
      <c r="AD371">
        <f>IF(AC371="NO",0,AB371-S371)</f>
        <v>-93000</v>
      </c>
      <c r="AE371" s="43">
        <v>0.08</v>
      </c>
      <c r="AF371" s="3">
        <f t="shared" si="18"/>
        <v>-86111.111111111109</v>
      </c>
      <c r="AG371" s="45">
        <f t="shared" si="19"/>
        <v>-94722.222222222234</v>
      </c>
      <c r="AH371" s="55"/>
    </row>
    <row r="372" spans="1:34" x14ac:dyDescent="0.25">
      <c r="A372" t="s">
        <v>1684</v>
      </c>
      <c r="B372" t="s">
        <v>1685</v>
      </c>
      <c r="C372" t="s">
        <v>1686</v>
      </c>
      <c r="D372" t="s">
        <v>1687</v>
      </c>
      <c r="E372" t="s">
        <v>1688</v>
      </c>
      <c r="F372" t="s">
        <v>1689</v>
      </c>
      <c r="G372" t="s">
        <v>5</v>
      </c>
      <c r="H372" t="s">
        <v>61</v>
      </c>
      <c r="I372" t="s">
        <v>62</v>
      </c>
      <c r="J372" t="s">
        <v>63</v>
      </c>
      <c r="K372" t="s">
        <v>3</v>
      </c>
      <c r="L372" t="s">
        <v>4</v>
      </c>
      <c r="M372" t="s">
        <v>49</v>
      </c>
      <c r="N372" t="s">
        <v>1690</v>
      </c>
      <c r="O372" s="31" t="s">
        <v>1691</v>
      </c>
      <c r="P372">
        <v>20000</v>
      </c>
      <c r="Q372" t="s">
        <v>64</v>
      </c>
      <c r="R372">
        <v>1</v>
      </c>
      <c r="S372" s="31">
        <v>0</v>
      </c>
      <c r="T372" s="39">
        <v>0</v>
      </c>
      <c r="U372">
        <v>0</v>
      </c>
      <c r="V372">
        <v>0</v>
      </c>
      <c r="W372">
        <v>0</v>
      </c>
      <c r="X372" s="39">
        <v>0</v>
      </c>
      <c r="Y372">
        <v>0</v>
      </c>
      <c r="Z372" s="31">
        <v>0</v>
      </c>
      <c r="AA372">
        <v>8</v>
      </c>
      <c r="AB372" s="3">
        <f t="shared" si="17"/>
        <v>0</v>
      </c>
      <c r="AC372" t="str">
        <f>IF(AB372-S372&lt;0,"YES","NO")</f>
        <v>NO</v>
      </c>
      <c r="AD372">
        <f>IF(AC372="NO",0,AB372-S372)</f>
        <v>0</v>
      </c>
      <c r="AE372" s="43">
        <v>0.08</v>
      </c>
      <c r="AF372" s="3">
        <f t="shared" si="18"/>
        <v>0</v>
      </c>
      <c r="AG372" s="45">
        <f t="shared" si="19"/>
        <v>0</v>
      </c>
      <c r="AH372" s="55"/>
    </row>
    <row r="373" spans="1:34" x14ac:dyDescent="0.25">
      <c r="A373" t="s">
        <v>1684</v>
      </c>
      <c r="B373" t="s">
        <v>1685</v>
      </c>
      <c r="C373" t="s">
        <v>1686</v>
      </c>
      <c r="D373" t="s">
        <v>1687</v>
      </c>
      <c r="E373" t="s">
        <v>1688</v>
      </c>
      <c r="F373" t="s">
        <v>1689</v>
      </c>
      <c r="G373" t="s">
        <v>5</v>
      </c>
      <c r="H373" t="s">
        <v>61</v>
      </c>
      <c r="I373" t="s">
        <v>84</v>
      </c>
      <c r="J373" t="s">
        <v>85</v>
      </c>
      <c r="K373" t="s">
        <v>3</v>
      </c>
      <c r="L373" t="s">
        <v>4</v>
      </c>
      <c r="M373" t="s">
        <v>49</v>
      </c>
      <c r="N373" t="s">
        <v>1690</v>
      </c>
      <c r="O373" s="31" t="s">
        <v>1691</v>
      </c>
      <c r="P373">
        <v>100</v>
      </c>
      <c r="Q373" t="s">
        <v>86</v>
      </c>
      <c r="R373">
        <v>1</v>
      </c>
      <c r="S373" s="31">
        <v>0</v>
      </c>
      <c r="T373" s="39">
        <v>0</v>
      </c>
      <c r="U373">
        <v>0</v>
      </c>
      <c r="V373">
        <v>0</v>
      </c>
      <c r="W373">
        <v>0</v>
      </c>
      <c r="X373" s="39">
        <v>0</v>
      </c>
      <c r="Y373">
        <v>0</v>
      </c>
      <c r="Z373" s="31">
        <v>0</v>
      </c>
      <c r="AA373">
        <v>8</v>
      </c>
      <c r="AB373" s="3">
        <f t="shared" si="17"/>
        <v>0</v>
      </c>
      <c r="AC373" t="str">
        <f>IF(AB373-S373&lt;0,"YES","NO")</f>
        <v>NO</v>
      </c>
      <c r="AD373">
        <f>IF(AC373="NO",0,AB373-S373)</f>
        <v>0</v>
      </c>
      <c r="AE373" s="43">
        <v>0.08</v>
      </c>
      <c r="AF373" s="3">
        <f t="shared" si="18"/>
        <v>0</v>
      </c>
      <c r="AG373" s="45">
        <f t="shared" si="19"/>
        <v>0</v>
      </c>
      <c r="AH373" s="55"/>
    </row>
    <row r="374" spans="1:34" x14ac:dyDescent="0.25">
      <c r="A374" t="s">
        <v>1684</v>
      </c>
      <c r="B374" t="s">
        <v>1685</v>
      </c>
      <c r="C374" t="s">
        <v>1686</v>
      </c>
      <c r="D374" t="s">
        <v>1687</v>
      </c>
      <c r="E374" t="s">
        <v>1688</v>
      </c>
      <c r="F374" t="s">
        <v>1689</v>
      </c>
      <c r="G374" t="s">
        <v>5</v>
      </c>
      <c r="H374" t="s">
        <v>65</v>
      </c>
      <c r="I374" t="s">
        <v>87</v>
      </c>
      <c r="J374" t="s">
        <v>88</v>
      </c>
      <c r="K374" t="s">
        <v>3</v>
      </c>
      <c r="L374" t="s">
        <v>4</v>
      </c>
      <c r="M374" t="s">
        <v>49</v>
      </c>
      <c r="N374" t="s">
        <v>1690</v>
      </c>
      <c r="O374" s="31" t="s">
        <v>1691</v>
      </c>
      <c r="P374">
        <v>220</v>
      </c>
      <c r="Q374" t="s">
        <v>89</v>
      </c>
      <c r="R374">
        <v>1</v>
      </c>
      <c r="S374" s="31">
        <v>59000</v>
      </c>
      <c r="T374" s="39">
        <v>70000</v>
      </c>
      <c r="U374">
        <v>3016.5</v>
      </c>
      <c r="V374">
        <v>6500</v>
      </c>
      <c r="W374">
        <v>0</v>
      </c>
      <c r="X374" s="39">
        <v>12088.5</v>
      </c>
      <c r="Y374">
        <v>0</v>
      </c>
      <c r="Z374" s="31">
        <v>60483.5</v>
      </c>
      <c r="AA374">
        <v>8</v>
      </c>
      <c r="AB374" s="3">
        <f t="shared" si="17"/>
        <v>60483.5</v>
      </c>
      <c r="AC374" t="str">
        <f>IF(AB374-S374&lt;0,"YES","NO")</f>
        <v>NO</v>
      </c>
      <c r="AD374">
        <f>IF(AC374="NO",0,AB374-S374)</f>
        <v>0</v>
      </c>
      <c r="AE374" s="43">
        <v>0.08</v>
      </c>
      <c r="AF374" s="3">
        <f t="shared" si="18"/>
        <v>0</v>
      </c>
      <c r="AG374" s="45">
        <f t="shared" si="19"/>
        <v>0</v>
      </c>
      <c r="AH374" s="55"/>
    </row>
    <row r="375" spans="1:34" x14ac:dyDescent="0.25">
      <c r="A375" t="s">
        <v>1684</v>
      </c>
      <c r="B375" t="s">
        <v>1685</v>
      </c>
      <c r="C375" t="s">
        <v>1686</v>
      </c>
      <c r="D375" t="s">
        <v>1687</v>
      </c>
      <c r="E375" t="s">
        <v>1688</v>
      </c>
      <c r="F375" t="s">
        <v>1689</v>
      </c>
      <c r="G375" t="s">
        <v>5</v>
      </c>
      <c r="H375" t="s">
        <v>65</v>
      </c>
      <c r="I375" t="s">
        <v>90</v>
      </c>
      <c r="J375" t="s">
        <v>91</v>
      </c>
      <c r="K375" t="s">
        <v>3</v>
      </c>
      <c r="L375" t="s">
        <v>4</v>
      </c>
      <c r="M375" t="s">
        <v>49</v>
      </c>
      <c r="N375" t="s">
        <v>1690</v>
      </c>
      <c r="O375" s="31" t="s">
        <v>1691</v>
      </c>
      <c r="P375">
        <v>220</v>
      </c>
      <c r="Q375" t="s">
        <v>92</v>
      </c>
      <c r="R375">
        <v>1</v>
      </c>
      <c r="S375" s="31">
        <v>59000</v>
      </c>
      <c r="T375" s="39">
        <v>70000</v>
      </c>
      <c r="U375">
        <v>3016.5</v>
      </c>
      <c r="V375">
        <v>6500</v>
      </c>
      <c r="W375">
        <v>0</v>
      </c>
      <c r="X375" s="39">
        <v>12088.5</v>
      </c>
      <c r="Y375">
        <v>0</v>
      </c>
      <c r="Z375" s="31">
        <v>60483.5</v>
      </c>
      <c r="AA375">
        <v>8</v>
      </c>
      <c r="AB375" s="3">
        <f t="shared" si="17"/>
        <v>60483.5</v>
      </c>
      <c r="AC375" t="str">
        <f>IF(AB375-S375&lt;0,"YES","NO")</f>
        <v>NO</v>
      </c>
      <c r="AD375">
        <f>IF(AC375="NO",0,AB375-S375)</f>
        <v>0</v>
      </c>
      <c r="AE375" s="43">
        <v>0.08</v>
      </c>
      <c r="AF375" s="3">
        <f t="shared" si="18"/>
        <v>0</v>
      </c>
      <c r="AG375" s="45">
        <f t="shared" si="19"/>
        <v>0</v>
      </c>
      <c r="AH375" s="55"/>
    </row>
    <row r="376" spans="1:34" x14ac:dyDescent="0.25">
      <c r="A376" t="s">
        <v>1684</v>
      </c>
      <c r="B376" t="s">
        <v>1685</v>
      </c>
      <c r="C376" t="s">
        <v>1686</v>
      </c>
      <c r="D376" t="s">
        <v>1687</v>
      </c>
      <c r="E376" t="s">
        <v>1688</v>
      </c>
      <c r="F376" t="s">
        <v>1689</v>
      </c>
      <c r="G376" t="s">
        <v>5</v>
      </c>
      <c r="H376" t="s">
        <v>65</v>
      </c>
      <c r="I376" t="s">
        <v>66</v>
      </c>
      <c r="J376" t="s">
        <v>67</v>
      </c>
      <c r="K376" t="s">
        <v>3</v>
      </c>
      <c r="L376" t="s">
        <v>4</v>
      </c>
      <c r="M376" t="s">
        <v>49</v>
      </c>
      <c r="N376" t="s">
        <v>1690</v>
      </c>
      <c r="O376" s="31" t="s">
        <v>1691</v>
      </c>
      <c r="P376">
        <v>220</v>
      </c>
      <c r="R376">
        <v>2</v>
      </c>
      <c r="S376" s="31">
        <v>150000</v>
      </c>
      <c r="T376" s="39">
        <v>160000</v>
      </c>
      <c r="U376">
        <v>6841</v>
      </c>
      <c r="V376">
        <v>16000</v>
      </c>
      <c r="W376">
        <v>0</v>
      </c>
      <c r="X376" s="39">
        <v>27415</v>
      </c>
      <c r="Y376">
        <v>0</v>
      </c>
      <c r="Z376" s="31">
        <v>137159</v>
      </c>
      <c r="AA376">
        <v>8</v>
      </c>
      <c r="AB376" s="3">
        <f t="shared" si="17"/>
        <v>137159</v>
      </c>
      <c r="AC376" t="str">
        <f>IF(AB376-S376&lt;0,"YES","NO")</f>
        <v>YES</v>
      </c>
      <c r="AD376">
        <f>IF(AC376="NO",0,AB376-S376)</f>
        <v>-12841</v>
      </c>
      <c r="AE376" s="43">
        <v>0.08</v>
      </c>
      <c r="AF376" s="3">
        <f t="shared" si="18"/>
        <v>-11889.814814814814</v>
      </c>
      <c r="AG376" s="45">
        <f t="shared" si="19"/>
        <v>-13078.796296296296</v>
      </c>
      <c r="AH376" s="55"/>
    </row>
    <row r="377" spans="1:34" x14ac:dyDescent="0.25">
      <c r="A377" t="s">
        <v>1684</v>
      </c>
      <c r="B377" t="s">
        <v>1685</v>
      </c>
      <c r="C377" t="s">
        <v>1686</v>
      </c>
      <c r="D377" t="s">
        <v>1687</v>
      </c>
      <c r="E377" t="s">
        <v>1688</v>
      </c>
      <c r="F377" t="s">
        <v>1689</v>
      </c>
      <c r="G377" t="s">
        <v>5</v>
      </c>
      <c r="H377" t="s">
        <v>65</v>
      </c>
      <c r="I377" t="s">
        <v>78</v>
      </c>
      <c r="J377" t="s">
        <v>79</v>
      </c>
      <c r="K377" t="s">
        <v>3</v>
      </c>
      <c r="L377" t="s">
        <v>4</v>
      </c>
      <c r="M377" t="s">
        <v>49</v>
      </c>
      <c r="N377" t="s">
        <v>1690</v>
      </c>
      <c r="O377" s="31" t="s">
        <v>1691</v>
      </c>
      <c r="P377">
        <v>220</v>
      </c>
      <c r="R377">
        <v>2</v>
      </c>
      <c r="S377" s="31">
        <v>150000</v>
      </c>
      <c r="T377" s="39">
        <v>160000</v>
      </c>
      <c r="U377">
        <v>7126</v>
      </c>
      <c r="V377">
        <v>10000</v>
      </c>
      <c r="W377">
        <v>0</v>
      </c>
      <c r="X377" s="39">
        <v>28558</v>
      </c>
      <c r="Y377">
        <v>0</v>
      </c>
      <c r="Z377" s="31">
        <v>142874</v>
      </c>
      <c r="AA377">
        <v>8</v>
      </c>
      <c r="AB377" s="3">
        <f t="shared" si="17"/>
        <v>142874</v>
      </c>
      <c r="AC377" t="str">
        <f>IF(AB377-S377&lt;0,"YES","NO")</f>
        <v>YES</v>
      </c>
      <c r="AD377">
        <f>IF(AC377="NO",0,AB377-S377)</f>
        <v>-7126</v>
      </c>
      <c r="AE377" s="43">
        <v>0.08</v>
      </c>
      <c r="AF377" s="3">
        <f t="shared" si="18"/>
        <v>-6598.1481481481478</v>
      </c>
      <c r="AG377" s="45">
        <f t="shared" si="19"/>
        <v>-7257.9629629629635</v>
      </c>
      <c r="AH377" s="55"/>
    </row>
    <row r="378" spans="1:34" x14ac:dyDescent="0.25">
      <c r="A378" t="s">
        <v>1692</v>
      </c>
      <c r="B378" t="s">
        <v>1693</v>
      </c>
      <c r="C378" t="s">
        <v>1670</v>
      </c>
      <c r="D378" t="s">
        <v>1694</v>
      </c>
      <c r="E378" t="s">
        <v>1695</v>
      </c>
      <c r="F378" t="s">
        <v>1696</v>
      </c>
      <c r="G378" t="s">
        <v>5</v>
      </c>
      <c r="H378" t="s">
        <v>61</v>
      </c>
      <c r="I378" t="s">
        <v>93</v>
      </c>
      <c r="J378" t="s">
        <v>94</v>
      </c>
      <c r="K378" t="s">
        <v>3</v>
      </c>
      <c r="L378" t="s">
        <v>4</v>
      </c>
      <c r="M378" t="s">
        <v>49</v>
      </c>
      <c r="N378" t="s">
        <v>1697</v>
      </c>
      <c r="O378" s="31" t="s">
        <v>1698</v>
      </c>
      <c r="P378">
        <v>20</v>
      </c>
      <c r="Q378" t="s">
        <v>86</v>
      </c>
      <c r="R378">
        <v>1</v>
      </c>
      <c r="S378" s="31">
        <v>0</v>
      </c>
      <c r="T378" s="39">
        <v>0</v>
      </c>
      <c r="U378">
        <v>0</v>
      </c>
      <c r="V378">
        <v>0</v>
      </c>
      <c r="W378">
        <v>0</v>
      </c>
      <c r="X378" s="39">
        <v>0</v>
      </c>
      <c r="Y378">
        <v>0</v>
      </c>
      <c r="Z378" s="31">
        <v>0</v>
      </c>
      <c r="AA378">
        <v>8</v>
      </c>
      <c r="AB378" s="3">
        <f t="shared" si="17"/>
        <v>0</v>
      </c>
      <c r="AC378" t="str">
        <f>IF(AB378-S378&lt;0,"YES","NO")</f>
        <v>NO</v>
      </c>
      <c r="AD378">
        <f>IF(AC378="NO",0,AB378-S378)</f>
        <v>0</v>
      </c>
      <c r="AE378" s="43">
        <v>0.08</v>
      </c>
      <c r="AF378" s="3">
        <f t="shared" si="18"/>
        <v>0</v>
      </c>
      <c r="AG378" s="45">
        <f t="shared" si="19"/>
        <v>0</v>
      </c>
      <c r="AH378" s="55"/>
    </row>
    <row r="379" spans="1:34" x14ac:dyDescent="0.25">
      <c r="A379" t="s">
        <v>1692</v>
      </c>
      <c r="B379" t="s">
        <v>1693</v>
      </c>
      <c r="C379" t="s">
        <v>1670</v>
      </c>
      <c r="D379" t="s">
        <v>1694</v>
      </c>
      <c r="E379" t="s">
        <v>1695</v>
      </c>
      <c r="F379" t="s">
        <v>1696</v>
      </c>
      <c r="G379" t="s">
        <v>5</v>
      </c>
      <c r="H379" t="s">
        <v>65</v>
      </c>
      <c r="I379" t="s">
        <v>95</v>
      </c>
      <c r="J379" t="s">
        <v>96</v>
      </c>
      <c r="K379" t="s">
        <v>3</v>
      </c>
      <c r="L379" t="s">
        <v>4</v>
      </c>
      <c r="M379" t="s">
        <v>49</v>
      </c>
      <c r="N379" t="s">
        <v>1697</v>
      </c>
      <c r="O379" s="31" t="s">
        <v>1698</v>
      </c>
      <c r="P379">
        <v>200</v>
      </c>
      <c r="R379">
        <v>6</v>
      </c>
      <c r="S379" s="31">
        <v>432000</v>
      </c>
      <c r="T379" s="39">
        <v>480000</v>
      </c>
      <c r="U379">
        <v>75000</v>
      </c>
      <c r="V379">
        <v>40000.019999999997</v>
      </c>
      <c r="W379">
        <v>0</v>
      </c>
      <c r="X379" s="39">
        <v>126099.96</v>
      </c>
      <c r="Y379">
        <v>0</v>
      </c>
      <c r="Z379" s="31">
        <v>364999.98</v>
      </c>
      <c r="AA379">
        <v>8</v>
      </c>
      <c r="AB379" s="3">
        <f t="shared" si="17"/>
        <v>364999.98</v>
      </c>
      <c r="AC379" t="str">
        <f>IF(AB379-S379&lt;0,"YES","NO")</f>
        <v>YES</v>
      </c>
      <c r="AD379">
        <f>IF(AC379="NO",0,AB379-S379)</f>
        <v>-67000.020000000019</v>
      </c>
      <c r="AE379" s="43">
        <v>0.08</v>
      </c>
      <c r="AF379" s="3">
        <f t="shared" si="18"/>
        <v>-62037.055555555569</v>
      </c>
      <c r="AG379" s="45">
        <f t="shared" si="19"/>
        <v>-68240.761111111133</v>
      </c>
      <c r="AH379" s="55"/>
    </row>
    <row r="380" spans="1:34" x14ac:dyDescent="0.25">
      <c r="A380" t="s">
        <v>1699</v>
      </c>
      <c r="B380" t="s">
        <v>1700</v>
      </c>
      <c r="C380" t="s">
        <v>1701</v>
      </c>
      <c r="D380" t="s">
        <v>1702</v>
      </c>
      <c r="E380" t="s">
        <v>1703</v>
      </c>
      <c r="F380" t="s">
        <v>1704</v>
      </c>
      <c r="G380" t="s">
        <v>5</v>
      </c>
      <c r="H380" t="s">
        <v>65</v>
      </c>
      <c r="I380" t="s">
        <v>66</v>
      </c>
      <c r="J380" t="s">
        <v>67</v>
      </c>
      <c r="K380" t="s">
        <v>3</v>
      </c>
      <c r="L380" t="s">
        <v>4</v>
      </c>
      <c r="M380" t="s">
        <v>49</v>
      </c>
      <c r="N380" t="s">
        <v>1705</v>
      </c>
      <c r="O380" s="31" t="s">
        <v>1706</v>
      </c>
      <c r="P380">
        <v>220</v>
      </c>
      <c r="R380">
        <v>6</v>
      </c>
      <c r="S380" s="31">
        <v>450000</v>
      </c>
      <c r="T380" s="39">
        <v>480000</v>
      </c>
      <c r="U380">
        <v>75000</v>
      </c>
      <c r="V380">
        <v>48000</v>
      </c>
      <c r="W380">
        <v>0</v>
      </c>
      <c r="X380" s="39">
        <v>132120</v>
      </c>
      <c r="Y380">
        <v>0</v>
      </c>
      <c r="Z380" s="31">
        <v>357000</v>
      </c>
      <c r="AA380">
        <v>8</v>
      </c>
      <c r="AB380" s="3">
        <f t="shared" si="17"/>
        <v>357000</v>
      </c>
      <c r="AC380" t="str">
        <f>IF(AB380-S380&lt;0,"YES","NO")</f>
        <v>YES</v>
      </c>
      <c r="AD380">
        <f>IF(AC380="NO",0,AB380-S380)</f>
        <v>-93000</v>
      </c>
      <c r="AE380" s="43">
        <v>0.08</v>
      </c>
      <c r="AF380" s="3">
        <f t="shared" si="18"/>
        <v>-86111.111111111109</v>
      </c>
      <c r="AG380" s="45">
        <f t="shared" si="19"/>
        <v>-94722.222222222234</v>
      </c>
      <c r="AH380" s="55"/>
    </row>
    <row r="381" spans="1:34" x14ac:dyDescent="0.25">
      <c r="A381" t="s">
        <v>1707</v>
      </c>
      <c r="B381" t="s">
        <v>1708</v>
      </c>
      <c r="C381" t="s">
        <v>1709</v>
      </c>
      <c r="D381" t="s">
        <v>1710</v>
      </c>
      <c r="E381" t="s">
        <v>1711</v>
      </c>
      <c r="F381" t="s">
        <v>1712</v>
      </c>
      <c r="G381" t="s">
        <v>5</v>
      </c>
      <c r="H381" t="s">
        <v>61</v>
      </c>
      <c r="I381" t="s">
        <v>84</v>
      </c>
      <c r="J381" t="s">
        <v>85</v>
      </c>
      <c r="K381" t="s">
        <v>3</v>
      </c>
      <c r="L381" t="s">
        <v>4</v>
      </c>
      <c r="M381" t="s">
        <v>49</v>
      </c>
      <c r="N381" t="s">
        <v>1713</v>
      </c>
      <c r="O381" s="31" t="s">
        <v>1714</v>
      </c>
      <c r="P381">
        <v>100</v>
      </c>
      <c r="Q381" t="s">
        <v>86</v>
      </c>
      <c r="R381">
        <v>1</v>
      </c>
      <c r="S381" s="31">
        <v>0</v>
      </c>
      <c r="T381" s="39">
        <v>0</v>
      </c>
      <c r="U381">
        <v>0</v>
      </c>
      <c r="V381">
        <v>0</v>
      </c>
      <c r="W381">
        <v>0</v>
      </c>
      <c r="X381" s="39">
        <v>0</v>
      </c>
      <c r="Y381">
        <v>0</v>
      </c>
      <c r="Z381" s="31">
        <v>0</v>
      </c>
      <c r="AA381">
        <v>8</v>
      </c>
      <c r="AB381" s="3">
        <f t="shared" si="17"/>
        <v>0</v>
      </c>
      <c r="AC381" t="str">
        <f>IF(AB381-S381&lt;0,"YES","NO")</f>
        <v>NO</v>
      </c>
      <c r="AD381">
        <f>IF(AC381="NO",0,AB381-S381)</f>
        <v>0</v>
      </c>
      <c r="AE381" s="43">
        <v>0.08</v>
      </c>
      <c r="AF381" s="3">
        <f t="shared" si="18"/>
        <v>0</v>
      </c>
      <c r="AG381" s="45">
        <f t="shared" si="19"/>
        <v>0</v>
      </c>
      <c r="AH381" s="55"/>
    </row>
    <row r="382" spans="1:34" x14ac:dyDescent="0.25">
      <c r="A382" t="s">
        <v>1707</v>
      </c>
      <c r="B382" t="s">
        <v>1708</v>
      </c>
      <c r="C382" t="s">
        <v>1709</v>
      </c>
      <c r="D382" t="s">
        <v>1710</v>
      </c>
      <c r="E382" t="s">
        <v>1711</v>
      </c>
      <c r="F382" t="s">
        <v>1712</v>
      </c>
      <c r="G382" t="s">
        <v>5</v>
      </c>
      <c r="H382" t="s">
        <v>65</v>
      </c>
      <c r="I382" t="s">
        <v>66</v>
      </c>
      <c r="J382" t="s">
        <v>67</v>
      </c>
      <c r="K382" t="s">
        <v>3</v>
      </c>
      <c r="L382" t="s">
        <v>4</v>
      </c>
      <c r="M382" t="s">
        <v>49</v>
      </c>
      <c r="N382" t="s">
        <v>1713</v>
      </c>
      <c r="O382" s="31" t="s">
        <v>1714</v>
      </c>
      <c r="P382">
        <v>220</v>
      </c>
      <c r="R382">
        <v>6</v>
      </c>
      <c r="S382" s="31">
        <v>450000</v>
      </c>
      <c r="T382" s="39">
        <v>480000</v>
      </c>
      <c r="U382">
        <v>19999.98</v>
      </c>
      <c r="V382">
        <v>48000</v>
      </c>
      <c r="W382">
        <v>0</v>
      </c>
      <c r="X382" s="39">
        <v>85920</v>
      </c>
      <c r="Y382">
        <v>0</v>
      </c>
      <c r="Z382" s="31">
        <v>412000.02</v>
      </c>
      <c r="AA382">
        <v>8</v>
      </c>
      <c r="AB382" s="3">
        <f t="shared" si="17"/>
        <v>412000.02</v>
      </c>
      <c r="AC382" t="str">
        <f>IF(AB382-S382&lt;0,"YES","NO")</f>
        <v>YES</v>
      </c>
      <c r="AD382">
        <f>IF(AC382="NO",0,AB382-S382)</f>
        <v>-37999.979999999981</v>
      </c>
      <c r="AE382" s="43">
        <v>0.08</v>
      </c>
      <c r="AF382" s="3">
        <f t="shared" si="18"/>
        <v>-35185.16666666665</v>
      </c>
      <c r="AG382" s="45">
        <f t="shared" si="19"/>
        <v>-38703.68333333332</v>
      </c>
      <c r="AH382" s="55"/>
    </row>
    <row r="383" spans="1:34" x14ac:dyDescent="0.25">
      <c r="A383" t="s">
        <v>1715</v>
      </c>
      <c r="B383" t="s">
        <v>1716</v>
      </c>
      <c r="C383" t="s">
        <v>1717</v>
      </c>
      <c r="D383" t="s">
        <v>1718</v>
      </c>
      <c r="E383" t="s">
        <v>1719</v>
      </c>
      <c r="F383" t="s">
        <v>1720</v>
      </c>
      <c r="G383" t="s">
        <v>5</v>
      </c>
      <c r="H383" t="s">
        <v>65</v>
      </c>
      <c r="I383" t="s">
        <v>66</v>
      </c>
      <c r="J383" t="s">
        <v>67</v>
      </c>
      <c r="K383" t="s">
        <v>3</v>
      </c>
      <c r="L383" t="s">
        <v>4</v>
      </c>
      <c r="M383" t="s">
        <v>49</v>
      </c>
      <c r="N383" t="s">
        <v>1721</v>
      </c>
      <c r="O383" s="31" t="s">
        <v>1722</v>
      </c>
      <c r="P383">
        <v>220</v>
      </c>
      <c r="R383">
        <v>2</v>
      </c>
      <c r="S383" s="31">
        <v>150000</v>
      </c>
      <c r="T383" s="39">
        <v>160000</v>
      </c>
      <c r="U383">
        <v>9795</v>
      </c>
      <c r="V383">
        <v>16000</v>
      </c>
      <c r="W383">
        <v>0</v>
      </c>
      <c r="X383" s="39">
        <v>29925</v>
      </c>
      <c r="Y383">
        <v>0</v>
      </c>
      <c r="Z383" s="31">
        <v>134205</v>
      </c>
      <c r="AA383">
        <v>8</v>
      </c>
      <c r="AB383" s="3">
        <f t="shared" si="17"/>
        <v>134205</v>
      </c>
      <c r="AC383" t="str">
        <f>IF(AB383-S383&lt;0,"YES","NO")</f>
        <v>YES</v>
      </c>
      <c r="AD383">
        <f>IF(AC383="NO",0,AB383-S383)</f>
        <v>-15795</v>
      </c>
      <c r="AE383" s="43">
        <v>0.08</v>
      </c>
      <c r="AF383" s="3">
        <f t="shared" si="18"/>
        <v>-14624.999999999998</v>
      </c>
      <c r="AG383" s="45">
        <f t="shared" si="19"/>
        <v>-16087.5</v>
      </c>
      <c r="AH383" s="55"/>
    </row>
    <row r="384" spans="1:34" x14ac:dyDescent="0.25">
      <c r="A384" t="s">
        <v>1715</v>
      </c>
      <c r="B384" t="s">
        <v>1716</v>
      </c>
      <c r="C384" t="s">
        <v>1717</v>
      </c>
      <c r="D384" t="s">
        <v>1718</v>
      </c>
      <c r="E384" t="s">
        <v>1719</v>
      </c>
      <c r="F384" t="s">
        <v>1720</v>
      </c>
      <c r="G384" t="s">
        <v>5</v>
      </c>
      <c r="H384" t="s">
        <v>65</v>
      </c>
      <c r="I384" t="s">
        <v>78</v>
      </c>
      <c r="J384" t="s">
        <v>79</v>
      </c>
      <c r="K384" t="s">
        <v>3</v>
      </c>
      <c r="L384" t="s">
        <v>4</v>
      </c>
      <c r="M384" t="s">
        <v>49</v>
      </c>
      <c r="N384" t="s">
        <v>1721</v>
      </c>
      <c r="O384" s="31" t="s">
        <v>1722</v>
      </c>
      <c r="P384">
        <v>220</v>
      </c>
      <c r="R384">
        <v>2</v>
      </c>
      <c r="S384" s="31">
        <v>150000</v>
      </c>
      <c r="T384" s="39">
        <v>160000</v>
      </c>
      <c r="U384">
        <v>10205</v>
      </c>
      <c r="V384">
        <v>10000</v>
      </c>
      <c r="W384">
        <v>0</v>
      </c>
      <c r="X384" s="39">
        <v>31175</v>
      </c>
      <c r="Y384">
        <v>0</v>
      </c>
      <c r="Z384" s="31">
        <v>139795</v>
      </c>
      <c r="AA384">
        <v>8</v>
      </c>
      <c r="AB384" s="3">
        <f t="shared" si="17"/>
        <v>139795</v>
      </c>
      <c r="AC384" t="str">
        <f>IF(AB384-S384&lt;0,"YES","NO")</f>
        <v>YES</v>
      </c>
      <c r="AD384">
        <f>IF(AC384="NO",0,AB384-S384)</f>
        <v>-10205</v>
      </c>
      <c r="AE384" s="43">
        <v>0.08</v>
      </c>
      <c r="AF384" s="3">
        <f t="shared" si="18"/>
        <v>-9449.074074074073</v>
      </c>
      <c r="AG384" s="45">
        <f t="shared" si="19"/>
        <v>-10393.981481481482</v>
      </c>
      <c r="AH384" s="55"/>
    </row>
    <row r="385" spans="1:34" x14ac:dyDescent="0.25">
      <c r="A385" t="s">
        <v>1723</v>
      </c>
      <c r="B385" t="s">
        <v>1724</v>
      </c>
      <c r="C385" t="s">
        <v>1725</v>
      </c>
      <c r="D385" t="s">
        <v>1726</v>
      </c>
      <c r="E385" t="s">
        <v>1727</v>
      </c>
      <c r="F385" t="s">
        <v>1728</v>
      </c>
      <c r="G385" t="s">
        <v>5</v>
      </c>
      <c r="H385" t="s">
        <v>65</v>
      </c>
      <c r="I385" t="s">
        <v>66</v>
      </c>
      <c r="J385" t="s">
        <v>67</v>
      </c>
      <c r="K385" t="s">
        <v>3</v>
      </c>
      <c r="L385" t="s">
        <v>4</v>
      </c>
      <c r="M385" t="s">
        <v>49</v>
      </c>
      <c r="N385" t="s">
        <v>1729</v>
      </c>
      <c r="O385" s="31" t="s">
        <v>1730</v>
      </c>
      <c r="P385">
        <v>220</v>
      </c>
      <c r="R385">
        <v>2</v>
      </c>
      <c r="S385" s="31">
        <v>150000</v>
      </c>
      <c r="T385" s="39">
        <v>160000</v>
      </c>
      <c r="U385">
        <v>20000</v>
      </c>
      <c r="V385">
        <v>16000</v>
      </c>
      <c r="W385">
        <v>0</v>
      </c>
      <c r="X385" s="39">
        <v>34880</v>
      </c>
      <c r="Y385">
        <v>0</v>
      </c>
      <c r="Z385" s="31">
        <v>124000</v>
      </c>
      <c r="AA385">
        <v>8</v>
      </c>
      <c r="AB385" s="3">
        <f t="shared" si="17"/>
        <v>124000</v>
      </c>
      <c r="AC385" t="str">
        <f>IF(AB385-S385&lt;0,"YES","NO")</f>
        <v>YES</v>
      </c>
      <c r="AD385">
        <f>IF(AC385="NO",0,AB385-S385)</f>
        <v>-26000</v>
      </c>
      <c r="AE385" s="43">
        <v>0.08</v>
      </c>
      <c r="AF385" s="3">
        <f t="shared" si="18"/>
        <v>-24074.074074074073</v>
      </c>
      <c r="AG385" s="45">
        <f t="shared" si="19"/>
        <v>-26481.481481481482</v>
      </c>
      <c r="AH385" s="55"/>
    </row>
    <row r="386" spans="1:34" x14ac:dyDescent="0.25">
      <c r="A386" t="s">
        <v>1731</v>
      </c>
      <c r="B386" t="s">
        <v>1732</v>
      </c>
      <c r="C386" t="s">
        <v>1733</v>
      </c>
      <c r="D386" t="s">
        <v>1734</v>
      </c>
      <c r="E386" t="s">
        <v>1735</v>
      </c>
      <c r="F386" t="s">
        <v>1736</v>
      </c>
      <c r="G386" t="s">
        <v>5</v>
      </c>
      <c r="H386" t="s">
        <v>65</v>
      </c>
      <c r="I386" t="s">
        <v>66</v>
      </c>
      <c r="J386" t="s">
        <v>67</v>
      </c>
      <c r="K386" t="s">
        <v>3</v>
      </c>
      <c r="L386" t="s">
        <v>4</v>
      </c>
      <c r="M386" t="s">
        <v>49</v>
      </c>
      <c r="N386" t="s">
        <v>1737</v>
      </c>
      <c r="O386" s="31" t="s">
        <v>1738</v>
      </c>
      <c r="P386">
        <v>220</v>
      </c>
      <c r="R386">
        <v>2</v>
      </c>
      <c r="S386" s="31">
        <v>150000</v>
      </c>
      <c r="T386" s="39">
        <v>160000</v>
      </c>
      <c r="U386">
        <v>20000</v>
      </c>
      <c r="V386">
        <v>16000</v>
      </c>
      <c r="W386">
        <v>0</v>
      </c>
      <c r="X386" s="39">
        <v>34880</v>
      </c>
      <c r="Y386">
        <v>0</v>
      </c>
      <c r="Z386" s="31">
        <v>124000</v>
      </c>
      <c r="AA386">
        <v>8</v>
      </c>
      <c r="AB386" s="3">
        <f t="shared" si="17"/>
        <v>124000</v>
      </c>
      <c r="AC386" t="str">
        <f>IF(AB386-S386&lt;0,"YES","NO")</f>
        <v>YES</v>
      </c>
      <c r="AD386">
        <f>IF(AC386="NO",0,AB386-S386)</f>
        <v>-26000</v>
      </c>
      <c r="AE386" s="43">
        <v>0.08</v>
      </c>
      <c r="AF386" s="3">
        <f t="shared" si="18"/>
        <v>-24074.074074074073</v>
      </c>
      <c r="AG386" s="45">
        <f t="shared" si="19"/>
        <v>-26481.481481481482</v>
      </c>
      <c r="AH386" s="55"/>
    </row>
    <row r="387" spans="1:34" x14ac:dyDescent="0.25">
      <c r="A387" t="s">
        <v>1739</v>
      </c>
      <c r="B387" t="s">
        <v>1740</v>
      </c>
      <c r="C387" t="s">
        <v>1741</v>
      </c>
      <c r="D387" t="s">
        <v>1742</v>
      </c>
      <c r="E387" t="s">
        <v>1743</v>
      </c>
      <c r="F387" t="s">
        <v>1744</v>
      </c>
      <c r="G387" t="s">
        <v>5</v>
      </c>
      <c r="H387" t="s">
        <v>65</v>
      </c>
      <c r="I387" t="s">
        <v>66</v>
      </c>
      <c r="J387" t="s">
        <v>67</v>
      </c>
      <c r="K387" t="s">
        <v>3</v>
      </c>
      <c r="L387" t="s">
        <v>4</v>
      </c>
      <c r="M387" t="s">
        <v>49</v>
      </c>
      <c r="N387" t="s">
        <v>1745</v>
      </c>
      <c r="O387" s="31" t="s">
        <v>1746</v>
      </c>
      <c r="P387">
        <v>220</v>
      </c>
      <c r="R387">
        <v>2</v>
      </c>
      <c r="S387" s="31">
        <v>150000</v>
      </c>
      <c r="T387" s="39">
        <v>160000</v>
      </c>
      <c r="U387">
        <v>20000</v>
      </c>
      <c r="V387">
        <v>16000</v>
      </c>
      <c r="W387">
        <v>0</v>
      </c>
      <c r="X387" s="39">
        <v>35000</v>
      </c>
      <c r="Y387">
        <v>0</v>
      </c>
      <c r="Z387" s="31">
        <v>124000</v>
      </c>
      <c r="AA387">
        <v>8</v>
      </c>
      <c r="AB387" s="3">
        <f t="shared" si="17"/>
        <v>124000</v>
      </c>
      <c r="AC387" t="str">
        <f>IF(AB387-S387&lt;0,"YES","NO")</f>
        <v>YES</v>
      </c>
      <c r="AD387">
        <f>IF(AC387="NO",0,AB387-S387)</f>
        <v>-26000</v>
      </c>
      <c r="AE387" s="43">
        <v>0.08</v>
      </c>
      <c r="AF387" s="3">
        <f t="shared" si="18"/>
        <v>-24074.074074074073</v>
      </c>
      <c r="AG387" s="45">
        <f t="shared" si="19"/>
        <v>-26481.481481481482</v>
      </c>
      <c r="AH387" s="55"/>
    </row>
    <row r="388" spans="1:34" x14ac:dyDescent="0.25">
      <c r="A388" t="s">
        <v>1747</v>
      </c>
      <c r="B388" t="s">
        <v>1748</v>
      </c>
      <c r="C388" t="s">
        <v>1749</v>
      </c>
      <c r="D388" t="s">
        <v>1750</v>
      </c>
      <c r="E388" t="s">
        <v>1751</v>
      </c>
      <c r="F388" t="s">
        <v>1752</v>
      </c>
      <c r="G388" t="s">
        <v>5</v>
      </c>
      <c r="H388" t="s">
        <v>61</v>
      </c>
      <c r="I388" t="s">
        <v>75</v>
      </c>
      <c r="J388" t="s">
        <v>76</v>
      </c>
      <c r="K388" t="s">
        <v>3</v>
      </c>
      <c r="L388" t="s">
        <v>4</v>
      </c>
      <c r="M388" t="s">
        <v>49</v>
      </c>
      <c r="N388" t="s">
        <v>1753</v>
      </c>
      <c r="O388" s="31" t="s">
        <v>1754</v>
      </c>
      <c r="P388">
        <v>20</v>
      </c>
      <c r="Q388" t="s">
        <v>77</v>
      </c>
      <c r="R388">
        <v>1</v>
      </c>
      <c r="S388" s="31">
        <v>0</v>
      </c>
      <c r="T388" s="39">
        <v>0</v>
      </c>
      <c r="U388">
        <v>0</v>
      </c>
      <c r="V388">
        <v>0</v>
      </c>
      <c r="W388">
        <v>0</v>
      </c>
      <c r="X388" s="39">
        <v>0</v>
      </c>
      <c r="Y388">
        <v>0</v>
      </c>
      <c r="Z388" s="31">
        <v>0</v>
      </c>
      <c r="AA388">
        <v>8</v>
      </c>
      <c r="AB388" s="3">
        <f t="shared" si="17"/>
        <v>0</v>
      </c>
      <c r="AC388" t="str">
        <f>IF(AB388-S388&lt;0,"YES","NO")</f>
        <v>NO</v>
      </c>
      <c r="AD388">
        <f>IF(AC388="NO",0,AB388-S388)</f>
        <v>0</v>
      </c>
      <c r="AE388" s="43">
        <v>0.08</v>
      </c>
      <c r="AF388" s="3">
        <f t="shared" si="18"/>
        <v>0</v>
      </c>
      <c r="AG388" s="45">
        <f t="shared" si="19"/>
        <v>0</v>
      </c>
      <c r="AH388" s="55"/>
    </row>
    <row r="389" spans="1:34" x14ac:dyDescent="0.25">
      <c r="A389" t="s">
        <v>1747</v>
      </c>
      <c r="B389" t="s">
        <v>1748</v>
      </c>
      <c r="C389" t="s">
        <v>1749</v>
      </c>
      <c r="D389" t="s">
        <v>1750</v>
      </c>
      <c r="E389" t="s">
        <v>1751</v>
      </c>
      <c r="F389" t="s">
        <v>1752</v>
      </c>
      <c r="G389" t="s">
        <v>5</v>
      </c>
      <c r="H389" t="s">
        <v>65</v>
      </c>
      <c r="I389" t="s">
        <v>104</v>
      </c>
      <c r="J389" t="s">
        <v>105</v>
      </c>
      <c r="K389" t="s">
        <v>3</v>
      </c>
      <c r="L389" t="s">
        <v>4</v>
      </c>
      <c r="M389" t="s">
        <v>49</v>
      </c>
      <c r="N389" t="s">
        <v>1753</v>
      </c>
      <c r="O389" s="31" t="s">
        <v>1754</v>
      </c>
      <c r="P389">
        <v>380</v>
      </c>
      <c r="R389">
        <v>6</v>
      </c>
      <c r="S389" s="31">
        <v>396000</v>
      </c>
      <c r="T389" s="39">
        <v>420000</v>
      </c>
      <c r="U389">
        <v>79999.98</v>
      </c>
      <c r="V389">
        <v>18000</v>
      </c>
      <c r="W389">
        <v>0</v>
      </c>
      <c r="X389" s="39">
        <v>131520</v>
      </c>
      <c r="Y389">
        <v>0</v>
      </c>
      <c r="Z389" s="31">
        <v>322000.02</v>
      </c>
      <c r="AA389">
        <v>8</v>
      </c>
      <c r="AB389" s="3">
        <f t="shared" si="17"/>
        <v>322000.02</v>
      </c>
      <c r="AC389" t="str">
        <f>IF(AB389-S389&lt;0,"YES","NO")</f>
        <v>YES</v>
      </c>
      <c r="AD389">
        <f>IF(AC389="NO",0,AB389-S389)</f>
        <v>-73999.979999999981</v>
      </c>
      <c r="AE389" s="43">
        <v>0.08</v>
      </c>
      <c r="AF389" s="3">
        <f t="shared" si="18"/>
        <v>-68518.499999999985</v>
      </c>
      <c r="AG389" s="45">
        <f t="shared" si="19"/>
        <v>-75370.349999999991</v>
      </c>
      <c r="AH389" s="55"/>
    </row>
    <row r="390" spans="1:34" x14ac:dyDescent="0.25">
      <c r="A390" t="s">
        <v>1755</v>
      </c>
      <c r="B390" t="s">
        <v>1756</v>
      </c>
      <c r="C390" t="s">
        <v>1757</v>
      </c>
      <c r="D390" t="s">
        <v>1758</v>
      </c>
      <c r="E390" t="s">
        <v>1759</v>
      </c>
      <c r="F390" t="s">
        <v>1760</v>
      </c>
      <c r="G390" t="s">
        <v>5</v>
      </c>
      <c r="H390" t="s">
        <v>65</v>
      </c>
      <c r="I390" t="s">
        <v>66</v>
      </c>
      <c r="J390" t="s">
        <v>67</v>
      </c>
      <c r="K390" t="s">
        <v>3</v>
      </c>
      <c r="L390" t="s">
        <v>4</v>
      </c>
      <c r="M390" t="s">
        <v>49</v>
      </c>
      <c r="N390" t="s">
        <v>1761</v>
      </c>
      <c r="O390" s="31" t="s">
        <v>1762</v>
      </c>
      <c r="P390">
        <v>220</v>
      </c>
      <c r="R390">
        <v>3</v>
      </c>
      <c r="S390" s="31">
        <v>225000</v>
      </c>
      <c r="T390" s="39">
        <v>240000</v>
      </c>
      <c r="U390">
        <v>35000.01</v>
      </c>
      <c r="V390">
        <v>24000</v>
      </c>
      <c r="W390">
        <v>0</v>
      </c>
      <c r="X390" s="39">
        <v>71199.990000000005</v>
      </c>
      <c r="Y390">
        <v>0</v>
      </c>
      <c r="Z390" s="31">
        <v>180999.99</v>
      </c>
      <c r="AA390">
        <v>8</v>
      </c>
      <c r="AB390" s="3">
        <f t="shared" ref="AB390:AB453" si="20">Z390</f>
        <v>180999.99</v>
      </c>
      <c r="AC390" t="str">
        <f>IF(AB390-S390&lt;0,"YES","NO")</f>
        <v>YES</v>
      </c>
      <c r="AD390">
        <f>IF(AC390="NO",0,AB390-S390)</f>
        <v>-44000.010000000009</v>
      </c>
      <c r="AE390" s="43">
        <v>0.08</v>
      </c>
      <c r="AF390" s="3">
        <f t="shared" ref="AF390:AF453" si="21">AD390/(1+AE390)</f>
        <v>-40740.750000000007</v>
      </c>
      <c r="AG390" s="45">
        <f t="shared" ref="AG390:AG453" si="22">AF390*1.1</f>
        <v>-44814.825000000012</v>
      </c>
      <c r="AH390" s="55"/>
    </row>
    <row r="391" spans="1:34" x14ac:dyDescent="0.25">
      <c r="A391" t="s">
        <v>1763</v>
      </c>
      <c r="B391" t="s">
        <v>1764</v>
      </c>
      <c r="C391" t="s">
        <v>1765</v>
      </c>
      <c r="D391" t="s">
        <v>1766</v>
      </c>
      <c r="E391" t="s">
        <v>1767</v>
      </c>
      <c r="F391" t="s">
        <v>1768</v>
      </c>
      <c r="G391" t="s">
        <v>5</v>
      </c>
      <c r="H391" t="s">
        <v>65</v>
      </c>
      <c r="I391" t="s">
        <v>66</v>
      </c>
      <c r="J391" t="s">
        <v>67</v>
      </c>
      <c r="K391" t="s">
        <v>3</v>
      </c>
      <c r="L391" t="s">
        <v>4</v>
      </c>
      <c r="M391" t="s">
        <v>49</v>
      </c>
      <c r="N391" t="s">
        <v>1769</v>
      </c>
      <c r="O391" s="31" t="s">
        <v>1770</v>
      </c>
      <c r="P391">
        <v>220</v>
      </c>
      <c r="R391">
        <v>2</v>
      </c>
      <c r="S391" s="31">
        <v>150000</v>
      </c>
      <c r="T391" s="39">
        <v>160000</v>
      </c>
      <c r="U391">
        <v>20000</v>
      </c>
      <c r="V391">
        <v>16000</v>
      </c>
      <c r="W391">
        <v>0</v>
      </c>
      <c r="X391" s="39">
        <v>34880</v>
      </c>
      <c r="Y391">
        <v>0</v>
      </c>
      <c r="Z391" s="31">
        <v>124000</v>
      </c>
      <c r="AA391">
        <v>8</v>
      </c>
      <c r="AB391" s="3">
        <f t="shared" si="20"/>
        <v>124000</v>
      </c>
      <c r="AC391" t="str">
        <f>IF(AB391-S391&lt;0,"YES","NO")</f>
        <v>YES</v>
      </c>
      <c r="AD391">
        <f>IF(AC391="NO",0,AB391-S391)</f>
        <v>-26000</v>
      </c>
      <c r="AE391" s="43">
        <v>0.08</v>
      </c>
      <c r="AF391" s="3">
        <f t="shared" si="21"/>
        <v>-24074.074074074073</v>
      </c>
      <c r="AG391" s="45">
        <f t="shared" si="22"/>
        <v>-26481.481481481482</v>
      </c>
      <c r="AH391" s="55"/>
    </row>
    <row r="392" spans="1:34" x14ac:dyDescent="0.25">
      <c r="A392" t="s">
        <v>1771</v>
      </c>
      <c r="B392" t="s">
        <v>1772</v>
      </c>
      <c r="C392" t="s">
        <v>1773</v>
      </c>
      <c r="D392" t="s">
        <v>1774</v>
      </c>
      <c r="E392" t="s">
        <v>1775</v>
      </c>
      <c r="F392" t="s">
        <v>1776</v>
      </c>
      <c r="G392" t="s">
        <v>5</v>
      </c>
      <c r="H392" t="s">
        <v>65</v>
      </c>
      <c r="I392" t="s">
        <v>66</v>
      </c>
      <c r="J392" t="s">
        <v>67</v>
      </c>
      <c r="K392" t="s">
        <v>3</v>
      </c>
      <c r="L392" t="s">
        <v>4</v>
      </c>
      <c r="M392" t="s">
        <v>49</v>
      </c>
      <c r="N392" t="s">
        <v>1777</v>
      </c>
      <c r="O392" s="31" t="s">
        <v>1778</v>
      </c>
      <c r="P392">
        <v>220</v>
      </c>
      <c r="R392">
        <v>6</v>
      </c>
      <c r="S392" s="31">
        <v>450000</v>
      </c>
      <c r="T392" s="39">
        <v>480000</v>
      </c>
      <c r="U392">
        <v>75000</v>
      </c>
      <c r="V392">
        <v>48000</v>
      </c>
      <c r="W392">
        <v>0</v>
      </c>
      <c r="X392" s="39">
        <v>121410</v>
      </c>
      <c r="Y392">
        <v>0</v>
      </c>
      <c r="Z392" s="31">
        <v>357000</v>
      </c>
      <c r="AA392">
        <v>8</v>
      </c>
      <c r="AB392" s="3">
        <f t="shared" si="20"/>
        <v>357000</v>
      </c>
      <c r="AC392" t="str">
        <f>IF(AB392-S392&lt;0,"YES","NO")</f>
        <v>YES</v>
      </c>
      <c r="AD392">
        <f>IF(AC392="NO",0,AB392-S392)</f>
        <v>-93000</v>
      </c>
      <c r="AE392" s="43">
        <v>0.08</v>
      </c>
      <c r="AF392" s="3">
        <f t="shared" si="21"/>
        <v>-86111.111111111109</v>
      </c>
      <c r="AG392" s="45">
        <f t="shared" si="22"/>
        <v>-94722.222222222234</v>
      </c>
      <c r="AH392" s="55"/>
    </row>
    <row r="393" spans="1:34" x14ac:dyDescent="0.25">
      <c r="A393" t="s">
        <v>1779</v>
      </c>
      <c r="B393" t="s">
        <v>1780</v>
      </c>
      <c r="C393" t="s">
        <v>1781</v>
      </c>
      <c r="D393" t="s">
        <v>1782</v>
      </c>
      <c r="E393" t="s">
        <v>1783</v>
      </c>
      <c r="F393" t="s">
        <v>1784</v>
      </c>
      <c r="G393" t="s">
        <v>5</v>
      </c>
      <c r="H393" t="s">
        <v>65</v>
      </c>
      <c r="I393" t="s">
        <v>71</v>
      </c>
      <c r="J393" t="s">
        <v>72</v>
      </c>
      <c r="K393" t="s">
        <v>3</v>
      </c>
      <c r="L393" t="s">
        <v>4</v>
      </c>
      <c r="M393" t="s">
        <v>49</v>
      </c>
      <c r="N393" t="s">
        <v>1785</v>
      </c>
      <c r="O393" s="31" t="s">
        <v>1786</v>
      </c>
      <c r="P393">
        <v>220</v>
      </c>
      <c r="Q393" t="s">
        <v>70</v>
      </c>
      <c r="R393">
        <v>2</v>
      </c>
      <c r="S393" s="31">
        <v>118000</v>
      </c>
      <c r="T393" s="39">
        <v>130000</v>
      </c>
      <c r="U393">
        <v>10000</v>
      </c>
      <c r="V393">
        <v>12000</v>
      </c>
      <c r="W393">
        <v>0</v>
      </c>
      <c r="X393" s="39">
        <v>31600</v>
      </c>
      <c r="Y393">
        <v>0</v>
      </c>
      <c r="Z393" s="31">
        <v>108000</v>
      </c>
      <c r="AA393">
        <v>8</v>
      </c>
      <c r="AB393" s="3">
        <f t="shared" si="20"/>
        <v>108000</v>
      </c>
      <c r="AC393" t="str">
        <f>IF(AB393-S393&lt;0,"YES","NO")</f>
        <v>YES</v>
      </c>
      <c r="AD393">
        <f>IF(AC393="NO",0,AB393-S393)</f>
        <v>-10000</v>
      </c>
      <c r="AE393" s="43">
        <v>0.08</v>
      </c>
      <c r="AF393" s="3">
        <f t="shared" si="21"/>
        <v>-9259.2592592592591</v>
      </c>
      <c r="AG393" s="45">
        <f t="shared" si="22"/>
        <v>-10185.185185185186</v>
      </c>
      <c r="AH393" s="55"/>
    </row>
    <row r="394" spans="1:34" x14ac:dyDescent="0.25">
      <c r="A394" t="s">
        <v>1779</v>
      </c>
      <c r="B394" t="s">
        <v>1780</v>
      </c>
      <c r="C394" t="s">
        <v>1781</v>
      </c>
      <c r="D394" t="s">
        <v>1782</v>
      </c>
      <c r="E394" t="s">
        <v>1783</v>
      </c>
      <c r="F394" t="s">
        <v>1784</v>
      </c>
      <c r="G394" t="s">
        <v>5</v>
      </c>
      <c r="H394" t="s">
        <v>65</v>
      </c>
      <c r="I394" t="s">
        <v>68</v>
      </c>
      <c r="J394" t="s">
        <v>69</v>
      </c>
      <c r="K394" t="s">
        <v>3</v>
      </c>
      <c r="L394" t="s">
        <v>4</v>
      </c>
      <c r="M394" t="s">
        <v>49</v>
      </c>
      <c r="N394" t="s">
        <v>1785</v>
      </c>
      <c r="O394" s="31" t="s">
        <v>1786</v>
      </c>
      <c r="P394">
        <v>220</v>
      </c>
      <c r="Q394" t="s">
        <v>70</v>
      </c>
      <c r="R394">
        <v>2</v>
      </c>
      <c r="S394" s="31">
        <v>118000</v>
      </c>
      <c r="T394" s="39">
        <v>130000</v>
      </c>
      <c r="U394">
        <v>10000</v>
      </c>
      <c r="V394">
        <v>12000</v>
      </c>
      <c r="W394">
        <v>0</v>
      </c>
      <c r="X394" s="39">
        <v>31600</v>
      </c>
      <c r="Y394">
        <v>0</v>
      </c>
      <c r="Z394" s="31">
        <v>108000</v>
      </c>
      <c r="AA394">
        <v>8</v>
      </c>
      <c r="AB394" s="3">
        <f t="shared" si="20"/>
        <v>108000</v>
      </c>
      <c r="AC394" t="str">
        <f>IF(AB394-S394&lt;0,"YES","NO")</f>
        <v>YES</v>
      </c>
      <c r="AD394">
        <f>IF(AC394="NO",0,AB394-S394)</f>
        <v>-10000</v>
      </c>
      <c r="AE394" s="43">
        <v>0.08</v>
      </c>
      <c r="AF394" s="3">
        <f t="shared" si="21"/>
        <v>-9259.2592592592591</v>
      </c>
      <c r="AG394" s="45">
        <f t="shared" si="22"/>
        <v>-10185.185185185186</v>
      </c>
      <c r="AH394" s="55"/>
    </row>
    <row r="395" spans="1:34" x14ac:dyDescent="0.25">
      <c r="A395" t="s">
        <v>1787</v>
      </c>
      <c r="B395" t="s">
        <v>1788</v>
      </c>
      <c r="C395" t="s">
        <v>1789</v>
      </c>
      <c r="D395" t="s">
        <v>1790</v>
      </c>
      <c r="E395" t="s">
        <v>1791</v>
      </c>
      <c r="F395" t="s">
        <v>1792</v>
      </c>
      <c r="G395" t="s">
        <v>5</v>
      </c>
      <c r="H395" t="s">
        <v>61</v>
      </c>
      <c r="I395" t="s">
        <v>62</v>
      </c>
      <c r="J395" t="s">
        <v>63</v>
      </c>
      <c r="K395" t="s">
        <v>3</v>
      </c>
      <c r="L395" t="s">
        <v>4</v>
      </c>
      <c r="M395" t="s">
        <v>49</v>
      </c>
      <c r="N395" t="s">
        <v>1793</v>
      </c>
      <c r="O395" s="31" t="s">
        <v>1794</v>
      </c>
      <c r="P395">
        <v>20000</v>
      </c>
      <c r="Q395" t="s">
        <v>64</v>
      </c>
      <c r="R395">
        <v>1</v>
      </c>
      <c r="S395" s="31">
        <v>0</v>
      </c>
      <c r="T395" s="39">
        <v>0</v>
      </c>
      <c r="U395">
        <v>0</v>
      </c>
      <c r="V395">
        <v>0</v>
      </c>
      <c r="W395">
        <v>0</v>
      </c>
      <c r="X395" s="39">
        <v>0</v>
      </c>
      <c r="Y395">
        <v>0</v>
      </c>
      <c r="Z395" s="31">
        <v>0</v>
      </c>
      <c r="AA395">
        <v>8</v>
      </c>
      <c r="AB395" s="3">
        <f t="shared" si="20"/>
        <v>0</v>
      </c>
      <c r="AC395" t="str">
        <f>IF(AB395-S395&lt;0,"YES","NO")</f>
        <v>NO</v>
      </c>
      <c r="AD395">
        <f>IF(AC395="NO",0,AB395-S395)</f>
        <v>0</v>
      </c>
      <c r="AE395" s="43">
        <v>0.08</v>
      </c>
      <c r="AF395" s="3">
        <f t="shared" si="21"/>
        <v>0</v>
      </c>
      <c r="AG395" s="45">
        <f t="shared" si="22"/>
        <v>0</v>
      </c>
      <c r="AH395" s="55"/>
    </row>
    <row r="396" spans="1:34" x14ac:dyDescent="0.25">
      <c r="A396" t="s">
        <v>1787</v>
      </c>
      <c r="B396" t="s">
        <v>1788</v>
      </c>
      <c r="C396" t="s">
        <v>1789</v>
      </c>
      <c r="D396" t="s">
        <v>1790</v>
      </c>
      <c r="E396" t="s">
        <v>1791</v>
      </c>
      <c r="F396" t="s">
        <v>1792</v>
      </c>
      <c r="G396" t="s">
        <v>5</v>
      </c>
      <c r="H396" t="s">
        <v>65</v>
      </c>
      <c r="I396" t="s">
        <v>87</v>
      </c>
      <c r="J396" t="s">
        <v>88</v>
      </c>
      <c r="K396" t="s">
        <v>3</v>
      </c>
      <c r="L396" t="s">
        <v>4</v>
      </c>
      <c r="M396" t="s">
        <v>49</v>
      </c>
      <c r="N396" t="s">
        <v>1793</v>
      </c>
      <c r="O396" s="31" t="s">
        <v>1794</v>
      </c>
      <c r="P396">
        <v>220</v>
      </c>
      <c r="Q396" t="s">
        <v>89</v>
      </c>
      <c r="R396">
        <v>2</v>
      </c>
      <c r="S396" s="31">
        <v>118000</v>
      </c>
      <c r="T396" s="39">
        <v>140000</v>
      </c>
      <c r="U396">
        <v>0</v>
      </c>
      <c r="V396">
        <v>13000</v>
      </c>
      <c r="W396">
        <v>0</v>
      </c>
      <c r="X396" s="39">
        <v>20320</v>
      </c>
      <c r="Y396">
        <v>0</v>
      </c>
      <c r="Z396" s="31">
        <v>127000</v>
      </c>
      <c r="AA396">
        <v>8</v>
      </c>
      <c r="AB396" s="3">
        <f t="shared" si="20"/>
        <v>127000</v>
      </c>
      <c r="AC396" t="str">
        <f>IF(AB396-S396&lt;0,"YES","NO")</f>
        <v>NO</v>
      </c>
      <c r="AD396">
        <f>IF(AC396="NO",0,AB396-S396)</f>
        <v>0</v>
      </c>
      <c r="AE396" s="43">
        <v>0.08</v>
      </c>
      <c r="AF396" s="3">
        <f t="shared" si="21"/>
        <v>0</v>
      </c>
      <c r="AG396" s="45">
        <f t="shared" si="22"/>
        <v>0</v>
      </c>
      <c r="AH396" s="55"/>
    </row>
    <row r="397" spans="1:34" x14ac:dyDescent="0.25">
      <c r="A397" t="s">
        <v>1787</v>
      </c>
      <c r="B397" t="s">
        <v>1788</v>
      </c>
      <c r="C397" t="s">
        <v>1789</v>
      </c>
      <c r="D397" t="s">
        <v>1790</v>
      </c>
      <c r="E397" t="s">
        <v>1791</v>
      </c>
      <c r="F397" t="s">
        <v>1792</v>
      </c>
      <c r="G397" t="s">
        <v>5</v>
      </c>
      <c r="H397" t="s">
        <v>65</v>
      </c>
      <c r="I397" t="s">
        <v>90</v>
      </c>
      <c r="J397" t="s">
        <v>91</v>
      </c>
      <c r="K397" t="s">
        <v>3</v>
      </c>
      <c r="L397" t="s">
        <v>4</v>
      </c>
      <c r="M397" t="s">
        <v>49</v>
      </c>
      <c r="N397" t="s">
        <v>1793</v>
      </c>
      <c r="O397" s="31" t="s">
        <v>1794</v>
      </c>
      <c r="P397">
        <v>220</v>
      </c>
      <c r="Q397" t="s">
        <v>92</v>
      </c>
      <c r="R397">
        <v>2</v>
      </c>
      <c r="S397" s="31">
        <v>118000</v>
      </c>
      <c r="T397" s="39">
        <v>140000</v>
      </c>
      <c r="U397">
        <v>0</v>
      </c>
      <c r="V397">
        <v>13000</v>
      </c>
      <c r="W397">
        <v>0</v>
      </c>
      <c r="X397" s="39">
        <v>20320</v>
      </c>
      <c r="Y397">
        <v>0</v>
      </c>
      <c r="Z397" s="31">
        <v>127000</v>
      </c>
      <c r="AA397">
        <v>8</v>
      </c>
      <c r="AB397" s="3">
        <f t="shared" si="20"/>
        <v>127000</v>
      </c>
      <c r="AC397" t="str">
        <f>IF(AB397-S397&lt;0,"YES","NO")</f>
        <v>NO</v>
      </c>
      <c r="AD397">
        <f>IF(AC397="NO",0,AB397-S397)</f>
        <v>0</v>
      </c>
      <c r="AE397" s="43">
        <v>0.08</v>
      </c>
      <c r="AF397" s="3">
        <f t="shared" si="21"/>
        <v>0</v>
      </c>
      <c r="AG397" s="45">
        <f t="shared" si="22"/>
        <v>0</v>
      </c>
      <c r="AH397" s="55"/>
    </row>
    <row r="398" spans="1:34" x14ac:dyDescent="0.25">
      <c r="A398" t="s">
        <v>1787</v>
      </c>
      <c r="B398" t="s">
        <v>1788</v>
      </c>
      <c r="C398" t="s">
        <v>1789</v>
      </c>
      <c r="D398" t="s">
        <v>1790</v>
      </c>
      <c r="E398" t="s">
        <v>1791</v>
      </c>
      <c r="F398" t="s">
        <v>1792</v>
      </c>
      <c r="G398" t="s">
        <v>5</v>
      </c>
      <c r="H398" t="s">
        <v>65</v>
      </c>
      <c r="I398" t="s">
        <v>68</v>
      </c>
      <c r="J398" t="s">
        <v>69</v>
      </c>
      <c r="K398" t="s">
        <v>3</v>
      </c>
      <c r="L398" t="s">
        <v>4</v>
      </c>
      <c r="M398" t="s">
        <v>49</v>
      </c>
      <c r="N398" t="s">
        <v>1793</v>
      </c>
      <c r="O398" s="31" t="s">
        <v>1794</v>
      </c>
      <c r="P398">
        <v>220</v>
      </c>
      <c r="Q398" t="s">
        <v>70</v>
      </c>
      <c r="R398">
        <v>1</v>
      </c>
      <c r="S398" s="31">
        <v>59000</v>
      </c>
      <c r="T398" s="39">
        <v>65000</v>
      </c>
      <c r="U398">
        <v>11666.67</v>
      </c>
      <c r="V398">
        <v>5000</v>
      </c>
      <c r="W398">
        <v>0</v>
      </c>
      <c r="X398" s="39">
        <v>19400</v>
      </c>
      <c r="Y398">
        <v>0</v>
      </c>
      <c r="Z398" s="31">
        <v>48333.33</v>
      </c>
      <c r="AA398">
        <v>8</v>
      </c>
      <c r="AB398" s="3">
        <f t="shared" si="20"/>
        <v>48333.33</v>
      </c>
      <c r="AC398" t="str">
        <f>IF(AB398-S398&lt;0,"YES","NO")</f>
        <v>YES</v>
      </c>
      <c r="AD398">
        <f>IF(AC398="NO",0,AB398-S398)</f>
        <v>-10666.669999999998</v>
      </c>
      <c r="AE398" s="43">
        <v>0.08</v>
      </c>
      <c r="AF398" s="3">
        <f t="shared" si="21"/>
        <v>-9876.5462962962938</v>
      </c>
      <c r="AG398" s="45">
        <f t="shared" si="22"/>
        <v>-10864.200925925925</v>
      </c>
      <c r="AH398" s="55"/>
    </row>
    <row r="399" spans="1:34" x14ac:dyDescent="0.25">
      <c r="A399" t="s">
        <v>1787</v>
      </c>
      <c r="B399" t="s">
        <v>1788</v>
      </c>
      <c r="C399" t="s">
        <v>1789</v>
      </c>
      <c r="D399" t="s">
        <v>1790</v>
      </c>
      <c r="E399" t="s">
        <v>1791</v>
      </c>
      <c r="F399" t="s">
        <v>1792</v>
      </c>
      <c r="G399" t="s">
        <v>5</v>
      </c>
      <c r="H399" t="s">
        <v>65</v>
      </c>
      <c r="I399" t="s">
        <v>71</v>
      </c>
      <c r="J399" t="s">
        <v>72</v>
      </c>
      <c r="K399" t="s">
        <v>3</v>
      </c>
      <c r="L399" t="s">
        <v>4</v>
      </c>
      <c r="M399" t="s">
        <v>49</v>
      </c>
      <c r="N399" t="s">
        <v>1793</v>
      </c>
      <c r="O399" s="31" t="s">
        <v>1794</v>
      </c>
      <c r="P399">
        <v>220</v>
      </c>
      <c r="Q399" t="s">
        <v>70</v>
      </c>
      <c r="R399">
        <v>1</v>
      </c>
      <c r="S399" s="31">
        <v>59000</v>
      </c>
      <c r="T399" s="39">
        <v>65000</v>
      </c>
      <c r="U399">
        <v>11666.67</v>
      </c>
      <c r="V399">
        <v>5000</v>
      </c>
      <c r="W399">
        <v>0</v>
      </c>
      <c r="X399" s="39">
        <v>19400</v>
      </c>
      <c r="Y399">
        <v>0</v>
      </c>
      <c r="Z399" s="31">
        <v>48333.33</v>
      </c>
      <c r="AA399">
        <v>8</v>
      </c>
      <c r="AB399" s="3">
        <f t="shared" si="20"/>
        <v>48333.33</v>
      </c>
      <c r="AC399" t="str">
        <f>IF(AB399-S399&lt;0,"YES","NO")</f>
        <v>YES</v>
      </c>
      <c r="AD399">
        <f>IF(AC399="NO",0,AB399-S399)</f>
        <v>-10666.669999999998</v>
      </c>
      <c r="AE399" s="43">
        <v>0.08</v>
      </c>
      <c r="AF399" s="3">
        <f t="shared" si="21"/>
        <v>-9876.5462962962938</v>
      </c>
      <c r="AG399" s="45">
        <f t="shared" si="22"/>
        <v>-10864.200925925925</v>
      </c>
      <c r="AH399" s="55"/>
    </row>
    <row r="400" spans="1:34" x14ac:dyDescent="0.25">
      <c r="A400" t="s">
        <v>1787</v>
      </c>
      <c r="B400" t="s">
        <v>1788</v>
      </c>
      <c r="C400" t="s">
        <v>1789</v>
      </c>
      <c r="D400" t="s">
        <v>1790</v>
      </c>
      <c r="E400" t="s">
        <v>1791</v>
      </c>
      <c r="F400" t="s">
        <v>1792</v>
      </c>
      <c r="G400" t="s">
        <v>5</v>
      </c>
      <c r="H400" t="s">
        <v>65</v>
      </c>
      <c r="I400" t="s">
        <v>73</v>
      </c>
      <c r="J400" t="s">
        <v>74</v>
      </c>
      <c r="K400" t="s">
        <v>3</v>
      </c>
      <c r="L400" t="s">
        <v>4</v>
      </c>
      <c r="M400" t="s">
        <v>49</v>
      </c>
      <c r="N400" t="s">
        <v>1793</v>
      </c>
      <c r="O400" s="31" t="s">
        <v>1794</v>
      </c>
      <c r="P400">
        <v>220</v>
      </c>
      <c r="Q400" t="s">
        <v>70</v>
      </c>
      <c r="R400">
        <v>1</v>
      </c>
      <c r="S400" s="31">
        <v>59000</v>
      </c>
      <c r="T400" s="39">
        <v>65000</v>
      </c>
      <c r="U400">
        <v>11666.67</v>
      </c>
      <c r="V400">
        <v>5000</v>
      </c>
      <c r="W400">
        <v>0</v>
      </c>
      <c r="X400" s="39">
        <v>19400</v>
      </c>
      <c r="Y400">
        <v>0</v>
      </c>
      <c r="Z400" s="31">
        <v>48333.33</v>
      </c>
      <c r="AA400">
        <v>8</v>
      </c>
      <c r="AB400" s="3">
        <f t="shared" si="20"/>
        <v>48333.33</v>
      </c>
      <c r="AC400" t="str">
        <f>IF(AB400-S400&lt;0,"YES","NO")</f>
        <v>YES</v>
      </c>
      <c r="AD400">
        <f>IF(AC400="NO",0,AB400-S400)</f>
        <v>-10666.669999999998</v>
      </c>
      <c r="AE400" s="43">
        <v>0.08</v>
      </c>
      <c r="AF400" s="3">
        <f t="shared" si="21"/>
        <v>-9876.5462962962938</v>
      </c>
      <c r="AG400" s="45">
        <f t="shared" si="22"/>
        <v>-10864.200925925925</v>
      </c>
      <c r="AH400" s="55"/>
    </row>
    <row r="401" spans="1:34" x14ac:dyDescent="0.25">
      <c r="A401" t="s">
        <v>1787</v>
      </c>
      <c r="B401" t="s">
        <v>1788</v>
      </c>
      <c r="C401" t="s">
        <v>1789</v>
      </c>
      <c r="D401" t="s">
        <v>1790</v>
      </c>
      <c r="E401" t="s">
        <v>1791</v>
      </c>
      <c r="F401" t="s">
        <v>1792</v>
      </c>
      <c r="G401" t="s">
        <v>5</v>
      </c>
      <c r="H401" t="s">
        <v>65</v>
      </c>
      <c r="I401" t="s">
        <v>66</v>
      </c>
      <c r="J401" t="s">
        <v>67</v>
      </c>
      <c r="K401" t="s">
        <v>3</v>
      </c>
      <c r="L401" t="s">
        <v>4</v>
      </c>
      <c r="M401" t="s">
        <v>49</v>
      </c>
      <c r="N401" t="s">
        <v>1793</v>
      </c>
      <c r="O401" s="31" t="s">
        <v>1794</v>
      </c>
      <c r="P401">
        <v>220</v>
      </c>
      <c r="R401">
        <v>2</v>
      </c>
      <c r="S401" s="31">
        <v>150000</v>
      </c>
      <c r="T401" s="39">
        <v>160000</v>
      </c>
      <c r="U401">
        <v>0</v>
      </c>
      <c r="V401">
        <v>16000</v>
      </c>
      <c r="W401">
        <v>0</v>
      </c>
      <c r="X401" s="39">
        <v>23040</v>
      </c>
      <c r="Y401">
        <v>0</v>
      </c>
      <c r="Z401" s="31">
        <v>144000</v>
      </c>
      <c r="AA401">
        <v>8</v>
      </c>
      <c r="AB401" s="3">
        <f t="shared" si="20"/>
        <v>144000</v>
      </c>
      <c r="AC401" t="str">
        <f>IF(AB401-S401&lt;0,"YES","NO")</f>
        <v>YES</v>
      </c>
      <c r="AD401">
        <f>IF(AC401="NO",0,AB401-S401)</f>
        <v>-6000</v>
      </c>
      <c r="AE401" s="43">
        <v>0.08</v>
      </c>
      <c r="AF401" s="3">
        <f t="shared" si="21"/>
        <v>-5555.5555555555547</v>
      </c>
      <c r="AG401" s="45">
        <f t="shared" si="22"/>
        <v>-6111.1111111111104</v>
      </c>
      <c r="AH401" s="55"/>
    </row>
    <row r="402" spans="1:34" x14ac:dyDescent="0.25">
      <c r="A402" t="s">
        <v>1795</v>
      </c>
      <c r="B402" t="s">
        <v>1796</v>
      </c>
      <c r="C402" t="s">
        <v>1797</v>
      </c>
      <c r="D402" t="s">
        <v>1798</v>
      </c>
      <c r="E402" t="s">
        <v>1799</v>
      </c>
      <c r="F402" t="s">
        <v>1800</v>
      </c>
      <c r="G402" t="s">
        <v>5</v>
      </c>
      <c r="H402" t="s">
        <v>61</v>
      </c>
      <c r="I402" t="s">
        <v>62</v>
      </c>
      <c r="J402" t="s">
        <v>63</v>
      </c>
      <c r="K402" t="s">
        <v>3</v>
      </c>
      <c r="L402" t="s">
        <v>4</v>
      </c>
      <c r="M402" t="s">
        <v>49</v>
      </c>
      <c r="N402" t="s">
        <v>1801</v>
      </c>
      <c r="O402" s="31" t="s">
        <v>1802</v>
      </c>
      <c r="P402">
        <v>20000</v>
      </c>
      <c r="Q402" t="s">
        <v>64</v>
      </c>
      <c r="R402">
        <v>1</v>
      </c>
      <c r="S402" s="31">
        <v>0</v>
      </c>
      <c r="T402" s="39">
        <v>0</v>
      </c>
      <c r="U402">
        <v>0</v>
      </c>
      <c r="V402">
        <v>0</v>
      </c>
      <c r="W402">
        <v>0</v>
      </c>
      <c r="X402" s="39">
        <v>0</v>
      </c>
      <c r="Y402">
        <v>0</v>
      </c>
      <c r="Z402" s="31">
        <v>0</v>
      </c>
      <c r="AA402">
        <v>8</v>
      </c>
      <c r="AB402" s="3">
        <f t="shared" si="20"/>
        <v>0</v>
      </c>
      <c r="AC402" t="str">
        <f>IF(AB402-S402&lt;0,"YES","NO")</f>
        <v>NO</v>
      </c>
      <c r="AD402">
        <f>IF(AC402="NO",0,AB402-S402)</f>
        <v>0</v>
      </c>
      <c r="AE402" s="43">
        <v>0.08</v>
      </c>
      <c r="AF402" s="3">
        <f t="shared" si="21"/>
        <v>0</v>
      </c>
      <c r="AG402" s="45">
        <f t="shared" si="22"/>
        <v>0</v>
      </c>
      <c r="AH402" s="55"/>
    </row>
    <row r="403" spans="1:34" x14ac:dyDescent="0.25">
      <c r="A403" t="s">
        <v>1795</v>
      </c>
      <c r="B403" t="s">
        <v>1796</v>
      </c>
      <c r="C403" t="s">
        <v>1797</v>
      </c>
      <c r="D403" t="s">
        <v>1798</v>
      </c>
      <c r="E403" t="s">
        <v>1799</v>
      </c>
      <c r="F403" t="s">
        <v>1800</v>
      </c>
      <c r="G403" t="s">
        <v>5</v>
      </c>
      <c r="H403" t="s">
        <v>65</v>
      </c>
      <c r="I403" t="s">
        <v>87</v>
      </c>
      <c r="J403" t="s">
        <v>88</v>
      </c>
      <c r="K403" t="s">
        <v>3</v>
      </c>
      <c r="L403" t="s">
        <v>4</v>
      </c>
      <c r="M403" t="s">
        <v>49</v>
      </c>
      <c r="N403" t="s">
        <v>1801</v>
      </c>
      <c r="O403" s="31" t="s">
        <v>1802</v>
      </c>
      <c r="P403">
        <v>220</v>
      </c>
      <c r="Q403" t="s">
        <v>89</v>
      </c>
      <c r="R403">
        <v>1</v>
      </c>
      <c r="S403" s="31">
        <v>59000</v>
      </c>
      <c r="T403" s="39">
        <v>70000</v>
      </c>
      <c r="U403">
        <v>9941</v>
      </c>
      <c r="V403">
        <v>6500</v>
      </c>
      <c r="W403">
        <v>0</v>
      </c>
      <c r="X403" s="39">
        <v>18510</v>
      </c>
      <c r="Y403">
        <v>0</v>
      </c>
      <c r="Z403" s="31">
        <v>53559</v>
      </c>
      <c r="AA403">
        <v>8</v>
      </c>
      <c r="AB403" s="3">
        <f t="shared" si="20"/>
        <v>53559</v>
      </c>
      <c r="AC403" t="str">
        <f>IF(AB403-S403&lt;0,"YES","NO")</f>
        <v>YES</v>
      </c>
      <c r="AD403">
        <f>IF(AC403="NO",0,AB403-S403)</f>
        <v>-5441</v>
      </c>
      <c r="AE403" s="43">
        <v>0.08</v>
      </c>
      <c r="AF403" s="3">
        <f t="shared" si="21"/>
        <v>-5037.9629629629626</v>
      </c>
      <c r="AG403" s="45">
        <f t="shared" si="22"/>
        <v>-5541.7592592592591</v>
      </c>
      <c r="AH403" s="55"/>
    </row>
    <row r="404" spans="1:34" x14ac:dyDescent="0.25">
      <c r="A404" t="s">
        <v>1795</v>
      </c>
      <c r="B404" t="s">
        <v>1796</v>
      </c>
      <c r="C404" t="s">
        <v>1797</v>
      </c>
      <c r="D404" t="s">
        <v>1798</v>
      </c>
      <c r="E404" t="s">
        <v>1799</v>
      </c>
      <c r="F404" t="s">
        <v>1800</v>
      </c>
      <c r="G404" t="s">
        <v>5</v>
      </c>
      <c r="H404" t="s">
        <v>65</v>
      </c>
      <c r="I404" t="s">
        <v>90</v>
      </c>
      <c r="J404" t="s">
        <v>91</v>
      </c>
      <c r="K404" t="s">
        <v>3</v>
      </c>
      <c r="L404" t="s">
        <v>4</v>
      </c>
      <c r="M404" t="s">
        <v>49</v>
      </c>
      <c r="N404" t="s">
        <v>1801</v>
      </c>
      <c r="O404" s="31" t="s">
        <v>1802</v>
      </c>
      <c r="P404">
        <v>220</v>
      </c>
      <c r="Q404" t="s">
        <v>92</v>
      </c>
      <c r="R404">
        <v>1</v>
      </c>
      <c r="S404" s="31">
        <v>59000</v>
      </c>
      <c r="T404" s="39">
        <v>70000</v>
      </c>
      <c r="U404">
        <v>9941</v>
      </c>
      <c r="V404">
        <v>6500</v>
      </c>
      <c r="W404">
        <v>0</v>
      </c>
      <c r="X404" s="39">
        <v>18510</v>
      </c>
      <c r="Y404">
        <v>0</v>
      </c>
      <c r="Z404" s="31">
        <v>53559</v>
      </c>
      <c r="AA404">
        <v>8</v>
      </c>
      <c r="AB404" s="3">
        <f t="shared" si="20"/>
        <v>53559</v>
      </c>
      <c r="AC404" t="str">
        <f>IF(AB404-S404&lt;0,"YES","NO")</f>
        <v>YES</v>
      </c>
      <c r="AD404">
        <f>IF(AC404="NO",0,AB404-S404)</f>
        <v>-5441</v>
      </c>
      <c r="AE404" s="43">
        <v>0.08</v>
      </c>
      <c r="AF404" s="3">
        <f t="shared" si="21"/>
        <v>-5037.9629629629626</v>
      </c>
      <c r="AG404" s="45">
        <f t="shared" si="22"/>
        <v>-5541.7592592592591</v>
      </c>
      <c r="AH404" s="55"/>
    </row>
    <row r="405" spans="1:34" x14ac:dyDescent="0.25">
      <c r="A405" t="s">
        <v>1795</v>
      </c>
      <c r="B405" t="s">
        <v>1796</v>
      </c>
      <c r="C405" t="s">
        <v>1797</v>
      </c>
      <c r="D405" t="s">
        <v>1798</v>
      </c>
      <c r="E405" t="s">
        <v>1799</v>
      </c>
      <c r="F405" t="s">
        <v>1800</v>
      </c>
      <c r="G405" t="s">
        <v>5</v>
      </c>
      <c r="H405" t="s">
        <v>65</v>
      </c>
      <c r="I405" t="s">
        <v>90</v>
      </c>
      <c r="J405" t="s">
        <v>91</v>
      </c>
      <c r="K405" t="s">
        <v>3</v>
      </c>
      <c r="L405" t="s">
        <v>4</v>
      </c>
      <c r="M405" t="s">
        <v>49</v>
      </c>
      <c r="N405" t="s">
        <v>1801</v>
      </c>
      <c r="O405" s="31" t="s">
        <v>1802</v>
      </c>
      <c r="P405">
        <v>220</v>
      </c>
      <c r="Q405" t="s">
        <v>92</v>
      </c>
      <c r="R405">
        <v>3</v>
      </c>
      <c r="S405" s="31">
        <v>177000</v>
      </c>
      <c r="T405" s="39">
        <v>210000</v>
      </c>
      <c r="U405">
        <v>30059.01</v>
      </c>
      <c r="V405">
        <v>18000</v>
      </c>
      <c r="W405">
        <v>0</v>
      </c>
      <c r="X405" s="39">
        <v>55970.01</v>
      </c>
      <c r="Y405">
        <v>0</v>
      </c>
      <c r="Z405" s="31">
        <v>161940.99</v>
      </c>
      <c r="AA405">
        <v>8</v>
      </c>
      <c r="AB405" s="3">
        <f t="shared" si="20"/>
        <v>161940.99</v>
      </c>
      <c r="AC405" t="str">
        <f>IF(AB405-S405&lt;0,"YES","NO")</f>
        <v>YES</v>
      </c>
      <c r="AD405">
        <f>IF(AC405="NO",0,AB405-S405)</f>
        <v>-15059.010000000009</v>
      </c>
      <c r="AE405" s="43">
        <v>0.08</v>
      </c>
      <c r="AF405" s="3">
        <f t="shared" si="21"/>
        <v>-13943.527777777785</v>
      </c>
      <c r="AG405" s="45">
        <f t="shared" si="22"/>
        <v>-15337.880555555565</v>
      </c>
      <c r="AH405" s="55"/>
    </row>
    <row r="406" spans="1:34" x14ac:dyDescent="0.25">
      <c r="A406" t="s">
        <v>1795</v>
      </c>
      <c r="B406" t="s">
        <v>1796</v>
      </c>
      <c r="C406" t="s">
        <v>1797</v>
      </c>
      <c r="D406" t="s">
        <v>1798</v>
      </c>
      <c r="E406" t="s">
        <v>1799</v>
      </c>
      <c r="F406" t="s">
        <v>1800</v>
      </c>
      <c r="G406" t="s">
        <v>5</v>
      </c>
      <c r="H406" t="s">
        <v>65</v>
      </c>
      <c r="I406" t="s">
        <v>87</v>
      </c>
      <c r="J406" t="s">
        <v>88</v>
      </c>
      <c r="K406" t="s">
        <v>3</v>
      </c>
      <c r="L406" t="s">
        <v>4</v>
      </c>
      <c r="M406" t="s">
        <v>49</v>
      </c>
      <c r="N406" t="s">
        <v>1801</v>
      </c>
      <c r="O406" s="31" t="s">
        <v>1802</v>
      </c>
      <c r="P406">
        <v>220</v>
      </c>
      <c r="Q406" t="s">
        <v>89</v>
      </c>
      <c r="R406">
        <v>3</v>
      </c>
      <c r="S406" s="31">
        <v>177000</v>
      </c>
      <c r="T406" s="39">
        <v>210000</v>
      </c>
      <c r="U406">
        <v>30059.01</v>
      </c>
      <c r="V406">
        <v>18000</v>
      </c>
      <c r="W406">
        <v>0</v>
      </c>
      <c r="X406" s="39">
        <v>55970.01</v>
      </c>
      <c r="Y406">
        <v>0</v>
      </c>
      <c r="Z406" s="31">
        <v>161940.99</v>
      </c>
      <c r="AA406">
        <v>8</v>
      </c>
      <c r="AB406" s="3">
        <f t="shared" si="20"/>
        <v>161940.99</v>
      </c>
      <c r="AC406" t="str">
        <f>IF(AB406-S406&lt;0,"YES","NO")</f>
        <v>YES</v>
      </c>
      <c r="AD406">
        <f>IF(AC406="NO",0,AB406-S406)</f>
        <v>-15059.010000000009</v>
      </c>
      <c r="AE406" s="43">
        <v>0.08</v>
      </c>
      <c r="AF406" s="3">
        <f t="shared" si="21"/>
        <v>-13943.527777777785</v>
      </c>
      <c r="AG406" s="45">
        <f t="shared" si="22"/>
        <v>-15337.880555555565</v>
      </c>
      <c r="AH406" s="55"/>
    </row>
    <row r="407" spans="1:34" x14ac:dyDescent="0.25">
      <c r="A407" t="s">
        <v>1803</v>
      </c>
      <c r="B407" t="s">
        <v>1804</v>
      </c>
      <c r="C407" t="s">
        <v>1805</v>
      </c>
      <c r="D407" t="s">
        <v>1806</v>
      </c>
      <c r="E407" t="s">
        <v>1807</v>
      </c>
      <c r="F407" t="s">
        <v>1808</v>
      </c>
      <c r="G407" t="s">
        <v>5</v>
      </c>
      <c r="H407" t="s">
        <v>65</v>
      </c>
      <c r="I407" t="s">
        <v>66</v>
      </c>
      <c r="J407" t="s">
        <v>67</v>
      </c>
      <c r="K407" t="s">
        <v>3</v>
      </c>
      <c r="L407" t="s">
        <v>4</v>
      </c>
      <c r="M407" t="s">
        <v>49</v>
      </c>
      <c r="N407" t="s">
        <v>1809</v>
      </c>
      <c r="O407" s="31" t="s">
        <v>1810</v>
      </c>
      <c r="P407">
        <v>220</v>
      </c>
      <c r="R407">
        <v>2</v>
      </c>
      <c r="S407" s="31">
        <v>150000</v>
      </c>
      <c r="T407" s="39">
        <v>160000</v>
      </c>
      <c r="U407">
        <v>9795</v>
      </c>
      <c r="V407">
        <v>16000</v>
      </c>
      <c r="W407">
        <v>0</v>
      </c>
      <c r="X407" s="39">
        <v>29925</v>
      </c>
      <c r="Y407">
        <v>0</v>
      </c>
      <c r="Z407" s="31">
        <v>134205</v>
      </c>
      <c r="AA407">
        <v>8</v>
      </c>
      <c r="AB407" s="3">
        <f t="shared" si="20"/>
        <v>134205</v>
      </c>
      <c r="AC407" t="str">
        <f>IF(AB407-S407&lt;0,"YES","NO")</f>
        <v>YES</v>
      </c>
      <c r="AD407">
        <f>IF(AC407="NO",0,AB407-S407)</f>
        <v>-15795</v>
      </c>
      <c r="AE407" s="43">
        <v>0.08</v>
      </c>
      <c r="AF407" s="3">
        <f t="shared" si="21"/>
        <v>-14624.999999999998</v>
      </c>
      <c r="AG407" s="45">
        <f t="shared" si="22"/>
        <v>-16087.5</v>
      </c>
      <c r="AH407" s="55"/>
    </row>
    <row r="408" spans="1:34" x14ac:dyDescent="0.25">
      <c r="A408" t="s">
        <v>1803</v>
      </c>
      <c r="B408" t="s">
        <v>1804</v>
      </c>
      <c r="C408" t="s">
        <v>1805</v>
      </c>
      <c r="D408" t="s">
        <v>1806</v>
      </c>
      <c r="E408" t="s">
        <v>1807</v>
      </c>
      <c r="F408" t="s">
        <v>1808</v>
      </c>
      <c r="G408" t="s">
        <v>5</v>
      </c>
      <c r="H408" t="s">
        <v>65</v>
      </c>
      <c r="I408" t="s">
        <v>82</v>
      </c>
      <c r="J408" t="s">
        <v>83</v>
      </c>
      <c r="K408" t="s">
        <v>3</v>
      </c>
      <c r="L408" t="s">
        <v>4</v>
      </c>
      <c r="M408" t="s">
        <v>49</v>
      </c>
      <c r="N408" t="s">
        <v>1809</v>
      </c>
      <c r="O408" s="31" t="s">
        <v>1810</v>
      </c>
      <c r="P408">
        <v>220</v>
      </c>
      <c r="R408">
        <v>2</v>
      </c>
      <c r="S408" s="31">
        <v>150000</v>
      </c>
      <c r="T408" s="39">
        <v>160000</v>
      </c>
      <c r="U408">
        <v>10205</v>
      </c>
      <c r="V408">
        <v>10000</v>
      </c>
      <c r="W408">
        <v>0</v>
      </c>
      <c r="X408" s="39">
        <v>31175</v>
      </c>
      <c r="Y408">
        <v>0</v>
      </c>
      <c r="Z408" s="31">
        <v>139795</v>
      </c>
      <c r="AA408">
        <v>8</v>
      </c>
      <c r="AB408" s="3">
        <f t="shared" si="20"/>
        <v>139795</v>
      </c>
      <c r="AC408" t="str">
        <f>IF(AB408-S408&lt;0,"YES","NO")</f>
        <v>YES</v>
      </c>
      <c r="AD408">
        <f>IF(AC408="NO",0,AB408-S408)</f>
        <v>-10205</v>
      </c>
      <c r="AE408" s="43">
        <v>0.08</v>
      </c>
      <c r="AF408" s="3">
        <f t="shared" si="21"/>
        <v>-9449.074074074073</v>
      </c>
      <c r="AG408" s="45">
        <f t="shared" si="22"/>
        <v>-10393.981481481482</v>
      </c>
      <c r="AH408" s="55"/>
    </row>
    <row r="409" spans="1:34" x14ac:dyDescent="0.25">
      <c r="A409" t="s">
        <v>1811</v>
      </c>
      <c r="B409" t="s">
        <v>1812</v>
      </c>
      <c r="C409" t="s">
        <v>1813</v>
      </c>
      <c r="D409" t="s">
        <v>1814</v>
      </c>
      <c r="E409" t="s">
        <v>1815</v>
      </c>
      <c r="F409" t="s">
        <v>1816</v>
      </c>
      <c r="G409" t="s">
        <v>5</v>
      </c>
      <c r="H409" t="s">
        <v>65</v>
      </c>
      <c r="I409" t="s">
        <v>66</v>
      </c>
      <c r="J409" t="s">
        <v>67</v>
      </c>
      <c r="K409" t="s">
        <v>3</v>
      </c>
      <c r="L409" t="s">
        <v>4</v>
      </c>
      <c r="M409" t="s">
        <v>49</v>
      </c>
      <c r="N409" t="s">
        <v>1817</v>
      </c>
      <c r="O409" s="31" t="s">
        <v>1818</v>
      </c>
      <c r="P409">
        <v>220</v>
      </c>
      <c r="R409">
        <v>2</v>
      </c>
      <c r="S409" s="31">
        <v>150000</v>
      </c>
      <c r="T409" s="39">
        <v>160000</v>
      </c>
      <c r="U409">
        <v>20000</v>
      </c>
      <c r="V409">
        <v>16000</v>
      </c>
      <c r="W409">
        <v>0</v>
      </c>
      <c r="X409" s="39">
        <v>44800</v>
      </c>
      <c r="Y409">
        <v>0</v>
      </c>
      <c r="Z409" s="31">
        <v>124000</v>
      </c>
      <c r="AA409">
        <v>8</v>
      </c>
      <c r="AB409" s="3">
        <f t="shared" si="20"/>
        <v>124000</v>
      </c>
      <c r="AC409" t="str">
        <f>IF(AB409-S409&lt;0,"YES","NO")</f>
        <v>YES</v>
      </c>
      <c r="AD409">
        <f>IF(AC409="NO",0,AB409-S409)</f>
        <v>-26000</v>
      </c>
      <c r="AE409" s="43">
        <v>0.08</v>
      </c>
      <c r="AF409" s="3">
        <f t="shared" si="21"/>
        <v>-24074.074074074073</v>
      </c>
      <c r="AG409" s="45">
        <f t="shared" si="22"/>
        <v>-26481.481481481482</v>
      </c>
      <c r="AH409" s="55"/>
    </row>
    <row r="410" spans="1:34" x14ac:dyDescent="0.25">
      <c r="A410" t="s">
        <v>1819</v>
      </c>
      <c r="B410" t="s">
        <v>1820</v>
      </c>
      <c r="C410" t="s">
        <v>1821</v>
      </c>
      <c r="D410" t="s">
        <v>1822</v>
      </c>
      <c r="E410" t="s">
        <v>1823</v>
      </c>
      <c r="F410" t="s">
        <v>1824</v>
      </c>
      <c r="G410" t="s">
        <v>5</v>
      </c>
      <c r="H410" t="s">
        <v>61</v>
      </c>
      <c r="I410" t="s">
        <v>84</v>
      </c>
      <c r="J410" t="s">
        <v>85</v>
      </c>
      <c r="K410" t="s">
        <v>3</v>
      </c>
      <c r="L410" t="s">
        <v>4</v>
      </c>
      <c r="M410" t="s">
        <v>49</v>
      </c>
      <c r="N410" t="s">
        <v>1825</v>
      </c>
      <c r="O410" s="31" t="s">
        <v>1826</v>
      </c>
      <c r="P410">
        <v>100</v>
      </c>
      <c r="Q410" t="s">
        <v>86</v>
      </c>
      <c r="R410">
        <v>1</v>
      </c>
      <c r="S410" s="31">
        <v>0</v>
      </c>
      <c r="T410" s="39">
        <v>0</v>
      </c>
      <c r="U410">
        <v>0</v>
      </c>
      <c r="V410">
        <v>0</v>
      </c>
      <c r="W410">
        <v>0</v>
      </c>
      <c r="X410" s="39">
        <v>0</v>
      </c>
      <c r="Y410">
        <v>0</v>
      </c>
      <c r="Z410" s="31">
        <v>0</v>
      </c>
      <c r="AA410">
        <v>8</v>
      </c>
      <c r="AB410" s="3">
        <f t="shared" si="20"/>
        <v>0</v>
      </c>
      <c r="AC410" t="str">
        <f>IF(AB410-S410&lt;0,"YES","NO")</f>
        <v>NO</v>
      </c>
      <c r="AD410">
        <f>IF(AC410="NO",0,AB410-S410)</f>
        <v>0</v>
      </c>
      <c r="AE410" s="43">
        <v>0.08</v>
      </c>
      <c r="AF410" s="3">
        <f t="shared" si="21"/>
        <v>0</v>
      </c>
      <c r="AG410" s="45">
        <f t="shared" si="22"/>
        <v>0</v>
      </c>
      <c r="AH410" s="55"/>
    </row>
    <row r="411" spans="1:34" x14ac:dyDescent="0.25">
      <c r="A411" t="s">
        <v>1819</v>
      </c>
      <c r="B411" t="s">
        <v>1820</v>
      </c>
      <c r="C411" t="s">
        <v>1821</v>
      </c>
      <c r="D411" t="s">
        <v>1822</v>
      </c>
      <c r="E411" t="s">
        <v>1823</v>
      </c>
      <c r="F411" t="s">
        <v>1824</v>
      </c>
      <c r="G411" t="s">
        <v>5</v>
      </c>
      <c r="H411" t="s">
        <v>65</v>
      </c>
      <c r="I411" t="s">
        <v>78</v>
      </c>
      <c r="J411" t="s">
        <v>79</v>
      </c>
      <c r="K411" t="s">
        <v>3</v>
      </c>
      <c r="L411" t="s">
        <v>4</v>
      </c>
      <c r="M411" t="s">
        <v>49</v>
      </c>
      <c r="N411" t="s">
        <v>1825</v>
      </c>
      <c r="O411" s="31" t="s">
        <v>1826</v>
      </c>
      <c r="P411">
        <v>220</v>
      </c>
      <c r="R411">
        <v>3</v>
      </c>
      <c r="S411" s="31">
        <v>225000</v>
      </c>
      <c r="T411" s="39">
        <v>240000</v>
      </c>
      <c r="U411">
        <v>35000.01</v>
      </c>
      <c r="V411">
        <v>12999.99</v>
      </c>
      <c r="W411">
        <v>0</v>
      </c>
      <c r="X411" s="39">
        <v>75320.009999999995</v>
      </c>
      <c r="Y411">
        <v>0</v>
      </c>
      <c r="Z411" s="31">
        <v>192000</v>
      </c>
      <c r="AA411">
        <v>8</v>
      </c>
      <c r="AB411" s="3">
        <f t="shared" si="20"/>
        <v>192000</v>
      </c>
      <c r="AC411" t="str">
        <f>IF(AB411-S411&lt;0,"YES","NO")</f>
        <v>YES</v>
      </c>
      <c r="AD411">
        <f>IF(AC411="NO",0,AB411-S411)</f>
        <v>-33000</v>
      </c>
      <c r="AE411" s="43">
        <v>0.08</v>
      </c>
      <c r="AF411" s="3">
        <f t="shared" si="21"/>
        <v>-30555.555555555555</v>
      </c>
      <c r="AG411" s="45">
        <f t="shared" si="22"/>
        <v>-33611.111111111109</v>
      </c>
      <c r="AH411" s="55"/>
    </row>
    <row r="412" spans="1:34" x14ac:dyDescent="0.25">
      <c r="A412" t="s">
        <v>1827</v>
      </c>
      <c r="B412" t="s">
        <v>1828</v>
      </c>
      <c r="C412" t="s">
        <v>1829</v>
      </c>
      <c r="D412" t="s">
        <v>1830</v>
      </c>
      <c r="E412" t="s">
        <v>1831</v>
      </c>
      <c r="F412" t="s">
        <v>1832</v>
      </c>
      <c r="G412" t="s">
        <v>5</v>
      </c>
      <c r="H412" t="s">
        <v>65</v>
      </c>
      <c r="I412" t="s">
        <v>66</v>
      </c>
      <c r="J412" t="s">
        <v>67</v>
      </c>
      <c r="K412" t="s">
        <v>3</v>
      </c>
      <c r="L412" t="s">
        <v>4</v>
      </c>
      <c r="M412" t="s">
        <v>49</v>
      </c>
      <c r="N412" t="s">
        <v>1833</v>
      </c>
      <c r="O412" s="31" t="s">
        <v>1834</v>
      </c>
      <c r="P412">
        <v>220</v>
      </c>
      <c r="R412">
        <v>1</v>
      </c>
      <c r="S412" s="31">
        <v>75000</v>
      </c>
      <c r="T412" s="39">
        <v>80000</v>
      </c>
      <c r="U412">
        <v>11666.67</v>
      </c>
      <c r="V412">
        <v>4333.33</v>
      </c>
      <c r="W412">
        <v>0</v>
      </c>
      <c r="X412" s="39">
        <v>24466.67</v>
      </c>
      <c r="Y412">
        <v>0</v>
      </c>
      <c r="Z412" s="31">
        <v>64000</v>
      </c>
      <c r="AA412">
        <v>8</v>
      </c>
      <c r="AB412" s="3">
        <f t="shared" si="20"/>
        <v>64000</v>
      </c>
      <c r="AC412" t="str">
        <f>IF(AB412-S412&lt;0,"YES","NO")</f>
        <v>YES</v>
      </c>
      <c r="AD412">
        <f>IF(AC412="NO",0,AB412-S412)</f>
        <v>-11000</v>
      </c>
      <c r="AE412" s="43">
        <v>0.08</v>
      </c>
      <c r="AF412" s="3">
        <f t="shared" si="21"/>
        <v>-10185.185185185184</v>
      </c>
      <c r="AG412" s="45">
        <f t="shared" si="22"/>
        <v>-11203.703703703704</v>
      </c>
      <c r="AH412" s="55"/>
    </row>
    <row r="413" spans="1:34" x14ac:dyDescent="0.25">
      <c r="A413" t="s">
        <v>1827</v>
      </c>
      <c r="B413" t="s">
        <v>1828</v>
      </c>
      <c r="C413" t="s">
        <v>1829</v>
      </c>
      <c r="D413" t="s">
        <v>1830</v>
      </c>
      <c r="E413" t="s">
        <v>1831</v>
      </c>
      <c r="F413" t="s">
        <v>1832</v>
      </c>
      <c r="G413" t="s">
        <v>5</v>
      </c>
      <c r="H413" t="s">
        <v>65</v>
      </c>
      <c r="I413" t="s">
        <v>78</v>
      </c>
      <c r="J413" t="s">
        <v>79</v>
      </c>
      <c r="K413" t="s">
        <v>3</v>
      </c>
      <c r="L413" t="s">
        <v>4</v>
      </c>
      <c r="M413" t="s">
        <v>49</v>
      </c>
      <c r="N413" t="s">
        <v>1833</v>
      </c>
      <c r="O413" s="31" t="s">
        <v>1834</v>
      </c>
      <c r="P413">
        <v>220</v>
      </c>
      <c r="R413">
        <v>1</v>
      </c>
      <c r="S413" s="31">
        <v>75000</v>
      </c>
      <c r="T413" s="39">
        <v>80000</v>
      </c>
      <c r="U413">
        <v>11666.67</v>
      </c>
      <c r="V413">
        <v>4333.33</v>
      </c>
      <c r="W413">
        <v>0</v>
      </c>
      <c r="X413" s="39">
        <v>24466.67</v>
      </c>
      <c r="Y413">
        <v>0</v>
      </c>
      <c r="Z413" s="31">
        <v>64000</v>
      </c>
      <c r="AA413">
        <v>8</v>
      </c>
      <c r="AB413" s="3">
        <f t="shared" si="20"/>
        <v>64000</v>
      </c>
      <c r="AC413" t="str">
        <f>IF(AB413-S413&lt;0,"YES","NO")</f>
        <v>YES</v>
      </c>
      <c r="AD413">
        <f>IF(AC413="NO",0,AB413-S413)</f>
        <v>-11000</v>
      </c>
      <c r="AE413" s="43">
        <v>0.08</v>
      </c>
      <c r="AF413" s="3">
        <f t="shared" si="21"/>
        <v>-10185.185185185184</v>
      </c>
      <c r="AG413" s="45">
        <f t="shared" si="22"/>
        <v>-11203.703703703704</v>
      </c>
      <c r="AH413" s="55"/>
    </row>
    <row r="414" spans="1:34" x14ac:dyDescent="0.25">
      <c r="A414" t="s">
        <v>1827</v>
      </c>
      <c r="B414" t="s">
        <v>1828</v>
      </c>
      <c r="C414" t="s">
        <v>1829</v>
      </c>
      <c r="D414" t="s">
        <v>1830</v>
      </c>
      <c r="E414" t="s">
        <v>1831</v>
      </c>
      <c r="F414" t="s">
        <v>1832</v>
      </c>
      <c r="G414" t="s">
        <v>5</v>
      </c>
      <c r="H414" t="s">
        <v>65</v>
      </c>
      <c r="I414" t="s">
        <v>80</v>
      </c>
      <c r="J414" t="s">
        <v>81</v>
      </c>
      <c r="K414" t="s">
        <v>3</v>
      </c>
      <c r="L414" t="s">
        <v>4</v>
      </c>
      <c r="M414" t="s">
        <v>49</v>
      </c>
      <c r="N414" t="s">
        <v>1833</v>
      </c>
      <c r="O414" s="31" t="s">
        <v>1834</v>
      </c>
      <c r="P414">
        <v>220</v>
      </c>
      <c r="R414">
        <v>1</v>
      </c>
      <c r="S414" s="31">
        <v>75000</v>
      </c>
      <c r="T414" s="39">
        <v>80000</v>
      </c>
      <c r="U414">
        <v>11666.67</v>
      </c>
      <c r="V414">
        <v>4333.33</v>
      </c>
      <c r="W414">
        <v>0</v>
      </c>
      <c r="X414" s="39">
        <v>24466.67</v>
      </c>
      <c r="Y414">
        <v>0</v>
      </c>
      <c r="Z414" s="31">
        <v>64000</v>
      </c>
      <c r="AA414">
        <v>8</v>
      </c>
      <c r="AB414" s="3">
        <f t="shared" si="20"/>
        <v>64000</v>
      </c>
      <c r="AC414" t="str">
        <f>IF(AB414-S414&lt;0,"YES","NO")</f>
        <v>YES</v>
      </c>
      <c r="AD414">
        <f>IF(AC414="NO",0,AB414-S414)</f>
        <v>-11000</v>
      </c>
      <c r="AE414" s="43">
        <v>0.08</v>
      </c>
      <c r="AF414" s="3">
        <f t="shared" si="21"/>
        <v>-10185.185185185184</v>
      </c>
      <c r="AG414" s="45">
        <f t="shared" si="22"/>
        <v>-11203.703703703704</v>
      </c>
      <c r="AH414" s="55"/>
    </row>
    <row r="415" spans="1:34" x14ac:dyDescent="0.25">
      <c r="A415" t="s">
        <v>1835</v>
      </c>
      <c r="B415" t="s">
        <v>1836</v>
      </c>
      <c r="C415" t="s">
        <v>1837</v>
      </c>
      <c r="D415" t="s">
        <v>1838</v>
      </c>
      <c r="E415" t="s">
        <v>1839</v>
      </c>
      <c r="F415" t="s">
        <v>1840</v>
      </c>
      <c r="G415" t="s">
        <v>5</v>
      </c>
      <c r="H415" t="s">
        <v>61</v>
      </c>
      <c r="I415" t="s">
        <v>62</v>
      </c>
      <c r="J415" t="s">
        <v>63</v>
      </c>
      <c r="K415" t="s">
        <v>3</v>
      </c>
      <c r="L415" t="s">
        <v>4</v>
      </c>
      <c r="M415" t="s">
        <v>49</v>
      </c>
      <c r="N415" t="s">
        <v>1841</v>
      </c>
      <c r="O415" s="31" t="s">
        <v>1842</v>
      </c>
      <c r="P415">
        <v>20000</v>
      </c>
      <c r="Q415" t="s">
        <v>64</v>
      </c>
      <c r="R415">
        <v>1</v>
      </c>
      <c r="S415" s="31">
        <v>0</v>
      </c>
      <c r="T415" s="39">
        <v>0</v>
      </c>
      <c r="U415">
        <v>0</v>
      </c>
      <c r="V415">
        <v>0</v>
      </c>
      <c r="W415">
        <v>0</v>
      </c>
      <c r="X415" s="39">
        <v>0</v>
      </c>
      <c r="Y415">
        <v>0</v>
      </c>
      <c r="Z415" s="31">
        <v>0</v>
      </c>
      <c r="AA415">
        <v>8</v>
      </c>
      <c r="AB415" s="3">
        <f t="shared" si="20"/>
        <v>0</v>
      </c>
      <c r="AC415" t="str">
        <f>IF(AB415-S415&lt;0,"YES","NO")</f>
        <v>NO</v>
      </c>
      <c r="AD415">
        <f>IF(AC415="NO",0,AB415-S415)</f>
        <v>0</v>
      </c>
      <c r="AE415" s="43">
        <v>0.08</v>
      </c>
      <c r="AF415" s="3">
        <f t="shared" si="21"/>
        <v>0</v>
      </c>
      <c r="AG415" s="45">
        <f t="shared" si="22"/>
        <v>0</v>
      </c>
      <c r="AH415" s="55"/>
    </row>
    <row r="416" spans="1:34" x14ac:dyDescent="0.25">
      <c r="A416" t="s">
        <v>1835</v>
      </c>
      <c r="B416" t="s">
        <v>1836</v>
      </c>
      <c r="C416" t="s">
        <v>1837</v>
      </c>
      <c r="D416" t="s">
        <v>1838</v>
      </c>
      <c r="E416" t="s">
        <v>1839</v>
      </c>
      <c r="F416" t="s">
        <v>1840</v>
      </c>
      <c r="G416" t="s">
        <v>5</v>
      </c>
      <c r="H416" t="s">
        <v>65</v>
      </c>
      <c r="I416" t="s">
        <v>68</v>
      </c>
      <c r="J416" t="s">
        <v>69</v>
      </c>
      <c r="K416" t="s">
        <v>3</v>
      </c>
      <c r="L416" t="s">
        <v>4</v>
      </c>
      <c r="M416" t="s">
        <v>49</v>
      </c>
      <c r="N416" t="s">
        <v>1841</v>
      </c>
      <c r="O416" s="31" t="s">
        <v>1842</v>
      </c>
      <c r="P416">
        <v>220</v>
      </c>
      <c r="Q416" t="s">
        <v>70</v>
      </c>
      <c r="R416">
        <v>1</v>
      </c>
      <c r="S416" s="31">
        <v>59000</v>
      </c>
      <c r="T416" s="39">
        <v>65000</v>
      </c>
      <c r="U416">
        <v>11666.67</v>
      </c>
      <c r="V416">
        <v>5000</v>
      </c>
      <c r="W416">
        <v>0</v>
      </c>
      <c r="X416" s="39">
        <v>21333.33</v>
      </c>
      <c r="Y416">
        <v>0</v>
      </c>
      <c r="Z416" s="31">
        <v>48333.33</v>
      </c>
      <c r="AA416">
        <v>8</v>
      </c>
      <c r="AB416" s="3">
        <f t="shared" si="20"/>
        <v>48333.33</v>
      </c>
      <c r="AC416" t="str">
        <f>IF(AB416-S416&lt;0,"YES","NO")</f>
        <v>YES</v>
      </c>
      <c r="AD416">
        <f>IF(AC416="NO",0,AB416-S416)</f>
        <v>-10666.669999999998</v>
      </c>
      <c r="AE416" s="43">
        <v>0.08</v>
      </c>
      <c r="AF416" s="3">
        <f t="shared" si="21"/>
        <v>-9876.5462962962938</v>
      </c>
      <c r="AG416" s="45">
        <f t="shared" si="22"/>
        <v>-10864.200925925925</v>
      </c>
      <c r="AH416" s="55"/>
    </row>
    <row r="417" spans="1:34" x14ac:dyDescent="0.25">
      <c r="A417" t="s">
        <v>1835</v>
      </c>
      <c r="B417" t="s">
        <v>1836</v>
      </c>
      <c r="C417" t="s">
        <v>1837</v>
      </c>
      <c r="D417" t="s">
        <v>1838</v>
      </c>
      <c r="E417" t="s">
        <v>1839</v>
      </c>
      <c r="F417" t="s">
        <v>1840</v>
      </c>
      <c r="G417" t="s">
        <v>5</v>
      </c>
      <c r="H417" t="s">
        <v>65</v>
      </c>
      <c r="I417" t="s">
        <v>71</v>
      </c>
      <c r="J417" t="s">
        <v>72</v>
      </c>
      <c r="K417" t="s">
        <v>3</v>
      </c>
      <c r="L417" t="s">
        <v>4</v>
      </c>
      <c r="M417" t="s">
        <v>49</v>
      </c>
      <c r="N417" t="s">
        <v>1841</v>
      </c>
      <c r="O417" s="31" t="s">
        <v>1842</v>
      </c>
      <c r="P417">
        <v>220</v>
      </c>
      <c r="Q417" t="s">
        <v>70</v>
      </c>
      <c r="R417">
        <v>1</v>
      </c>
      <c r="S417" s="31">
        <v>59000</v>
      </c>
      <c r="T417" s="39">
        <v>65000</v>
      </c>
      <c r="U417">
        <v>11666.67</v>
      </c>
      <c r="V417">
        <v>5000</v>
      </c>
      <c r="W417">
        <v>0</v>
      </c>
      <c r="X417" s="39">
        <v>21333.33</v>
      </c>
      <c r="Y417">
        <v>0</v>
      </c>
      <c r="Z417" s="31">
        <v>48333.33</v>
      </c>
      <c r="AA417">
        <v>8</v>
      </c>
      <c r="AB417" s="3">
        <f t="shared" si="20"/>
        <v>48333.33</v>
      </c>
      <c r="AC417" t="str">
        <f>IF(AB417-S417&lt;0,"YES","NO")</f>
        <v>YES</v>
      </c>
      <c r="AD417">
        <f>IF(AC417="NO",0,AB417-S417)</f>
        <v>-10666.669999999998</v>
      </c>
      <c r="AE417" s="43">
        <v>0.08</v>
      </c>
      <c r="AF417" s="3">
        <f t="shared" si="21"/>
        <v>-9876.5462962962938</v>
      </c>
      <c r="AG417" s="45">
        <f t="shared" si="22"/>
        <v>-10864.200925925925</v>
      </c>
      <c r="AH417" s="55"/>
    </row>
    <row r="418" spans="1:34" x14ac:dyDescent="0.25">
      <c r="A418" t="s">
        <v>1835</v>
      </c>
      <c r="B418" t="s">
        <v>1836</v>
      </c>
      <c r="C418" t="s">
        <v>1837</v>
      </c>
      <c r="D418" t="s">
        <v>1838</v>
      </c>
      <c r="E418" t="s">
        <v>1839</v>
      </c>
      <c r="F418" t="s">
        <v>1840</v>
      </c>
      <c r="G418" t="s">
        <v>5</v>
      </c>
      <c r="H418" t="s">
        <v>65</v>
      </c>
      <c r="I418" t="s">
        <v>73</v>
      </c>
      <c r="J418" t="s">
        <v>74</v>
      </c>
      <c r="K418" t="s">
        <v>3</v>
      </c>
      <c r="L418" t="s">
        <v>4</v>
      </c>
      <c r="M418" t="s">
        <v>49</v>
      </c>
      <c r="N418" t="s">
        <v>1841</v>
      </c>
      <c r="O418" s="31" t="s">
        <v>1842</v>
      </c>
      <c r="P418">
        <v>220</v>
      </c>
      <c r="Q418" t="s">
        <v>70</v>
      </c>
      <c r="R418">
        <v>1</v>
      </c>
      <c r="S418" s="31">
        <v>59000</v>
      </c>
      <c r="T418" s="39">
        <v>65000</v>
      </c>
      <c r="U418">
        <v>11666.67</v>
      </c>
      <c r="V418">
        <v>5000</v>
      </c>
      <c r="W418">
        <v>0</v>
      </c>
      <c r="X418" s="39">
        <v>21333.33</v>
      </c>
      <c r="Y418">
        <v>0</v>
      </c>
      <c r="Z418" s="31">
        <v>48333.33</v>
      </c>
      <c r="AA418">
        <v>8</v>
      </c>
      <c r="AB418" s="3">
        <f t="shared" si="20"/>
        <v>48333.33</v>
      </c>
      <c r="AC418" t="str">
        <f>IF(AB418-S418&lt;0,"YES","NO")</f>
        <v>YES</v>
      </c>
      <c r="AD418">
        <f>IF(AC418="NO",0,AB418-S418)</f>
        <v>-10666.669999999998</v>
      </c>
      <c r="AE418" s="43">
        <v>0.08</v>
      </c>
      <c r="AF418" s="3">
        <f t="shared" si="21"/>
        <v>-9876.5462962962938</v>
      </c>
      <c r="AG418" s="45">
        <f t="shared" si="22"/>
        <v>-10864.200925925925</v>
      </c>
      <c r="AH418" s="55"/>
    </row>
    <row r="419" spans="1:34" x14ac:dyDescent="0.25">
      <c r="A419" t="s">
        <v>1843</v>
      </c>
      <c r="B419" t="s">
        <v>1844</v>
      </c>
      <c r="C419" t="s">
        <v>1845</v>
      </c>
      <c r="D419" t="s">
        <v>1846</v>
      </c>
      <c r="E419" t="s">
        <v>1847</v>
      </c>
      <c r="F419" t="s">
        <v>1848</v>
      </c>
      <c r="G419" t="s">
        <v>5</v>
      </c>
      <c r="H419" t="s">
        <v>61</v>
      </c>
      <c r="I419" t="s">
        <v>93</v>
      </c>
      <c r="J419" t="s">
        <v>94</v>
      </c>
      <c r="K419" t="s">
        <v>3</v>
      </c>
      <c r="L419" t="s">
        <v>4</v>
      </c>
      <c r="M419" t="s">
        <v>49</v>
      </c>
      <c r="N419" t="s">
        <v>1849</v>
      </c>
      <c r="O419" s="31" t="s">
        <v>1850</v>
      </c>
      <c r="P419">
        <v>20</v>
      </c>
      <c r="Q419" t="s">
        <v>86</v>
      </c>
      <c r="R419">
        <v>1</v>
      </c>
      <c r="S419" s="31">
        <v>0</v>
      </c>
      <c r="T419" s="39">
        <v>0</v>
      </c>
      <c r="U419">
        <v>0</v>
      </c>
      <c r="V419">
        <v>0</v>
      </c>
      <c r="W419">
        <v>0</v>
      </c>
      <c r="X419" s="39">
        <v>0</v>
      </c>
      <c r="Y419">
        <v>0</v>
      </c>
      <c r="Z419" s="31">
        <v>0</v>
      </c>
      <c r="AA419">
        <v>8</v>
      </c>
      <c r="AB419" s="3">
        <f t="shared" si="20"/>
        <v>0</v>
      </c>
      <c r="AC419" t="str">
        <f>IF(AB419-S419&lt;0,"YES","NO")</f>
        <v>NO</v>
      </c>
      <c r="AD419">
        <f>IF(AC419="NO",0,AB419-S419)</f>
        <v>0</v>
      </c>
      <c r="AE419" s="43">
        <v>0.08</v>
      </c>
      <c r="AF419" s="3">
        <f t="shared" si="21"/>
        <v>0</v>
      </c>
      <c r="AG419" s="45">
        <f t="shared" si="22"/>
        <v>0</v>
      </c>
      <c r="AH419" s="55"/>
    </row>
    <row r="420" spans="1:34" x14ac:dyDescent="0.25">
      <c r="A420" t="s">
        <v>1843</v>
      </c>
      <c r="B420" t="s">
        <v>1844</v>
      </c>
      <c r="C420" t="s">
        <v>1845</v>
      </c>
      <c r="D420" t="s">
        <v>1846</v>
      </c>
      <c r="E420" t="s">
        <v>1847</v>
      </c>
      <c r="F420" t="s">
        <v>1848</v>
      </c>
      <c r="G420" t="s">
        <v>5</v>
      </c>
      <c r="H420" t="s">
        <v>65</v>
      </c>
      <c r="I420" t="s">
        <v>82</v>
      </c>
      <c r="J420" t="s">
        <v>83</v>
      </c>
      <c r="K420" t="s">
        <v>3</v>
      </c>
      <c r="L420" t="s">
        <v>4</v>
      </c>
      <c r="M420" t="s">
        <v>49</v>
      </c>
      <c r="N420" t="s">
        <v>1849</v>
      </c>
      <c r="O420" s="31" t="s">
        <v>1850</v>
      </c>
      <c r="P420">
        <v>220</v>
      </c>
      <c r="R420">
        <v>2</v>
      </c>
      <c r="S420" s="31">
        <v>150000</v>
      </c>
      <c r="T420" s="39">
        <v>160000</v>
      </c>
      <c r="U420">
        <v>20000</v>
      </c>
      <c r="V420">
        <v>10000</v>
      </c>
      <c r="W420">
        <v>0</v>
      </c>
      <c r="X420" s="39">
        <v>46000</v>
      </c>
      <c r="Y420">
        <v>0</v>
      </c>
      <c r="Z420" s="31">
        <v>130000</v>
      </c>
      <c r="AA420">
        <v>8</v>
      </c>
      <c r="AB420" s="3">
        <f t="shared" si="20"/>
        <v>130000</v>
      </c>
      <c r="AC420" t="str">
        <f>IF(AB420-S420&lt;0,"YES","NO")</f>
        <v>YES</v>
      </c>
      <c r="AD420">
        <f>IF(AC420="NO",0,AB420-S420)</f>
        <v>-20000</v>
      </c>
      <c r="AE420" s="43">
        <v>0.08</v>
      </c>
      <c r="AF420" s="3">
        <f t="shared" si="21"/>
        <v>-18518.518518518518</v>
      </c>
      <c r="AG420" s="45">
        <f t="shared" si="22"/>
        <v>-20370.370370370372</v>
      </c>
      <c r="AH420" s="55"/>
    </row>
    <row r="421" spans="1:34" x14ac:dyDescent="0.25">
      <c r="A421" t="s">
        <v>1851</v>
      </c>
      <c r="B421" t="s">
        <v>1852</v>
      </c>
      <c r="C421" t="s">
        <v>1853</v>
      </c>
      <c r="D421" t="s">
        <v>1854</v>
      </c>
      <c r="E421" t="s">
        <v>1855</v>
      </c>
      <c r="F421" t="s">
        <v>1856</v>
      </c>
      <c r="G421" t="s">
        <v>5</v>
      </c>
      <c r="H421" t="s">
        <v>61</v>
      </c>
      <c r="I421" t="s">
        <v>93</v>
      </c>
      <c r="J421" t="s">
        <v>94</v>
      </c>
      <c r="K421" t="s">
        <v>3</v>
      </c>
      <c r="L421" t="s">
        <v>4</v>
      </c>
      <c r="M421" t="s">
        <v>49</v>
      </c>
      <c r="N421" t="s">
        <v>1857</v>
      </c>
      <c r="O421" s="31" t="s">
        <v>1858</v>
      </c>
      <c r="P421">
        <v>20</v>
      </c>
      <c r="Q421" t="s">
        <v>86</v>
      </c>
      <c r="R421">
        <v>1</v>
      </c>
      <c r="S421" s="31">
        <v>0</v>
      </c>
      <c r="T421" s="39">
        <v>0</v>
      </c>
      <c r="U421">
        <v>0</v>
      </c>
      <c r="V421">
        <v>0</v>
      </c>
      <c r="W421">
        <v>0</v>
      </c>
      <c r="X421" s="39">
        <v>0</v>
      </c>
      <c r="Y421">
        <v>0</v>
      </c>
      <c r="Z421" s="31">
        <v>0</v>
      </c>
      <c r="AA421">
        <v>8</v>
      </c>
      <c r="AB421" s="3">
        <f t="shared" si="20"/>
        <v>0</v>
      </c>
      <c r="AC421" t="str">
        <f>IF(AB421-S421&lt;0,"YES","NO")</f>
        <v>NO</v>
      </c>
      <c r="AD421">
        <f>IF(AC421="NO",0,AB421-S421)</f>
        <v>0</v>
      </c>
      <c r="AE421" s="43">
        <v>0.08</v>
      </c>
      <c r="AF421" s="3">
        <f t="shared" si="21"/>
        <v>0</v>
      </c>
      <c r="AG421" s="45">
        <f t="shared" si="22"/>
        <v>0</v>
      </c>
      <c r="AH421" s="55"/>
    </row>
    <row r="422" spans="1:34" x14ac:dyDescent="0.25">
      <c r="A422" t="s">
        <v>1851</v>
      </c>
      <c r="B422" t="s">
        <v>1852</v>
      </c>
      <c r="C422" t="s">
        <v>1853</v>
      </c>
      <c r="D422" t="s">
        <v>1854</v>
      </c>
      <c r="E422" t="s">
        <v>1855</v>
      </c>
      <c r="F422" t="s">
        <v>1856</v>
      </c>
      <c r="G422" t="s">
        <v>5</v>
      </c>
      <c r="H422" t="s">
        <v>65</v>
      </c>
      <c r="I422" t="s">
        <v>66</v>
      </c>
      <c r="J422" t="s">
        <v>67</v>
      </c>
      <c r="K422" t="s">
        <v>3</v>
      </c>
      <c r="L422" t="s">
        <v>4</v>
      </c>
      <c r="M422" t="s">
        <v>49</v>
      </c>
      <c r="N422" t="s">
        <v>1857</v>
      </c>
      <c r="O422" s="31" t="s">
        <v>1858</v>
      </c>
      <c r="P422">
        <v>220</v>
      </c>
      <c r="R422">
        <v>2</v>
      </c>
      <c r="S422" s="31">
        <v>150000</v>
      </c>
      <c r="T422" s="39">
        <v>160000</v>
      </c>
      <c r="U422">
        <v>20000</v>
      </c>
      <c r="V422">
        <v>16000</v>
      </c>
      <c r="W422">
        <v>0</v>
      </c>
      <c r="X422" s="39">
        <v>120000</v>
      </c>
      <c r="Y422">
        <v>0</v>
      </c>
      <c r="Z422" s="31">
        <v>124000</v>
      </c>
      <c r="AA422">
        <v>8</v>
      </c>
      <c r="AB422" s="3">
        <f t="shared" si="20"/>
        <v>124000</v>
      </c>
      <c r="AC422" t="str">
        <f>IF(AB422-S422&lt;0,"YES","NO")</f>
        <v>YES</v>
      </c>
      <c r="AD422">
        <f>IF(AC422="NO",0,AB422-S422)</f>
        <v>-26000</v>
      </c>
      <c r="AE422" s="43">
        <v>0.08</v>
      </c>
      <c r="AF422" s="3">
        <f t="shared" si="21"/>
        <v>-24074.074074074073</v>
      </c>
      <c r="AG422" s="45">
        <f t="shared" si="22"/>
        <v>-26481.481481481482</v>
      </c>
      <c r="AH422" s="55"/>
    </row>
    <row r="423" spans="1:34" x14ac:dyDescent="0.25">
      <c r="A423" t="s">
        <v>1859</v>
      </c>
      <c r="B423" t="s">
        <v>1860</v>
      </c>
      <c r="C423" t="s">
        <v>1861</v>
      </c>
      <c r="D423" t="s">
        <v>1862</v>
      </c>
      <c r="E423" t="s">
        <v>1863</v>
      </c>
      <c r="F423" t="s">
        <v>1864</v>
      </c>
      <c r="G423" t="s">
        <v>5</v>
      </c>
      <c r="H423" t="s">
        <v>61</v>
      </c>
      <c r="I423" t="s">
        <v>93</v>
      </c>
      <c r="J423" t="s">
        <v>94</v>
      </c>
      <c r="K423" t="s">
        <v>3</v>
      </c>
      <c r="L423" t="s">
        <v>4</v>
      </c>
      <c r="M423" t="s">
        <v>49</v>
      </c>
      <c r="N423" t="s">
        <v>1865</v>
      </c>
      <c r="O423" s="31" t="s">
        <v>1866</v>
      </c>
      <c r="P423">
        <v>20</v>
      </c>
      <c r="Q423" t="s">
        <v>86</v>
      </c>
      <c r="R423">
        <v>1</v>
      </c>
      <c r="S423" s="31">
        <v>0</v>
      </c>
      <c r="T423" s="39">
        <v>0</v>
      </c>
      <c r="U423">
        <v>0</v>
      </c>
      <c r="V423">
        <v>0</v>
      </c>
      <c r="W423">
        <v>0</v>
      </c>
      <c r="X423" s="39">
        <v>0</v>
      </c>
      <c r="Y423">
        <v>0</v>
      </c>
      <c r="Z423" s="31">
        <v>0</v>
      </c>
      <c r="AA423">
        <v>8</v>
      </c>
      <c r="AB423" s="3">
        <f t="shared" si="20"/>
        <v>0</v>
      </c>
      <c r="AC423" t="str">
        <f>IF(AB423-S423&lt;0,"YES","NO")</f>
        <v>NO</v>
      </c>
      <c r="AD423">
        <f>IF(AC423="NO",0,AB423-S423)</f>
        <v>0</v>
      </c>
      <c r="AE423" s="43">
        <v>0.08</v>
      </c>
      <c r="AF423" s="3">
        <f t="shared" si="21"/>
        <v>0</v>
      </c>
      <c r="AG423" s="45">
        <f t="shared" si="22"/>
        <v>0</v>
      </c>
      <c r="AH423" s="55"/>
    </row>
    <row r="424" spans="1:34" x14ac:dyDescent="0.25">
      <c r="A424" t="s">
        <v>1859</v>
      </c>
      <c r="B424" t="s">
        <v>1860</v>
      </c>
      <c r="C424" t="s">
        <v>1861</v>
      </c>
      <c r="D424" t="s">
        <v>1862</v>
      </c>
      <c r="E424" t="s">
        <v>1863</v>
      </c>
      <c r="F424" t="s">
        <v>1864</v>
      </c>
      <c r="G424" t="s">
        <v>5</v>
      </c>
      <c r="H424" t="s">
        <v>65</v>
      </c>
      <c r="I424" t="s">
        <v>66</v>
      </c>
      <c r="J424" t="s">
        <v>67</v>
      </c>
      <c r="K424" t="s">
        <v>3</v>
      </c>
      <c r="L424" t="s">
        <v>4</v>
      </c>
      <c r="M424" t="s">
        <v>49</v>
      </c>
      <c r="N424" t="s">
        <v>1865</v>
      </c>
      <c r="O424" s="31" t="s">
        <v>1866</v>
      </c>
      <c r="P424">
        <v>220</v>
      </c>
      <c r="R424">
        <v>6</v>
      </c>
      <c r="S424" s="31">
        <v>450000</v>
      </c>
      <c r="T424" s="39">
        <v>480000</v>
      </c>
      <c r="U424">
        <v>75000</v>
      </c>
      <c r="V424">
        <v>48000</v>
      </c>
      <c r="W424">
        <v>0</v>
      </c>
      <c r="X424" s="39">
        <v>132120</v>
      </c>
      <c r="Y424">
        <v>0</v>
      </c>
      <c r="Z424" s="31">
        <v>357000</v>
      </c>
      <c r="AA424">
        <v>8</v>
      </c>
      <c r="AB424" s="3">
        <f t="shared" si="20"/>
        <v>357000</v>
      </c>
      <c r="AC424" t="str">
        <f>IF(AB424-S424&lt;0,"YES","NO")</f>
        <v>YES</v>
      </c>
      <c r="AD424">
        <f>IF(AC424="NO",0,AB424-S424)</f>
        <v>-93000</v>
      </c>
      <c r="AE424" s="43">
        <v>0.08</v>
      </c>
      <c r="AF424" s="3">
        <f t="shared" si="21"/>
        <v>-86111.111111111109</v>
      </c>
      <c r="AG424" s="45">
        <f t="shared" si="22"/>
        <v>-94722.222222222234</v>
      </c>
      <c r="AH424" s="55"/>
    </row>
    <row r="425" spans="1:34" x14ac:dyDescent="0.25">
      <c r="A425" t="s">
        <v>1867</v>
      </c>
      <c r="B425" t="s">
        <v>1868</v>
      </c>
      <c r="C425" t="s">
        <v>1869</v>
      </c>
      <c r="D425" t="s">
        <v>1870</v>
      </c>
      <c r="E425" t="s">
        <v>1871</v>
      </c>
      <c r="F425" t="s">
        <v>1872</v>
      </c>
      <c r="G425" t="s">
        <v>5</v>
      </c>
      <c r="H425" t="s">
        <v>61</v>
      </c>
      <c r="I425" t="s">
        <v>93</v>
      </c>
      <c r="J425" t="s">
        <v>94</v>
      </c>
      <c r="K425" t="s">
        <v>3</v>
      </c>
      <c r="L425" t="s">
        <v>4</v>
      </c>
      <c r="M425" t="s">
        <v>49</v>
      </c>
      <c r="N425" t="s">
        <v>1873</v>
      </c>
      <c r="O425" s="31" t="s">
        <v>1874</v>
      </c>
      <c r="P425">
        <v>20</v>
      </c>
      <c r="Q425" t="s">
        <v>86</v>
      </c>
      <c r="R425">
        <v>1</v>
      </c>
      <c r="S425" s="31">
        <v>0</v>
      </c>
      <c r="T425" s="39">
        <v>0</v>
      </c>
      <c r="U425">
        <v>0</v>
      </c>
      <c r="V425">
        <v>0</v>
      </c>
      <c r="W425">
        <v>0</v>
      </c>
      <c r="X425" s="39">
        <v>0</v>
      </c>
      <c r="Y425">
        <v>0</v>
      </c>
      <c r="Z425" s="31">
        <v>0</v>
      </c>
      <c r="AA425">
        <v>8</v>
      </c>
      <c r="AB425" s="3">
        <f t="shared" si="20"/>
        <v>0</v>
      </c>
      <c r="AC425" t="str">
        <f>IF(AB425-S425&lt;0,"YES","NO")</f>
        <v>NO</v>
      </c>
      <c r="AD425">
        <f>IF(AC425="NO",0,AB425-S425)</f>
        <v>0</v>
      </c>
      <c r="AE425" s="43">
        <v>0.08</v>
      </c>
      <c r="AF425" s="3">
        <f t="shared" si="21"/>
        <v>0</v>
      </c>
      <c r="AG425" s="45">
        <f t="shared" si="22"/>
        <v>0</v>
      </c>
      <c r="AH425" s="55"/>
    </row>
    <row r="426" spans="1:34" x14ac:dyDescent="0.25">
      <c r="A426" t="s">
        <v>1867</v>
      </c>
      <c r="B426" t="s">
        <v>1868</v>
      </c>
      <c r="C426" t="s">
        <v>1869</v>
      </c>
      <c r="D426" t="s">
        <v>1870</v>
      </c>
      <c r="E426" t="s">
        <v>1871</v>
      </c>
      <c r="F426" t="s">
        <v>1872</v>
      </c>
      <c r="G426" t="s">
        <v>5</v>
      </c>
      <c r="H426" t="s">
        <v>65</v>
      </c>
      <c r="I426" t="s">
        <v>66</v>
      </c>
      <c r="J426" t="s">
        <v>67</v>
      </c>
      <c r="K426" t="s">
        <v>3</v>
      </c>
      <c r="L426" t="s">
        <v>4</v>
      </c>
      <c r="M426" t="s">
        <v>49</v>
      </c>
      <c r="N426" t="s">
        <v>1873</v>
      </c>
      <c r="O426" s="31" t="s">
        <v>1874</v>
      </c>
      <c r="P426">
        <v>220</v>
      </c>
      <c r="R426">
        <v>3</v>
      </c>
      <c r="S426" s="31">
        <v>225000</v>
      </c>
      <c r="T426" s="39">
        <v>240000</v>
      </c>
      <c r="U426">
        <v>35000.01</v>
      </c>
      <c r="V426">
        <v>24000</v>
      </c>
      <c r="W426">
        <v>0</v>
      </c>
      <c r="X426" s="39">
        <v>71199.990000000005</v>
      </c>
      <c r="Y426">
        <v>0</v>
      </c>
      <c r="Z426" s="31">
        <v>180999.99</v>
      </c>
      <c r="AA426">
        <v>8</v>
      </c>
      <c r="AB426" s="3">
        <f t="shared" si="20"/>
        <v>180999.99</v>
      </c>
      <c r="AC426" t="str">
        <f>IF(AB426-S426&lt;0,"YES","NO")</f>
        <v>YES</v>
      </c>
      <c r="AD426">
        <f>IF(AC426="NO",0,AB426-S426)</f>
        <v>-44000.010000000009</v>
      </c>
      <c r="AE426" s="43">
        <v>0.08</v>
      </c>
      <c r="AF426" s="3">
        <f t="shared" si="21"/>
        <v>-40740.750000000007</v>
      </c>
      <c r="AG426" s="45">
        <f t="shared" si="22"/>
        <v>-44814.825000000012</v>
      </c>
      <c r="AH426" s="55"/>
    </row>
    <row r="427" spans="1:34" x14ac:dyDescent="0.25">
      <c r="A427" t="s">
        <v>1875</v>
      </c>
      <c r="B427" t="s">
        <v>1876</v>
      </c>
      <c r="C427" t="s">
        <v>1877</v>
      </c>
      <c r="D427" t="s">
        <v>1878</v>
      </c>
      <c r="E427" t="s">
        <v>1879</v>
      </c>
      <c r="F427" t="s">
        <v>1880</v>
      </c>
      <c r="G427" t="s">
        <v>5</v>
      </c>
      <c r="H427" t="s">
        <v>65</v>
      </c>
      <c r="I427" t="s">
        <v>104</v>
      </c>
      <c r="J427" t="s">
        <v>105</v>
      </c>
      <c r="K427" t="s">
        <v>3</v>
      </c>
      <c r="L427" t="s">
        <v>4</v>
      </c>
      <c r="M427" t="s">
        <v>49</v>
      </c>
      <c r="N427" t="s">
        <v>1881</v>
      </c>
      <c r="O427" s="31" t="s">
        <v>1882</v>
      </c>
      <c r="P427">
        <v>380</v>
      </c>
      <c r="R427">
        <v>3</v>
      </c>
      <c r="S427" s="31">
        <v>198000</v>
      </c>
      <c r="T427" s="39">
        <v>210000</v>
      </c>
      <c r="U427">
        <v>0</v>
      </c>
      <c r="V427">
        <v>8000.01</v>
      </c>
      <c r="W427">
        <v>0</v>
      </c>
      <c r="X427" s="39">
        <v>40399.980000000003</v>
      </c>
      <c r="Y427">
        <v>0</v>
      </c>
      <c r="Z427" s="31">
        <v>201999.99</v>
      </c>
      <c r="AA427">
        <v>8</v>
      </c>
      <c r="AB427" s="3">
        <f t="shared" si="20"/>
        <v>201999.99</v>
      </c>
      <c r="AC427" t="str">
        <f>IF(AB427-S427&lt;0,"YES","NO")</f>
        <v>NO</v>
      </c>
      <c r="AD427">
        <f>IF(AC427="NO",0,AB427-S427)</f>
        <v>0</v>
      </c>
      <c r="AE427" s="43">
        <v>0.08</v>
      </c>
      <c r="AF427" s="3">
        <f t="shared" si="21"/>
        <v>0</v>
      </c>
      <c r="AG427" s="45">
        <f t="shared" si="22"/>
        <v>0</v>
      </c>
      <c r="AH427" s="55"/>
    </row>
    <row r="428" spans="1:34" x14ac:dyDescent="0.25">
      <c r="A428" t="s">
        <v>1883</v>
      </c>
      <c r="B428" t="s">
        <v>1884</v>
      </c>
      <c r="C428" t="s">
        <v>1885</v>
      </c>
      <c r="D428" t="s">
        <v>1886</v>
      </c>
      <c r="E428" t="s">
        <v>1887</v>
      </c>
      <c r="F428" t="s">
        <v>1888</v>
      </c>
      <c r="G428" t="s">
        <v>5</v>
      </c>
      <c r="H428" t="s">
        <v>65</v>
      </c>
      <c r="I428" t="s">
        <v>66</v>
      </c>
      <c r="J428" t="s">
        <v>67</v>
      </c>
      <c r="K428" t="s">
        <v>3</v>
      </c>
      <c r="L428" t="s">
        <v>4</v>
      </c>
      <c r="M428" t="s">
        <v>49</v>
      </c>
      <c r="N428" t="s">
        <v>1889</v>
      </c>
      <c r="O428" s="31" t="s">
        <v>1890</v>
      </c>
      <c r="P428">
        <v>220</v>
      </c>
      <c r="R428">
        <v>6</v>
      </c>
      <c r="S428" s="31">
        <v>450000</v>
      </c>
      <c r="T428" s="39">
        <v>480000</v>
      </c>
      <c r="U428">
        <v>75000</v>
      </c>
      <c r="V428">
        <v>48000</v>
      </c>
      <c r="W428">
        <v>0</v>
      </c>
      <c r="X428" s="39">
        <v>164250</v>
      </c>
      <c r="Y428">
        <v>0</v>
      </c>
      <c r="Z428" s="31">
        <v>357000</v>
      </c>
      <c r="AA428">
        <v>8</v>
      </c>
      <c r="AB428" s="3">
        <f t="shared" si="20"/>
        <v>357000</v>
      </c>
      <c r="AC428" t="str">
        <f>IF(AB428-S428&lt;0,"YES","NO")</f>
        <v>YES</v>
      </c>
      <c r="AD428">
        <f>IF(AC428="NO",0,AB428-S428)</f>
        <v>-93000</v>
      </c>
      <c r="AE428" s="43">
        <v>0.08</v>
      </c>
      <c r="AF428" s="3">
        <f t="shared" si="21"/>
        <v>-86111.111111111109</v>
      </c>
      <c r="AG428" s="45">
        <f t="shared" si="22"/>
        <v>-94722.222222222234</v>
      </c>
      <c r="AH428" s="55"/>
    </row>
    <row r="429" spans="1:34" x14ac:dyDescent="0.25">
      <c r="A429" t="s">
        <v>1891</v>
      </c>
      <c r="B429" t="s">
        <v>1892</v>
      </c>
      <c r="C429" t="s">
        <v>1893</v>
      </c>
      <c r="D429" t="s">
        <v>1894</v>
      </c>
      <c r="E429" t="s">
        <v>1895</v>
      </c>
      <c r="F429" t="s">
        <v>1896</v>
      </c>
      <c r="G429" t="s">
        <v>5</v>
      </c>
      <c r="H429" t="s">
        <v>61</v>
      </c>
      <c r="I429" t="s">
        <v>93</v>
      </c>
      <c r="J429" t="s">
        <v>94</v>
      </c>
      <c r="K429" t="s">
        <v>3</v>
      </c>
      <c r="L429" t="s">
        <v>4</v>
      </c>
      <c r="M429" t="s">
        <v>49</v>
      </c>
      <c r="N429" t="s">
        <v>1897</v>
      </c>
      <c r="O429" s="31" t="s">
        <v>1898</v>
      </c>
      <c r="P429">
        <v>20</v>
      </c>
      <c r="Q429" t="s">
        <v>86</v>
      </c>
      <c r="R429">
        <v>1</v>
      </c>
      <c r="S429" s="31">
        <v>0</v>
      </c>
      <c r="T429" s="39">
        <v>0</v>
      </c>
      <c r="U429">
        <v>0</v>
      </c>
      <c r="V429">
        <v>0</v>
      </c>
      <c r="W429">
        <v>0</v>
      </c>
      <c r="X429" s="39">
        <v>0</v>
      </c>
      <c r="Y429">
        <v>0</v>
      </c>
      <c r="Z429" s="31">
        <v>0</v>
      </c>
      <c r="AA429">
        <v>8</v>
      </c>
      <c r="AB429" s="3">
        <f t="shared" si="20"/>
        <v>0</v>
      </c>
      <c r="AC429" t="str">
        <f>IF(AB429-S429&lt;0,"YES","NO")</f>
        <v>NO</v>
      </c>
      <c r="AD429">
        <f>IF(AC429="NO",0,AB429-S429)</f>
        <v>0</v>
      </c>
      <c r="AE429" s="43">
        <v>0.08</v>
      </c>
      <c r="AF429" s="3">
        <f t="shared" si="21"/>
        <v>0</v>
      </c>
      <c r="AG429" s="45">
        <f t="shared" si="22"/>
        <v>0</v>
      </c>
      <c r="AH429" s="55"/>
    </row>
    <row r="430" spans="1:34" x14ac:dyDescent="0.25">
      <c r="A430" t="s">
        <v>1891</v>
      </c>
      <c r="B430" t="s">
        <v>1892</v>
      </c>
      <c r="C430" t="s">
        <v>1893</v>
      </c>
      <c r="D430" t="s">
        <v>1894</v>
      </c>
      <c r="E430" t="s">
        <v>1895</v>
      </c>
      <c r="F430" t="s">
        <v>1896</v>
      </c>
      <c r="G430" t="s">
        <v>5</v>
      </c>
      <c r="H430" t="s">
        <v>65</v>
      </c>
      <c r="I430" t="s">
        <v>100</v>
      </c>
      <c r="J430" t="s">
        <v>101</v>
      </c>
      <c r="K430" t="s">
        <v>3</v>
      </c>
      <c r="L430" t="s">
        <v>4</v>
      </c>
      <c r="M430" t="s">
        <v>49</v>
      </c>
      <c r="N430" t="s">
        <v>1897</v>
      </c>
      <c r="O430" s="31" t="s">
        <v>1898</v>
      </c>
      <c r="P430">
        <v>200</v>
      </c>
      <c r="R430">
        <v>6</v>
      </c>
      <c r="S430" s="31">
        <v>432000</v>
      </c>
      <c r="T430" s="39">
        <v>480000</v>
      </c>
      <c r="U430">
        <v>75000</v>
      </c>
      <c r="V430">
        <v>48000</v>
      </c>
      <c r="W430">
        <v>0</v>
      </c>
      <c r="X430" s="39">
        <v>124980</v>
      </c>
      <c r="Y430">
        <v>0</v>
      </c>
      <c r="Z430" s="31">
        <v>357000</v>
      </c>
      <c r="AA430">
        <v>8</v>
      </c>
      <c r="AB430" s="3">
        <f t="shared" si="20"/>
        <v>357000</v>
      </c>
      <c r="AC430" t="str">
        <f>IF(AB430-S430&lt;0,"YES","NO")</f>
        <v>YES</v>
      </c>
      <c r="AD430">
        <f>IF(AC430="NO",0,AB430-S430)</f>
        <v>-75000</v>
      </c>
      <c r="AE430" s="43">
        <v>0.08</v>
      </c>
      <c r="AF430" s="3">
        <f t="shared" si="21"/>
        <v>-69444.444444444438</v>
      </c>
      <c r="AG430" s="45">
        <f t="shared" si="22"/>
        <v>-76388.888888888891</v>
      </c>
      <c r="AH430" s="55"/>
    </row>
    <row r="431" spans="1:34" x14ac:dyDescent="0.25">
      <c r="A431" t="s">
        <v>1899</v>
      </c>
      <c r="B431" t="s">
        <v>1900</v>
      </c>
      <c r="C431" t="s">
        <v>1901</v>
      </c>
      <c r="D431" t="s">
        <v>1902</v>
      </c>
      <c r="E431" t="s">
        <v>1903</v>
      </c>
      <c r="F431" t="s">
        <v>1904</v>
      </c>
      <c r="G431" t="s">
        <v>5</v>
      </c>
      <c r="H431" t="s">
        <v>61</v>
      </c>
      <c r="I431" t="s">
        <v>62</v>
      </c>
      <c r="J431" t="s">
        <v>63</v>
      </c>
      <c r="K431" t="s">
        <v>3</v>
      </c>
      <c r="L431" t="s">
        <v>4</v>
      </c>
      <c r="M431" t="s">
        <v>49</v>
      </c>
      <c r="N431" t="s">
        <v>1905</v>
      </c>
      <c r="O431" s="31" t="s">
        <v>1906</v>
      </c>
      <c r="P431">
        <v>20000</v>
      </c>
      <c r="Q431" t="s">
        <v>64</v>
      </c>
      <c r="R431">
        <v>1</v>
      </c>
      <c r="S431" s="31">
        <v>0</v>
      </c>
      <c r="T431" s="39">
        <v>0</v>
      </c>
      <c r="U431">
        <v>0</v>
      </c>
      <c r="V431">
        <v>0</v>
      </c>
      <c r="W431">
        <v>0</v>
      </c>
      <c r="X431" s="39">
        <v>0</v>
      </c>
      <c r="Y431">
        <v>0</v>
      </c>
      <c r="Z431" s="31">
        <v>0</v>
      </c>
      <c r="AA431">
        <v>8</v>
      </c>
      <c r="AB431" s="3">
        <f t="shared" si="20"/>
        <v>0</v>
      </c>
      <c r="AC431" t="str">
        <f>IF(AB431-S431&lt;0,"YES","NO")</f>
        <v>NO</v>
      </c>
      <c r="AD431">
        <f>IF(AC431="NO",0,AB431-S431)</f>
        <v>0</v>
      </c>
      <c r="AE431" s="43">
        <v>0.08</v>
      </c>
      <c r="AF431" s="3">
        <f t="shared" si="21"/>
        <v>0</v>
      </c>
      <c r="AG431" s="45">
        <f t="shared" si="22"/>
        <v>0</v>
      </c>
      <c r="AH431" s="55"/>
    </row>
    <row r="432" spans="1:34" x14ac:dyDescent="0.25">
      <c r="A432" t="s">
        <v>1899</v>
      </c>
      <c r="B432" t="s">
        <v>1900</v>
      </c>
      <c r="C432" t="s">
        <v>1901</v>
      </c>
      <c r="D432" t="s">
        <v>1902</v>
      </c>
      <c r="E432" t="s">
        <v>1903</v>
      </c>
      <c r="F432" t="s">
        <v>1904</v>
      </c>
      <c r="G432" t="s">
        <v>5</v>
      </c>
      <c r="H432" t="s">
        <v>61</v>
      </c>
      <c r="I432" t="s">
        <v>93</v>
      </c>
      <c r="J432" t="s">
        <v>94</v>
      </c>
      <c r="K432" t="s">
        <v>3</v>
      </c>
      <c r="L432" t="s">
        <v>4</v>
      </c>
      <c r="M432" t="s">
        <v>49</v>
      </c>
      <c r="N432" t="s">
        <v>1905</v>
      </c>
      <c r="O432" s="31" t="s">
        <v>1906</v>
      </c>
      <c r="P432">
        <v>20</v>
      </c>
      <c r="Q432" t="s">
        <v>86</v>
      </c>
      <c r="R432">
        <v>1</v>
      </c>
      <c r="S432" s="31">
        <v>0</v>
      </c>
      <c r="T432" s="39">
        <v>0</v>
      </c>
      <c r="U432">
        <v>0</v>
      </c>
      <c r="V432">
        <v>0</v>
      </c>
      <c r="W432">
        <v>0</v>
      </c>
      <c r="X432" s="39">
        <v>0</v>
      </c>
      <c r="Y432">
        <v>0</v>
      </c>
      <c r="Z432" s="31">
        <v>0</v>
      </c>
      <c r="AA432">
        <v>8</v>
      </c>
      <c r="AB432" s="3">
        <f t="shared" si="20"/>
        <v>0</v>
      </c>
      <c r="AC432" t="str">
        <f>IF(AB432-S432&lt;0,"YES","NO")</f>
        <v>NO</v>
      </c>
      <c r="AD432">
        <f>IF(AC432="NO",0,AB432-S432)</f>
        <v>0</v>
      </c>
      <c r="AE432" s="43">
        <v>0.08</v>
      </c>
      <c r="AF432" s="3">
        <f t="shared" si="21"/>
        <v>0</v>
      </c>
      <c r="AG432" s="45">
        <f t="shared" si="22"/>
        <v>0</v>
      </c>
      <c r="AH432" s="55"/>
    </row>
    <row r="433" spans="1:34" x14ac:dyDescent="0.25">
      <c r="A433" t="s">
        <v>1899</v>
      </c>
      <c r="B433" t="s">
        <v>1900</v>
      </c>
      <c r="C433" t="s">
        <v>1901</v>
      </c>
      <c r="D433" t="s">
        <v>1902</v>
      </c>
      <c r="E433" t="s">
        <v>1903</v>
      </c>
      <c r="F433" t="s">
        <v>1904</v>
      </c>
      <c r="G433" t="s">
        <v>5</v>
      </c>
      <c r="H433" t="s">
        <v>65</v>
      </c>
      <c r="I433" t="s">
        <v>90</v>
      </c>
      <c r="J433" t="s">
        <v>91</v>
      </c>
      <c r="K433" t="s">
        <v>3</v>
      </c>
      <c r="L433" t="s">
        <v>4</v>
      </c>
      <c r="M433" t="s">
        <v>49</v>
      </c>
      <c r="N433" t="s">
        <v>1905</v>
      </c>
      <c r="O433" s="31" t="s">
        <v>1906</v>
      </c>
      <c r="P433">
        <v>220</v>
      </c>
      <c r="Q433" t="s">
        <v>92</v>
      </c>
      <c r="R433">
        <v>2</v>
      </c>
      <c r="S433" s="31">
        <v>118000</v>
      </c>
      <c r="T433" s="39">
        <v>140000</v>
      </c>
      <c r="U433">
        <v>24132</v>
      </c>
      <c r="V433">
        <v>13000</v>
      </c>
      <c r="W433">
        <v>0</v>
      </c>
      <c r="X433" s="39">
        <v>24132</v>
      </c>
      <c r="Y433">
        <v>0</v>
      </c>
      <c r="Z433" s="31">
        <v>102868</v>
      </c>
      <c r="AA433">
        <v>8</v>
      </c>
      <c r="AB433" s="3">
        <f t="shared" si="20"/>
        <v>102868</v>
      </c>
      <c r="AC433" t="str">
        <f>IF(AB433-S433&lt;0,"YES","NO")</f>
        <v>YES</v>
      </c>
      <c r="AD433">
        <f>IF(AC433="NO",0,AB433-S433)</f>
        <v>-15132</v>
      </c>
      <c r="AE433" s="43">
        <v>0.08</v>
      </c>
      <c r="AF433" s="3">
        <f t="shared" si="21"/>
        <v>-14011.111111111109</v>
      </c>
      <c r="AG433" s="45">
        <f t="shared" si="22"/>
        <v>-15412.222222222221</v>
      </c>
      <c r="AH433" s="55"/>
    </row>
    <row r="434" spans="1:34" x14ac:dyDescent="0.25">
      <c r="A434" t="s">
        <v>1899</v>
      </c>
      <c r="B434" t="s">
        <v>1900</v>
      </c>
      <c r="C434" t="s">
        <v>1901</v>
      </c>
      <c r="D434" t="s">
        <v>1902</v>
      </c>
      <c r="E434" t="s">
        <v>1903</v>
      </c>
      <c r="F434" t="s">
        <v>1904</v>
      </c>
      <c r="G434" t="s">
        <v>5</v>
      </c>
      <c r="H434" t="s">
        <v>65</v>
      </c>
      <c r="I434" t="s">
        <v>66</v>
      </c>
      <c r="J434" t="s">
        <v>67</v>
      </c>
      <c r="K434" t="s">
        <v>3</v>
      </c>
      <c r="L434" t="s">
        <v>4</v>
      </c>
      <c r="M434" t="s">
        <v>49</v>
      </c>
      <c r="N434" t="s">
        <v>1905</v>
      </c>
      <c r="O434" s="31" t="s">
        <v>1906</v>
      </c>
      <c r="P434">
        <v>220</v>
      </c>
      <c r="R434">
        <v>2</v>
      </c>
      <c r="S434" s="31">
        <v>150000</v>
      </c>
      <c r="T434" s="39">
        <v>160000</v>
      </c>
      <c r="U434">
        <v>27364</v>
      </c>
      <c r="V434">
        <v>16000</v>
      </c>
      <c r="W434">
        <v>0</v>
      </c>
      <c r="X434" s="39">
        <v>55357</v>
      </c>
      <c r="Y434">
        <v>0</v>
      </c>
      <c r="Z434" s="31">
        <v>116636</v>
      </c>
      <c r="AA434">
        <v>8</v>
      </c>
      <c r="AB434" s="3">
        <f t="shared" si="20"/>
        <v>116636</v>
      </c>
      <c r="AC434" t="str">
        <f>IF(AB434-S434&lt;0,"YES","NO")</f>
        <v>YES</v>
      </c>
      <c r="AD434">
        <f>IF(AC434="NO",0,AB434-S434)</f>
        <v>-33364</v>
      </c>
      <c r="AE434" s="43">
        <v>0.08</v>
      </c>
      <c r="AF434" s="3">
        <f t="shared" si="21"/>
        <v>-30892.592592592591</v>
      </c>
      <c r="AG434" s="45">
        <f t="shared" si="22"/>
        <v>-33981.851851851854</v>
      </c>
      <c r="AH434" s="55"/>
    </row>
    <row r="435" spans="1:34" x14ac:dyDescent="0.25">
      <c r="A435" t="s">
        <v>1899</v>
      </c>
      <c r="B435" t="s">
        <v>1900</v>
      </c>
      <c r="C435" t="s">
        <v>1901</v>
      </c>
      <c r="D435" t="s">
        <v>1902</v>
      </c>
      <c r="E435" t="s">
        <v>1903</v>
      </c>
      <c r="F435" t="s">
        <v>1904</v>
      </c>
      <c r="G435" t="s">
        <v>5</v>
      </c>
      <c r="H435" t="s">
        <v>65</v>
      </c>
      <c r="I435" t="s">
        <v>78</v>
      </c>
      <c r="J435" t="s">
        <v>79</v>
      </c>
      <c r="K435" t="s">
        <v>3</v>
      </c>
      <c r="L435" t="s">
        <v>4</v>
      </c>
      <c r="M435" t="s">
        <v>49</v>
      </c>
      <c r="N435" t="s">
        <v>1905</v>
      </c>
      <c r="O435" s="31" t="s">
        <v>1906</v>
      </c>
      <c r="P435">
        <v>220</v>
      </c>
      <c r="R435">
        <v>2</v>
      </c>
      <c r="S435" s="31">
        <v>150000</v>
      </c>
      <c r="T435" s="39">
        <v>160000</v>
      </c>
      <c r="U435">
        <v>28504</v>
      </c>
      <c r="V435">
        <v>10000</v>
      </c>
      <c r="W435">
        <v>0</v>
      </c>
      <c r="X435" s="39">
        <v>28504</v>
      </c>
      <c r="Y435">
        <v>0</v>
      </c>
      <c r="Z435" s="31">
        <v>121496</v>
      </c>
      <c r="AA435">
        <v>8</v>
      </c>
      <c r="AB435" s="3">
        <f t="shared" si="20"/>
        <v>121496</v>
      </c>
      <c r="AC435" t="str">
        <f>IF(AB435-S435&lt;0,"YES","NO")</f>
        <v>YES</v>
      </c>
      <c r="AD435">
        <f>IF(AC435="NO",0,AB435-S435)</f>
        <v>-28504</v>
      </c>
      <c r="AE435" s="43">
        <v>0.08</v>
      </c>
      <c r="AF435" s="3">
        <f t="shared" si="21"/>
        <v>-26392.592592592591</v>
      </c>
      <c r="AG435" s="45">
        <f t="shared" si="22"/>
        <v>-29031.851851851854</v>
      </c>
      <c r="AH435" s="55"/>
    </row>
    <row r="436" spans="1:34" x14ac:dyDescent="0.25">
      <c r="A436" t="s">
        <v>1907</v>
      </c>
      <c r="B436" t="s">
        <v>1908</v>
      </c>
      <c r="C436" t="s">
        <v>1909</v>
      </c>
      <c r="D436" t="s">
        <v>1910</v>
      </c>
      <c r="E436" t="s">
        <v>1911</v>
      </c>
      <c r="F436" t="s">
        <v>1912</v>
      </c>
      <c r="G436" t="s">
        <v>5</v>
      </c>
      <c r="H436" t="s">
        <v>61</v>
      </c>
      <c r="I436" t="s">
        <v>93</v>
      </c>
      <c r="J436" t="s">
        <v>94</v>
      </c>
      <c r="K436" t="s">
        <v>3</v>
      </c>
      <c r="L436" t="s">
        <v>4</v>
      </c>
      <c r="M436" t="s">
        <v>49</v>
      </c>
      <c r="N436" t="s">
        <v>1913</v>
      </c>
      <c r="O436" s="31" t="s">
        <v>1914</v>
      </c>
      <c r="P436">
        <v>20</v>
      </c>
      <c r="Q436" t="s">
        <v>86</v>
      </c>
      <c r="R436">
        <v>1</v>
      </c>
      <c r="S436" s="31">
        <v>0</v>
      </c>
      <c r="T436" s="39">
        <v>0</v>
      </c>
      <c r="U436">
        <v>0</v>
      </c>
      <c r="V436">
        <v>0</v>
      </c>
      <c r="W436">
        <v>0</v>
      </c>
      <c r="X436" s="39">
        <v>0</v>
      </c>
      <c r="Y436">
        <v>0</v>
      </c>
      <c r="Z436" s="31">
        <v>0</v>
      </c>
      <c r="AA436">
        <v>8</v>
      </c>
      <c r="AB436" s="3">
        <f t="shared" si="20"/>
        <v>0</v>
      </c>
      <c r="AC436" t="str">
        <f>IF(AB436-S436&lt;0,"YES","NO")</f>
        <v>NO</v>
      </c>
      <c r="AD436">
        <f>IF(AC436="NO",0,AB436-S436)</f>
        <v>0</v>
      </c>
      <c r="AE436" s="43">
        <v>0.08</v>
      </c>
      <c r="AF436" s="3">
        <f t="shared" si="21"/>
        <v>0</v>
      </c>
      <c r="AG436" s="45">
        <f t="shared" si="22"/>
        <v>0</v>
      </c>
      <c r="AH436" s="55"/>
    </row>
    <row r="437" spans="1:34" x14ac:dyDescent="0.25">
      <c r="A437" t="s">
        <v>1907</v>
      </c>
      <c r="B437" t="s">
        <v>1908</v>
      </c>
      <c r="C437" t="s">
        <v>1909</v>
      </c>
      <c r="D437" t="s">
        <v>1910</v>
      </c>
      <c r="E437" t="s">
        <v>1911</v>
      </c>
      <c r="F437" t="s">
        <v>1912</v>
      </c>
      <c r="G437" t="s">
        <v>5</v>
      </c>
      <c r="H437" t="s">
        <v>65</v>
      </c>
      <c r="I437" t="s">
        <v>66</v>
      </c>
      <c r="J437" t="s">
        <v>67</v>
      </c>
      <c r="K437" t="s">
        <v>3</v>
      </c>
      <c r="L437" t="s">
        <v>4</v>
      </c>
      <c r="M437" t="s">
        <v>49</v>
      </c>
      <c r="N437" t="s">
        <v>1913</v>
      </c>
      <c r="O437" s="31" t="s">
        <v>1914</v>
      </c>
      <c r="P437">
        <v>220</v>
      </c>
      <c r="R437">
        <v>2</v>
      </c>
      <c r="S437" s="31">
        <v>150000</v>
      </c>
      <c r="T437" s="39">
        <v>160000</v>
      </c>
      <c r="U437">
        <v>25000</v>
      </c>
      <c r="V437">
        <v>8333.34</v>
      </c>
      <c r="W437">
        <v>0</v>
      </c>
      <c r="X437" s="39">
        <v>25000</v>
      </c>
      <c r="Y437">
        <v>0</v>
      </c>
      <c r="Z437" s="31">
        <v>126666.66</v>
      </c>
      <c r="AA437">
        <v>8</v>
      </c>
      <c r="AB437" s="3">
        <f t="shared" si="20"/>
        <v>126666.66</v>
      </c>
      <c r="AC437" t="str">
        <f>IF(AB437-S437&lt;0,"YES","NO")</f>
        <v>YES</v>
      </c>
      <c r="AD437">
        <f>IF(AC437="NO",0,AB437-S437)</f>
        <v>-23333.339999999997</v>
      </c>
      <c r="AE437" s="43">
        <v>0.08</v>
      </c>
      <c r="AF437" s="3">
        <f t="shared" si="21"/>
        <v>-21604.944444444438</v>
      </c>
      <c r="AG437" s="45">
        <f t="shared" si="22"/>
        <v>-23765.438888888883</v>
      </c>
      <c r="AH437" s="55"/>
    </row>
    <row r="438" spans="1:34" x14ac:dyDescent="0.25">
      <c r="A438" t="s">
        <v>1907</v>
      </c>
      <c r="B438" t="s">
        <v>1908</v>
      </c>
      <c r="C438" t="s">
        <v>1909</v>
      </c>
      <c r="D438" t="s">
        <v>1910</v>
      </c>
      <c r="E438" t="s">
        <v>1911</v>
      </c>
      <c r="F438" t="s">
        <v>1912</v>
      </c>
      <c r="G438" t="s">
        <v>5</v>
      </c>
      <c r="H438" t="s">
        <v>65</v>
      </c>
      <c r="I438" t="s">
        <v>78</v>
      </c>
      <c r="J438" t="s">
        <v>79</v>
      </c>
      <c r="K438" t="s">
        <v>3</v>
      </c>
      <c r="L438" t="s">
        <v>4</v>
      </c>
      <c r="M438" t="s">
        <v>49</v>
      </c>
      <c r="N438" t="s">
        <v>1913</v>
      </c>
      <c r="O438" s="31" t="s">
        <v>1914</v>
      </c>
      <c r="P438">
        <v>220</v>
      </c>
      <c r="R438">
        <v>2</v>
      </c>
      <c r="S438" s="31">
        <v>150000</v>
      </c>
      <c r="T438" s="39">
        <v>160000</v>
      </c>
      <c r="U438">
        <v>25000</v>
      </c>
      <c r="V438">
        <v>8333.34</v>
      </c>
      <c r="W438">
        <v>0</v>
      </c>
      <c r="X438" s="39">
        <v>25000</v>
      </c>
      <c r="Y438">
        <v>0</v>
      </c>
      <c r="Z438" s="31">
        <v>126666.66</v>
      </c>
      <c r="AA438">
        <v>8</v>
      </c>
      <c r="AB438" s="3">
        <f t="shared" si="20"/>
        <v>126666.66</v>
      </c>
      <c r="AC438" t="str">
        <f>IF(AB438-S438&lt;0,"YES","NO")</f>
        <v>YES</v>
      </c>
      <c r="AD438">
        <f>IF(AC438="NO",0,AB438-S438)</f>
        <v>-23333.339999999997</v>
      </c>
      <c r="AE438" s="43">
        <v>0.08</v>
      </c>
      <c r="AF438" s="3">
        <f t="shared" si="21"/>
        <v>-21604.944444444438</v>
      </c>
      <c r="AG438" s="45">
        <f t="shared" si="22"/>
        <v>-23765.438888888883</v>
      </c>
      <c r="AH438" s="55"/>
    </row>
    <row r="439" spans="1:34" x14ac:dyDescent="0.25">
      <c r="A439" t="s">
        <v>1907</v>
      </c>
      <c r="B439" t="s">
        <v>1908</v>
      </c>
      <c r="C439" t="s">
        <v>1909</v>
      </c>
      <c r="D439" t="s">
        <v>1910</v>
      </c>
      <c r="E439" t="s">
        <v>1911</v>
      </c>
      <c r="F439" t="s">
        <v>1912</v>
      </c>
      <c r="G439" t="s">
        <v>5</v>
      </c>
      <c r="H439" t="s">
        <v>65</v>
      </c>
      <c r="I439" t="s">
        <v>80</v>
      </c>
      <c r="J439" t="s">
        <v>81</v>
      </c>
      <c r="K439" t="s">
        <v>3</v>
      </c>
      <c r="L439" t="s">
        <v>4</v>
      </c>
      <c r="M439" t="s">
        <v>49</v>
      </c>
      <c r="N439" t="s">
        <v>1913</v>
      </c>
      <c r="O439" s="31" t="s">
        <v>1914</v>
      </c>
      <c r="P439">
        <v>220</v>
      </c>
      <c r="R439">
        <v>2</v>
      </c>
      <c r="S439" s="31">
        <v>150000</v>
      </c>
      <c r="T439" s="39">
        <v>160000</v>
      </c>
      <c r="U439">
        <v>25000</v>
      </c>
      <c r="V439">
        <v>8333.34</v>
      </c>
      <c r="W439">
        <v>0</v>
      </c>
      <c r="X439" s="39">
        <v>25000</v>
      </c>
      <c r="Y439">
        <v>0</v>
      </c>
      <c r="Z439" s="31">
        <v>126666.66</v>
      </c>
      <c r="AA439">
        <v>8</v>
      </c>
      <c r="AB439" s="3">
        <f t="shared" si="20"/>
        <v>126666.66</v>
      </c>
      <c r="AC439" t="str">
        <f>IF(AB439-S439&lt;0,"YES","NO")</f>
        <v>YES</v>
      </c>
      <c r="AD439">
        <f>IF(AC439="NO",0,AB439-S439)</f>
        <v>-23333.339999999997</v>
      </c>
      <c r="AE439" s="43">
        <v>0.08</v>
      </c>
      <c r="AF439" s="3">
        <f t="shared" si="21"/>
        <v>-21604.944444444438</v>
      </c>
      <c r="AG439" s="45">
        <f t="shared" si="22"/>
        <v>-23765.438888888883</v>
      </c>
      <c r="AH439" s="55"/>
    </row>
    <row r="440" spans="1:34" x14ac:dyDescent="0.25">
      <c r="A440" t="s">
        <v>1915</v>
      </c>
      <c r="B440" t="s">
        <v>1916</v>
      </c>
      <c r="C440" t="s">
        <v>1917</v>
      </c>
      <c r="D440" t="s">
        <v>1918</v>
      </c>
      <c r="E440" t="s">
        <v>1919</v>
      </c>
      <c r="F440" t="s">
        <v>1920</v>
      </c>
      <c r="G440" t="s">
        <v>5</v>
      </c>
      <c r="H440" t="s">
        <v>61</v>
      </c>
      <c r="I440" t="s">
        <v>84</v>
      </c>
      <c r="J440" t="s">
        <v>85</v>
      </c>
      <c r="K440" t="s">
        <v>3</v>
      </c>
      <c r="L440" t="s">
        <v>4</v>
      </c>
      <c r="M440" t="s">
        <v>49</v>
      </c>
      <c r="N440" t="s">
        <v>1921</v>
      </c>
      <c r="O440" s="31" t="s">
        <v>1922</v>
      </c>
      <c r="P440">
        <v>100</v>
      </c>
      <c r="Q440" t="s">
        <v>86</v>
      </c>
      <c r="R440">
        <v>1</v>
      </c>
      <c r="S440" s="31">
        <v>0</v>
      </c>
      <c r="T440" s="39">
        <v>0</v>
      </c>
      <c r="U440">
        <v>0</v>
      </c>
      <c r="V440">
        <v>0</v>
      </c>
      <c r="W440">
        <v>0</v>
      </c>
      <c r="X440" s="39">
        <v>0</v>
      </c>
      <c r="Y440">
        <v>0</v>
      </c>
      <c r="Z440" s="31">
        <v>0</v>
      </c>
      <c r="AA440">
        <v>8</v>
      </c>
      <c r="AB440" s="3">
        <f t="shared" si="20"/>
        <v>0</v>
      </c>
      <c r="AC440" t="str">
        <f>IF(AB440-S440&lt;0,"YES","NO")</f>
        <v>NO</v>
      </c>
      <c r="AD440">
        <f>IF(AC440="NO",0,AB440-S440)</f>
        <v>0</v>
      </c>
      <c r="AE440" s="43">
        <v>0.08</v>
      </c>
      <c r="AF440" s="3">
        <f t="shared" si="21"/>
        <v>0</v>
      </c>
      <c r="AG440" s="45">
        <f t="shared" si="22"/>
        <v>0</v>
      </c>
      <c r="AH440" s="55"/>
    </row>
    <row r="441" spans="1:34" x14ac:dyDescent="0.25">
      <c r="A441" t="s">
        <v>1915</v>
      </c>
      <c r="B441" t="s">
        <v>1916</v>
      </c>
      <c r="C441" t="s">
        <v>1917</v>
      </c>
      <c r="D441" t="s">
        <v>1918</v>
      </c>
      <c r="E441" t="s">
        <v>1919</v>
      </c>
      <c r="F441" t="s">
        <v>1920</v>
      </c>
      <c r="G441" t="s">
        <v>5</v>
      </c>
      <c r="H441" t="s">
        <v>65</v>
      </c>
      <c r="I441" t="s">
        <v>66</v>
      </c>
      <c r="J441" t="s">
        <v>67</v>
      </c>
      <c r="K441" t="s">
        <v>3</v>
      </c>
      <c r="L441" t="s">
        <v>4</v>
      </c>
      <c r="M441" t="s">
        <v>49</v>
      </c>
      <c r="N441" t="s">
        <v>1921</v>
      </c>
      <c r="O441" s="31" t="s">
        <v>1922</v>
      </c>
      <c r="P441">
        <v>220</v>
      </c>
      <c r="R441">
        <v>3</v>
      </c>
      <c r="S441" s="31">
        <v>225000</v>
      </c>
      <c r="T441" s="39">
        <v>240000</v>
      </c>
      <c r="U441">
        <v>35000.01</v>
      </c>
      <c r="V441">
        <v>24000</v>
      </c>
      <c r="W441">
        <v>0</v>
      </c>
      <c r="X441" s="39">
        <v>73010.009999999995</v>
      </c>
      <c r="Y441">
        <v>0</v>
      </c>
      <c r="Z441" s="31">
        <v>180999.99</v>
      </c>
      <c r="AA441">
        <v>8</v>
      </c>
      <c r="AB441" s="3">
        <f t="shared" si="20"/>
        <v>180999.99</v>
      </c>
      <c r="AC441" t="str">
        <f>IF(AB441-S441&lt;0,"YES","NO")</f>
        <v>YES</v>
      </c>
      <c r="AD441">
        <f>IF(AC441="NO",0,AB441-S441)</f>
        <v>-44000.010000000009</v>
      </c>
      <c r="AE441" s="43">
        <v>0.08</v>
      </c>
      <c r="AF441" s="3">
        <f t="shared" si="21"/>
        <v>-40740.750000000007</v>
      </c>
      <c r="AG441" s="45">
        <f t="shared" si="22"/>
        <v>-44814.825000000012</v>
      </c>
      <c r="AH441" s="55"/>
    </row>
    <row r="442" spans="1:34" x14ac:dyDescent="0.25">
      <c r="A442" t="s">
        <v>1923</v>
      </c>
      <c r="B442" t="s">
        <v>1924</v>
      </c>
      <c r="C442" t="s">
        <v>1925</v>
      </c>
      <c r="D442" t="s">
        <v>1926</v>
      </c>
      <c r="E442" t="s">
        <v>1927</v>
      </c>
      <c r="F442" t="s">
        <v>1928</v>
      </c>
      <c r="G442" t="s">
        <v>5</v>
      </c>
      <c r="H442" t="s">
        <v>61</v>
      </c>
      <c r="I442" t="s">
        <v>93</v>
      </c>
      <c r="J442" t="s">
        <v>94</v>
      </c>
      <c r="K442" t="s">
        <v>3</v>
      </c>
      <c r="L442" t="s">
        <v>4</v>
      </c>
      <c r="M442" t="s">
        <v>49</v>
      </c>
      <c r="N442" t="s">
        <v>1929</v>
      </c>
      <c r="O442" s="31" t="s">
        <v>1930</v>
      </c>
      <c r="P442">
        <v>20</v>
      </c>
      <c r="Q442" t="s">
        <v>86</v>
      </c>
      <c r="R442">
        <v>1</v>
      </c>
      <c r="S442" s="31">
        <v>0</v>
      </c>
      <c r="T442" s="39">
        <v>0</v>
      </c>
      <c r="U442">
        <v>0</v>
      </c>
      <c r="V442">
        <v>0</v>
      </c>
      <c r="W442">
        <v>0</v>
      </c>
      <c r="X442" s="39">
        <v>0</v>
      </c>
      <c r="Y442">
        <v>0</v>
      </c>
      <c r="Z442" s="31">
        <v>0</v>
      </c>
      <c r="AA442">
        <v>8</v>
      </c>
      <c r="AB442" s="3">
        <f t="shared" si="20"/>
        <v>0</v>
      </c>
      <c r="AC442" t="str">
        <f>IF(AB442-S442&lt;0,"YES","NO")</f>
        <v>NO</v>
      </c>
      <c r="AD442">
        <f>IF(AC442="NO",0,AB442-S442)</f>
        <v>0</v>
      </c>
      <c r="AE442" s="43">
        <v>0.08</v>
      </c>
      <c r="AF442" s="3">
        <f t="shared" si="21"/>
        <v>0</v>
      </c>
      <c r="AG442" s="45">
        <f t="shared" si="22"/>
        <v>0</v>
      </c>
      <c r="AH442" s="55"/>
    </row>
    <row r="443" spans="1:34" x14ac:dyDescent="0.25">
      <c r="A443" t="s">
        <v>1923</v>
      </c>
      <c r="B443" t="s">
        <v>1924</v>
      </c>
      <c r="C443" t="s">
        <v>1925</v>
      </c>
      <c r="D443" t="s">
        <v>1926</v>
      </c>
      <c r="E443" t="s">
        <v>1927</v>
      </c>
      <c r="F443" t="s">
        <v>1928</v>
      </c>
      <c r="G443" t="s">
        <v>5</v>
      </c>
      <c r="H443" t="s">
        <v>65</v>
      </c>
      <c r="I443" t="s">
        <v>82</v>
      </c>
      <c r="J443" t="s">
        <v>83</v>
      </c>
      <c r="K443" t="s">
        <v>3</v>
      </c>
      <c r="L443" t="s">
        <v>4</v>
      </c>
      <c r="M443" t="s">
        <v>49</v>
      </c>
      <c r="N443" t="s">
        <v>1929</v>
      </c>
      <c r="O443" s="31" t="s">
        <v>1930</v>
      </c>
      <c r="P443">
        <v>220</v>
      </c>
      <c r="R443">
        <v>2</v>
      </c>
      <c r="S443" s="31">
        <v>150000</v>
      </c>
      <c r="T443" s="39">
        <v>160000</v>
      </c>
      <c r="U443">
        <v>20000</v>
      </c>
      <c r="V443">
        <v>10000</v>
      </c>
      <c r="W443">
        <v>0</v>
      </c>
      <c r="X443" s="39">
        <v>46000</v>
      </c>
      <c r="Y443">
        <v>0</v>
      </c>
      <c r="Z443" s="31">
        <v>130000</v>
      </c>
      <c r="AA443">
        <v>8</v>
      </c>
      <c r="AB443" s="3">
        <f t="shared" si="20"/>
        <v>130000</v>
      </c>
      <c r="AC443" t="str">
        <f>IF(AB443-S443&lt;0,"YES","NO")</f>
        <v>YES</v>
      </c>
      <c r="AD443">
        <f>IF(AC443="NO",0,AB443-S443)</f>
        <v>-20000</v>
      </c>
      <c r="AE443" s="43">
        <v>0.08</v>
      </c>
      <c r="AF443" s="3">
        <f t="shared" si="21"/>
        <v>-18518.518518518518</v>
      </c>
      <c r="AG443" s="45">
        <f t="shared" si="22"/>
        <v>-20370.370370370372</v>
      </c>
      <c r="AH443" s="55"/>
    </row>
    <row r="444" spans="1:34" x14ac:dyDescent="0.25">
      <c r="A444" t="s">
        <v>1931</v>
      </c>
      <c r="B444" t="s">
        <v>1932</v>
      </c>
      <c r="C444" t="s">
        <v>1933</v>
      </c>
      <c r="D444" t="s">
        <v>1934</v>
      </c>
      <c r="E444" t="s">
        <v>1935</v>
      </c>
      <c r="F444" t="s">
        <v>1936</v>
      </c>
      <c r="G444" t="s">
        <v>5</v>
      </c>
      <c r="H444" t="s">
        <v>61</v>
      </c>
      <c r="I444" t="s">
        <v>75</v>
      </c>
      <c r="J444" t="s">
        <v>76</v>
      </c>
      <c r="K444" t="s">
        <v>3</v>
      </c>
      <c r="L444" t="s">
        <v>4</v>
      </c>
      <c r="M444" t="s">
        <v>49</v>
      </c>
      <c r="N444" t="s">
        <v>1937</v>
      </c>
      <c r="O444" s="31" t="s">
        <v>1938</v>
      </c>
      <c r="P444">
        <v>20</v>
      </c>
      <c r="Q444" t="s">
        <v>77</v>
      </c>
      <c r="R444">
        <v>1</v>
      </c>
      <c r="S444" s="31">
        <v>0</v>
      </c>
      <c r="T444" s="39">
        <v>0</v>
      </c>
      <c r="U444">
        <v>0</v>
      </c>
      <c r="V444">
        <v>0</v>
      </c>
      <c r="W444">
        <v>0</v>
      </c>
      <c r="X444" s="39">
        <v>0</v>
      </c>
      <c r="Y444">
        <v>0</v>
      </c>
      <c r="Z444" s="31">
        <v>0</v>
      </c>
      <c r="AA444">
        <v>8</v>
      </c>
      <c r="AB444" s="3">
        <f t="shared" si="20"/>
        <v>0</v>
      </c>
      <c r="AC444" t="str">
        <f>IF(AB444-S444&lt;0,"YES","NO")</f>
        <v>NO</v>
      </c>
      <c r="AD444">
        <f>IF(AC444="NO",0,AB444-S444)</f>
        <v>0</v>
      </c>
      <c r="AE444" s="43">
        <v>0.08</v>
      </c>
      <c r="AF444" s="3">
        <f t="shared" si="21"/>
        <v>0</v>
      </c>
      <c r="AG444" s="45">
        <f t="shared" si="22"/>
        <v>0</v>
      </c>
      <c r="AH444" s="55"/>
    </row>
    <row r="445" spans="1:34" x14ac:dyDescent="0.25">
      <c r="A445" t="s">
        <v>1931</v>
      </c>
      <c r="B445" t="s">
        <v>1932</v>
      </c>
      <c r="C445" t="s">
        <v>1933</v>
      </c>
      <c r="D445" t="s">
        <v>1934</v>
      </c>
      <c r="E445" t="s">
        <v>1935</v>
      </c>
      <c r="F445" t="s">
        <v>1936</v>
      </c>
      <c r="G445" t="s">
        <v>5</v>
      </c>
      <c r="H445" t="s">
        <v>65</v>
      </c>
      <c r="I445" t="s">
        <v>66</v>
      </c>
      <c r="J445" t="s">
        <v>67</v>
      </c>
      <c r="K445" t="s">
        <v>3</v>
      </c>
      <c r="L445" t="s">
        <v>4</v>
      </c>
      <c r="M445" t="s">
        <v>49</v>
      </c>
      <c r="N445" t="s">
        <v>1937</v>
      </c>
      <c r="O445" s="31" t="s">
        <v>1938</v>
      </c>
      <c r="P445">
        <v>220</v>
      </c>
      <c r="R445">
        <v>2</v>
      </c>
      <c r="S445" s="31">
        <v>150000</v>
      </c>
      <c r="T445" s="39">
        <v>160000</v>
      </c>
      <c r="U445">
        <v>25000</v>
      </c>
      <c r="V445">
        <v>16333.34</v>
      </c>
      <c r="W445">
        <v>0</v>
      </c>
      <c r="X445" s="39">
        <v>42800</v>
      </c>
      <c r="Y445">
        <v>0</v>
      </c>
      <c r="Z445" s="31">
        <v>118666.66</v>
      </c>
      <c r="AA445">
        <v>8</v>
      </c>
      <c r="AB445" s="3">
        <f t="shared" si="20"/>
        <v>118666.66</v>
      </c>
      <c r="AC445" t="str">
        <f>IF(AB445-S445&lt;0,"YES","NO")</f>
        <v>YES</v>
      </c>
      <c r="AD445">
        <f>IF(AC445="NO",0,AB445-S445)</f>
        <v>-31333.339999999997</v>
      </c>
      <c r="AE445" s="43">
        <v>0.08</v>
      </c>
      <c r="AF445" s="3">
        <f t="shared" si="21"/>
        <v>-29012.351851851847</v>
      </c>
      <c r="AG445" s="45">
        <f t="shared" si="22"/>
        <v>-31913.587037037036</v>
      </c>
      <c r="AH445" s="55"/>
    </row>
    <row r="446" spans="1:34" x14ac:dyDescent="0.25">
      <c r="A446" t="s">
        <v>1931</v>
      </c>
      <c r="B446" t="s">
        <v>1932</v>
      </c>
      <c r="C446" t="s">
        <v>1933</v>
      </c>
      <c r="D446" t="s">
        <v>1934</v>
      </c>
      <c r="E446" t="s">
        <v>1935</v>
      </c>
      <c r="F446" t="s">
        <v>1936</v>
      </c>
      <c r="G446" t="s">
        <v>5</v>
      </c>
      <c r="H446" t="s">
        <v>65</v>
      </c>
      <c r="I446" t="s">
        <v>78</v>
      </c>
      <c r="J446" t="s">
        <v>79</v>
      </c>
      <c r="K446" t="s">
        <v>3</v>
      </c>
      <c r="L446" t="s">
        <v>4</v>
      </c>
      <c r="M446" t="s">
        <v>49</v>
      </c>
      <c r="N446" t="s">
        <v>1937</v>
      </c>
      <c r="O446" s="31" t="s">
        <v>1938</v>
      </c>
      <c r="P446">
        <v>220</v>
      </c>
      <c r="R446">
        <v>2</v>
      </c>
      <c r="S446" s="31">
        <v>150000</v>
      </c>
      <c r="T446" s="39">
        <v>160000</v>
      </c>
      <c r="U446">
        <v>25000</v>
      </c>
      <c r="V446">
        <v>16333.34</v>
      </c>
      <c r="W446">
        <v>0</v>
      </c>
      <c r="X446" s="39">
        <v>42800</v>
      </c>
      <c r="Y446">
        <v>0</v>
      </c>
      <c r="Z446" s="31">
        <v>118666.66</v>
      </c>
      <c r="AA446">
        <v>8</v>
      </c>
      <c r="AB446" s="3">
        <f t="shared" si="20"/>
        <v>118666.66</v>
      </c>
      <c r="AC446" t="str">
        <f>IF(AB446-S446&lt;0,"YES","NO")</f>
        <v>YES</v>
      </c>
      <c r="AD446">
        <f>IF(AC446="NO",0,AB446-S446)</f>
        <v>-31333.339999999997</v>
      </c>
      <c r="AE446" s="43">
        <v>0.08</v>
      </c>
      <c r="AF446" s="3">
        <f t="shared" si="21"/>
        <v>-29012.351851851847</v>
      </c>
      <c r="AG446" s="45">
        <f t="shared" si="22"/>
        <v>-31913.587037037036</v>
      </c>
      <c r="AH446" s="55"/>
    </row>
    <row r="447" spans="1:34" x14ac:dyDescent="0.25">
      <c r="A447" t="s">
        <v>1931</v>
      </c>
      <c r="B447" t="s">
        <v>1932</v>
      </c>
      <c r="C447" t="s">
        <v>1933</v>
      </c>
      <c r="D447" t="s">
        <v>1934</v>
      </c>
      <c r="E447" t="s">
        <v>1935</v>
      </c>
      <c r="F447" t="s">
        <v>1936</v>
      </c>
      <c r="G447" t="s">
        <v>5</v>
      </c>
      <c r="H447" t="s">
        <v>65</v>
      </c>
      <c r="I447" t="s">
        <v>80</v>
      </c>
      <c r="J447" t="s">
        <v>81</v>
      </c>
      <c r="K447" t="s">
        <v>3</v>
      </c>
      <c r="L447" t="s">
        <v>4</v>
      </c>
      <c r="M447" t="s">
        <v>49</v>
      </c>
      <c r="N447" t="s">
        <v>1937</v>
      </c>
      <c r="O447" s="31" t="s">
        <v>1938</v>
      </c>
      <c r="P447">
        <v>220</v>
      </c>
      <c r="R447">
        <v>2</v>
      </c>
      <c r="S447" s="31">
        <v>150000</v>
      </c>
      <c r="T447" s="39">
        <v>160000</v>
      </c>
      <c r="U447">
        <v>25000</v>
      </c>
      <c r="V447">
        <v>16333.34</v>
      </c>
      <c r="W447">
        <v>0</v>
      </c>
      <c r="X447" s="39">
        <v>42800</v>
      </c>
      <c r="Y447">
        <v>0</v>
      </c>
      <c r="Z447" s="31">
        <v>118666.66</v>
      </c>
      <c r="AA447">
        <v>8</v>
      </c>
      <c r="AB447" s="3">
        <f t="shared" si="20"/>
        <v>118666.66</v>
      </c>
      <c r="AC447" t="str">
        <f>IF(AB447-S447&lt;0,"YES","NO")</f>
        <v>YES</v>
      </c>
      <c r="AD447">
        <f>IF(AC447="NO",0,AB447-S447)</f>
        <v>-31333.339999999997</v>
      </c>
      <c r="AE447" s="43">
        <v>0.08</v>
      </c>
      <c r="AF447" s="3">
        <f t="shared" si="21"/>
        <v>-29012.351851851847</v>
      </c>
      <c r="AG447" s="45">
        <f t="shared" si="22"/>
        <v>-31913.587037037036</v>
      </c>
      <c r="AH447" s="55"/>
    </row>
    <row r="448" spans="1:34" x14ac:dyDescent="0.25">
      <c r="A448" t="s">
        <v>1939</v>
      </c>
      <c r="B448" t="s">
        <v>1940</v>
      </c>
      <c r="C448" t="s">
        <v>1941</v>
      </c>
      <c r="D448" t="s">
        <v>1942</v>
      </c>
      <c r="E448" t="s">
        <v>1943</v>
      </c>
      <c r="F448" t="s">
        <v>1944</v>
      </c>
      <c r="G448" t="s">
        <v>5</v>
      </c>
      <c r="H448" t="s">
        <v>61</v>
      </c>
      <c r="I448" t="s">
        <v>84</v>
      </c>
      <c r="J448" t="s">
        <v>85</v>
      </c>
      <c r="K448" t="s">
        <v>3</v>
      </c>
      <c r="L448" t="s">
        <v>4</v>
      </c>
      <c r="M448" t="s">
        <v>49</v>
      </c>
      <c r="N448" t="s">
        <v>1945</v>
      </c>
      <c r="O448" s="31" t="s">
        <v>1946</v>
      </c>
      <c r="P448">
        <v>100</v>
      </c>
      <c r="Q448" t="s">
        <v>86</v>
      </c>
      <c r="R448">
        <v>1</v>
      </c>
      <c r="S448" s="31">
        <v>0</v>
      </c>
      <c r="T448" s="39">
        <v>0</v>
      </c>
      <c r="U448">
        <v>0</v>
      </c>
      <c r="V448">
        <v>0</v>
      </c>
      <c r="W448">
        <v>0</v>
      </c>
      <c r="X448" s="39">
        <v>0</v>
      </c>
      <c r="Y448">
        <v>0</v>
      </c>
      <c r="Z448" s="31">
        <v>0</v>
      </c>
      <c r="AA448">
        <v>8</v>
      </c>
      <c r="AB448" s="3">
        <f t="shared" si="20"/>
        <v>0</v>
      </c>
      <c r="AC448" t="str">
        <f>IF(AB448-S448&lt;0,"YES","NO")</f>
        <v>NO</v>
      </c>
      <c r="AD448">
        <f>IF(AC448="NO",0,AB448-S448)</f>
        <v>0</v>
      </c>
      <c r="AE448" s="43">
        <v>0.08</v>
      </c>
      <c r="AF448" s="3">
        <f t="shared" si="21"/>
        <v>0</v>
      </c>
      <c r="AG448" s="45">
        <f t="shared" si="22"/>
        <v>0</v>
      </c>
      <c r="AH448" s="55"/>
    </row>
    <row r="449" spans="1:34" x14ac:dyDescent="0.25">
      <c r="A449" t="s">
        <v>1939</v>
      </c>
      <c r="B449" t="s">
        <v>1940</v>
      </c>
      <c r="C449" t="s">
        <v>1941</v>
      </c>
      <c r="D449" t="s">
        <v>1942</v>
      </c>
      <c r="E449" t="s">
        <v>1943</v>
      </c>
      <c r="F449" t="s">
        <v>1944</v>
      </c>
      <c r="G449" t="s">
        <v>5</v>
      </c>
      <c r="H449" t="s">
        <v>65</v>
      </c>
      <c r="I449" t="s">
        <v>82</v>
      </c>
      <c r="J449" t="s">
        <v>83</v>
      </c>
      <c r="K449" t="s">
        <v>3</v>
      </c>
      <c r="L449" t="s">
        <v>4</v>
      </c>
      <c r="M449" t="s">
        <v>49</v>
      </c>
      <c r="N449" t="s">
        <v>1945</v>
      </c>
      <c r="O449" s="31" t="s">
        <v>1946</v>
      </c>
      <c r="P449">
        <v>220</v>
      </c>
      <c r="R449">
        <v>2</v>
      </c>
      <c r="S449" s="31">
        <v>150000</v>
      </c>
      <c r="T449" s="39">
        <v>160000</v>
      </c>
      <c r="U449">
        <v>20000</v>
      </c>
      <c r="V449">
        <v>10000</v>
      </c>
      <c r="W449">
        <v>0</v>
      </c>
      <c r="X449" s="39">
        <v>20000</v>
      </c>
      <c r="Y449">
        <v>0</v>
      </c>
      <c r="Z449" s="31">
        <v>130000</v>
      </c>
      <c r="AA449">
        <v>8</v>
      </c>
      <c r="AB449" s="3">
        <f t="shared" si="20"/>
        <v>130000</v>
      </c>
      <c r="AC449" t="str">
        <f>IF(AB449-S449&lt;0,"YES","NO")</f>
        <v>YES</v>
      </c>
      <c r="AD449">
        <f>IF(AC449="NO",0,AB449-S449)</f>
        <v>-20000</v>
      </c>
      <c r="AE449" s="43">
        <v>0.08</v>
      </c>
      <c r="AF449" s="3">
        <f t="shared" si="21"/>
        <v>-18518.518518518518</v>
      </c>
      <c r="AG449" s="45">
        <f t="shared" si="22"/>
        <v>-20370.370370370372</v>
      </c>
      <c r="AH449" s="55"/>
    </row>
    <row r="450" spans="1:34" x14ac:dyDescent="0.25">
      <c r="A450" t="s">
        <v>1947</v>
      </c>
      <c r="B450" t="s">
        <v>1948</v>
      </c>
      <c r="C450" t="s">
        <v>1949</v>
      </c>
      <c r="D450" t="s">
        <v>1950</v>
      </c>
      <c r="E450" t="s">
        <v>1951</v>
      </c>
      <c r="F450" t="s">
        <v>1952</v>
      </c>
      <c r="G450" t="s">
        <v>5</v>
      </c>
      <c r="H450" t="s">
        <v>61</v>
      </c>
      <c r="I450" t="s">
        <v>93</v>
      </c>
      <c r="J450" t="s">
        <v>94</v>
      </c>
      <c r="K450" t="s">
        <v>3</v>
      </c>
      <c r="L450" t="s">
        <v>4</v>
      </c>
      <c r="M450" t="s">
        <v>49</v>
      </c>
      <c r="N450" t="s">
        <v>1953</v>
      </c>
      <c r="O450" s="31" t="s">
        <v>1954</v>
      </c>
      <c r="P450">
        <v>20</v>
      </c>
      <c r="Q450" t="s">
        <v>86</v>
      </c>
      <c r="R450">
        <v>1</v>
      </c>
      <c r="S450" s="31">
        <v>0</v>
      </c>
      <c r="T450" s="39">
        <v>0</v>
      </c>
      <c r="U450">
        <v>0</v>
      </c>
      <c r="V450">
        <v>0</v>
      </c>
      <c r="W450">
        <v>0</v>
      </c>
      <c r="X450" s="39">
        <v>0</v>
      </c>
      <c r="Y450">
        <v>0</v>
      </c>
      <c r="Z450" s="31">
        <v>0</v>
      </c>
      <c r="AA450">
        <v>8</v>
      </c>
      <c r="AB450" s="3">
        <f t="shared" si="20"/>
        <v>0</v>
      </c>
      <c r="AC450" t="str">
        <f>IF(AB450-S450&lt;0,"YES","NO")</f>
        <v>NO</v>
      </c>
      <c r="AD450">
        <f>IF(AC450="NO",0,AB450-S450)</f>
        <v>0</v>
      </c>
      <c r="AE450" s="43">
        <v>0.08</v>
      </c>
      <c r="AF450" s="3">
        <f t="shared" si="21"/>
        <v>0</v>
      </c>
      <c r="AG450" s="45">
        <f t="shared" si="22"/>
        <v>0</v>
      </c>
      <c r="AH450" s="55"/>
    </row>
    <row r="451" spans="1:34" x14ac:dyDescent="0.25">
      <c r="A451" t="s">
        <v>1947</v>
      </c>
      <c r="B451" t="s">
        <v>1948</v>
      </c>
      <c r="C451" t="s">
        <v>1949</v>
      </c>
      <c r="D451" t="s">
        <v>1950</v>
      </c>
      <c r="E451" t="s">
        <v>1951</v>
      </c>
      <c r="F451" t="s">
        <v>1952</v>
      </c>
      <c r="G451" t="s">
        <v>5</v>
      </c>
      <c r="H451" t="s">
        <v>65</v>
      </c>
      <c r="I451" t="s">
        <v>95</v>
      </c>
      <c r="J451" t="s">
        <v>96</v>
      </c>
      <c r="K451" t="s">
        <v>3</v>
      </c>
      <c r="L451" t="s">
        <v>4</v>
      </c>
      <c r="M451" t="s">
        <v>49</v>
      </c>
      <c r="N451" t="s">
        <v>1953</v>
      </c>
      <c r="O451" s="31" t="s">
        <v>1954</v>
      </c>
      <c r="P451">
        <v>200</v>
      </c>
      <c r="R451">
        <v>6</v>
      </c>
      <c r="S451" s="31">
        <v>432000</v>
      </c>
      <c r="T451" s="39">
        <v>480000</v>
      </c>
      <c r="U451">
        <v>75000</v>
      </c>
      <c r="V451">
        <v>40000.019999999997</v>
      </c>
      <c r="W451">
        <v>0</v>
      </c>
      <c r="X451" s="39">
        <v>133399.98000000001</v>
      </c>
      <c r="Y451">
        <v>0</v>
      </c>
      <c r="Z451" s="31">
        <v>364999.98</v>
      </c>
      <c r="AA451">
        <v>8</v>
      </c>
      <c r="AB451" s="3">
        <f t="shared" si="20"/>
        <v>364999.98</v>
      </c>
      <c r="AC451" t="str">
        <f>IF(AB451-S451&lt;0,"YES","NO")</f>
        <v>YES</v>
      </c>
      <c r="AD451">
        <f>IF(AC451="NO",0,AB451-S451)</f>
        <v>-67000.020000000019</v>
      </c>
      <c r="AE451" s="43">
        <v>0.08</v>
      </c>
      <c r="AF451" s="3">
        <f t="shared" si="21"/>
        <v>-62037.055555555569</v>
      </c>
      <c r="AG451" s="45">
        <f t="shared" si="22"/>
        <v>-68240.761111111133</v>
      </c>
      <c r="AH451" s="55"/>
    </row>
    <row r="452" spans="1:34" x14ac:dyDescent="0.25">
      <c r="A452" t="s">
        <v>1955</v>
      </c>
      <c r="B452" t="s">
        <v>1956</v>
      </c>
      <c r="C452" t="s">
        <v>1957</v>
      </c>
      <c r="D452" t="s">
        <v>1958</v>
      </c>
      <c r="E452" t="s">
        <v>1959</v>
      </c>
      <c r="F452" t="s">
        <v>1960</v>
      </c>
      <c r="G452" t="s">
        <v>5</v>
      </c>
      <c r="H452" t="s">
        <v>61</v>
      </c>
      <c r="I452" t="s">
        <v>62</v>
      </c>
      <c r="J452" t="s">
        <v>63</v>
      </c>
      <c r="K452" t="s">
        <v>3</v>
      </c>
      <c r="L452" t="s">
        <v>4</v>
      </c>
      <c r="M452" t="s">
        <v>49</v>
      </c>
      <c r="N452" t="s">
        <v>1961</v>
      </c>
      <c r="O452" s="31" t="s">
        <v>1962</v>
      </c>
      <c r="P452">
        <v>20000</v>
      </c>
      <c r="Q452" t="s">
        <v>64</v>
      </c>
      <c r="R452">
        <v>1</v>
      </c>
      <c r="S452" s="31">
        <v>0</v>
      </c>
      <c r="T452" s="39">
        <v>0</v>
      </c>
      <c r="U452">
        <v>0</v>
      </c>
      <c r="V452">
        <v>0</v>
      </c>
      <c r="W452">
        <v>0</v>
      </c>
      <c r="X452" s="39">
        <v>0</v>
      </c>
      <c r="Y452">
        <v>0</v>
      </c>
      <c r="Z452" s="31">
        <v>0</v>
      </c>
      <c r="AA452">
        <v>8</v>
      </c>
      <c r="AB452" s="3">
        <f t="shared" si="20"/>
        <v>0</v>
      </c>
      <c r="AC452" t="str">
        <f>IF(AB452-S452&lt;0,"YES","NO")</f>
        <v>NO</v>
      </c>
      <c r="AD452">
        <f>IF(AC452="NO",0,AB452-S452)</f>
        <v>0</v>
      </c>
      <c r="AE452" s="43">
        <v>0.08</v>
      </c>
      <c r="AF452" s="3">
        <f t="shared" si="21"/>
        <v>0</v>
      </c>
      <c r="AG452" s="45">
        <f t="shared" si="22"/>
        <v>0</v>
      </c>
      <c r="AH452" s="55"/>
    </row>
    <row r="453" spans="1:34" x14ac:dyDescent="0.25">
      <c r="A453" t="s">
        <v>1955</v>
      </c>
      <c r="B453" t="s">
        <v>1956</v>
      </c>
      <c r="C453" t="s">
        <v>1957</v>
      </c>
      <c r="D453" t="s">
        <v>1958</v>
      </c>
      <c r="E453" t="s">
        <v>1959</v>
      </c>
      <c r="F453" t="s">
        <v>1960</v>
      </c>
      <c r="G453" t="s">
        <v>5</v>
      </c>
      <c r="H453" t="s">
        <v>65</v>
      </c>
      <c r="I453" t="s">
        <v>71</v>
      </c>
      <c r="J453" t="s">
        <v>72</v>
      </c>
      <c r="K453" t="s">
        <v>3</v>
      </c>
      <c r="L453" t="s">
        <v>4</v>
      </c>
      <c r="M453" t="s">
        <v>49</v>
      </c>
      <c r="N453" t="s">
        <v>1961</v>
      </c>
      <c r="O453" s="31" t="s">
        <v>1962</v>
      </c>
      <c r="P453">
        <v>220</v>
      </c>
      <c r="Q453" t="s">
        <v>70</v>
      </c>
      <c r="R453">
        <v>3</v>
      </c>
      <c r="S453" s="31">
        <v>177000</v>
      </c>
      <c r="T453" s="39">
        <v>195000</v>
      </c>
      <c r="U453">
        <v>35000.01</v>
      </c>
      <c r="V453">
        <v>19500</v>
      </c>
      <c r="W453">
        <v>0</v>
      </c>
      <c r="X453" s="39">
        <v>63099.99</v>
      </c>
      <c r="Y453">
        <v>0</v>
      </c>
      <c r="Z453" s="31">
        <v>140499.99</v>
      </c>
      <c r="AA453">
        <v>8</v>
      </c>
      <c r="AB453" s="3">
        <f t="shared" si="20"/>
        <v>140499.99</v>
      </c>
      <c r="AC453" t="str">
        <f>IF(AB453-S453&lt;0,"YES","NO")</f>
        <v>YES</v>
      </c>
      <c r="AD453">
        <f>IF(AC453="NO",0,AB453-S453)</f>
        <v>-36500.010000000009</v>
      </c>
      <c r="AE453" s="43">
        <v>0.08</v>
      </c>
      <c r="AF453" s="3">
        <f t="shared" si="21"/>
        <v>-33796.305555555562</v>
      </c>
      <c r="AG453" s="45">
        <f t="shared" si="22"/>
        <v>-37175.936111111121</v>
      </c>
      <c r="AH453" s="55"/>
    </row>
    <row r="454" spans="1:34" x14ac:dyDescent="0.25">
      <c r="A454" t="s">
        <v>1963</v>
      </c>
      <c r="B454" t="s">
        <v>1964</v>
      </c>
      <c r="C454" t="s">
        <v>1965</v>
      </c>
      <c r="D454" t="s">
        <v>1966</v>
      </c>
      <c r="E454" t="s">
        <v>1967</v>
      </c>
      <c r="F454" t="s">
        <v>1968</v>
      </c>
      <c r="G454" t="s">
        <v>5</v>
      </c>
      <c r="H454" t="s">
        <v>65</v>
      </c>
      <c r="I454" t="s">
        <v>66</v>
      </c>
      <c r="J454" t="s">
        <v>67</v>
      </c>
      <c r="K454" t="s">
        <v>3</v>
      </c>
      <c r="L454" t="s">
        <v>4</v>
      </c>
      <c r="M454" t="s">
        <v>49</v>
      </c>
      <c r="N454" t="s">
        <v>1969</v>
      </c>
      <c r="O454" s="31" t="s">
        <v>1970</v>
      </c>
      <c r="P454">
        <v>220</v>
      </c>
      <c r="R454">
        <v>3</v>
      </c>
      <c r="S454" s="31">
        <v>225000</v>
      </c>
      <c r="T454" s="39">
        <v>240000</v>
      </c>
      <c r="U454">
        <v>35000.01</v>
      </c>
      <c r="V454">
        <v>24000</v>
      </c>
      <c r="W454">
        <v>0</v>
      </c>
      <c r="X454" s="39">
        <v>71199.990000000005</v>
      </c>
      <c r="Y454">
        <v>0</v>
      </c>
      <c r="Z454" s="31">
        <v>180999.99</v>
      </c>
      <c r="AA454">
        <v>8</v>
      </c>
      <c r="AB454" s="3">
        <f t="shared" ref="AB454:AB517" si="23">Z454</f>
        <v>180999.99</v>
      </c>
      <c r="AC454" t="str">
        <f>IF(AB454-S454&lt;0,"YES","NO")</f>
        <v>YES</v>
      </c>
      <c r="AD454">
        <f>IF(AC454="NO",0,AB454-S454)</f>
        <v>-44000.010000000009</v>
      </c>
      <c r="AE454" s="43">
        <v>0.08</v>
      </c>
      <c r="AF454" s="3">
        <f t="shared" ref="AF454:AF517" si="24">AD454/(1+AE454)</f>
        <v>-40740.750000000007</v>
      </c>
      <c r="AG454" s="45">
        <f t="shared" ref="AG454:AG517" si="25">AF454*1.1</f>
        <v>-44814.825000000012</v>
      </c>
      <c r="AH454" s="55"/>
    </row>
    <row r="455" spans="1:34" x14ac:dyDescent="0.25">
      <c r="A455" t="s">
        <v>1971</v>
      </c>
      <c r="B455" t="s">
        <v>1972</v>
      </c>
      <c r="C455" t="s">
        <v>1973</v>
      </c>
      <c r="D455" t="s">
        <v>1974</v>
      </c>
      <c r="E455" t="s">
        <v>1975</v>
      </c>
      <c r="F455" t="s">
        <v>1976</v>
      </c>
      <c r="G455" t="s">
        <v>5</v>
      </c>
      <c r="H455" t="s">
        <v>61</v>
      </c>
      <c r="I455" t="s">
        <v>62</v>
      </c>
      <c r="J455" t="s">
        <v>63</v>
      </c>
      <c r="K455" t="s">
        <v>3</v>
      </c>
      <c r="L455" t="s">
        <v>4</v>
      </c>
      <c r="M455" t="s">
        <v>49</v>
      </c>
      <c r="N455" t="s">
        <v>1977</v>
      </c>
      <c r="O455" s="31" t="s">
        <v>1978</v>
      </c>
      <c r="P455">
        <v>20000</v>
      </c>
      <c r="Q455" t="s">
        <v>64</v>
      </c>
      <c r="R455">
        <v>1</v>
      </c>
      <c r="S455" s="31">
        <v>0</v>
      </c>
      <c r="T455" s="39">
        <v>0</v>
      </c>
      <c r="U455">
        <v>0</v>
      </c>
      <c r="V455">
        <v>0</v>
      </c>
      <c r="W455">
        <v>0</v>
      </c>
      <c r="X455" s="39">
        <v>0</v>
      </c>
      <c r="Y455">
        <v>0</v>
      </c>
      <c r="Z455" s="31">
        <v>0</v>
      </c>
      <c r="AA455">
        <v>8</v>
      </c>
      <c r="AB455" s="3">
        <f t="shared" si="23"/>
        <v>0</v>
      </c>
      <c r="AC455" t="str">
        <f>IF(AB455-S455&lt;0,"YES","NO")</f>
        <v>NO</v>
      </c>
      <c r="AD455">
        <f>IF(AC455="NO",0,AB455-S455)</f>
        <v>0</v>
      </c>
      <c r="AE455" s="43">
        <v>0.08</v>
      </c>
      <c r="AF455" s="3">
        <f t="shared" si="24"/>
        <v>0</v>
      </c>
      <c r="AG455" s="45">
        <f t="shared" si="25"/>
        <v>0</v>
      </c>
      <c r="AH455" s="55"/>
    </row>
    <row r="456" spans="1:34" x14ac:dyDescent="0.25">
      <c r="A456" t="s">
        <v>1971</v>
      </c>
      <c r="B456" t="s">
        <v>1972</v>
      </c>
      <c r="C456" t="s">
        <v>1973</v>
      </c>
      <c r="D456" t="s">
        <v>1974</v>
      </c>
      <c r="E456" t="s">
        <v>1975</v>
      </c>
      <c r="F456" t="s">
        <v>1976</v>
      </c>
      <c r="G456" t="s">
        <v>5</v>
      </c>
      <c r="H456" t="s">
        <v>61</v>
      </c>
      <c r="I456" t="s">
        <v>62</v>
      </c>
      <c r="J456" t="s">
        <v>63</v>
      </c>
      <c r="K456" t="s">
        <v>3</v>
      </c>
      <c r="L456" t="s">
        <v>4</v>
      </c>
      <c r="M456" t="s">
        <v>49</v>
      </c>
      <c r="N456" t="s">
        <v>1977</v>
      </c>
      <c r="O456" s="31" t="s">
        <v>1978</v>
      </c>
      <c r="P456">
        <v>20000</v>
      </c>
      <c r="Q456" t="s">
        <v>64</v>
      </c>
      <c r="R456">
        <v>1</v>
      </c>
      <c r="S456" s="31">
        <v>0</v>
      </c>
      <c r="T456" s="39">
        <v>0</v>
      </c>
      <c r="U456">
        <v>0</v>
      </c>
      <c r="V456">
        <v>0</v>
      </c>
      <c r="W456">
        <v>0</v>
      </c>
      <c r="X456" s="39">
        <v>0</v>
      </c>
      <c r="Y456">
        <v>0</v>
      </c>
      <c r="Z456" s="31">
        <v>0</v>
      </c>
      <c r="AA456">
        <v>8</v>
      </c>
      <c r="AB456" s="3">
        <f t="shared" si="23"/>
        <v>0</v>
      </c>
      <c r="AC456" t="str">
        <f>IF(AB456-S456&lt;0,"YES","NO")</f>
        <v>NO</v>
      </c>
      <c r="AD456">
        <f>IF(AC456="NO",0,AB456-S456)</f>
        <v>0</v>
      </c>
      <c r="AE456" s="43">
        <v>0.08</v>
      </c>
      <c r="AF456" s="3">
        <f t="shared" si="24"/>
        <v>0</v>
      </c>
      <c r="AG456" s="45">
        <f t="shared" si="25"/>
        <v>0</v>
      </c>
      <c r="AH456" s="55"/>
    </row>
    <row r="457" spans="1:34" x14ac:dyDescent="0.25">
      <c r="A457" t="s">
        <v>1971</v>
      </c>
      <c r="B457" t="s">
        <v>1972</v>
      </c>
      <c r="C457" t="s">
        <v>1973</v>
      </c>
      <c r="D457" t="s">
        <v>1974</v>
      </c>
      <c r="E457" t="s">
        <v>1975</v>
      </c>
      <c r="F457" t="s">
        <v>1976</v>
      </c>
      <c r="G457" t="s">
        <v>5</v>
      </c>
      <c r="H457" t="s">
        <v>65</v>
      </c>
      <c r="I457" t="s">
        <v>87</v>
      </c>
      <c r="J457" t="s">
        <v>88</v>
      </c>
      <c r="K457" t="s">
        <v>3</v>
      </c>
      <c r="L457" t="s">
        <v>4</v>
      </c>
      <c r="M457" t="s">
        <v>49</v>
      </c>
      <c r="N457" t="s">
        <v>1977</v>
      </c>
      <c r="O457" s="31" t="s">
        <v>1978</v>
      </c>
      <c r="P457">
        <v>220</v>
      </c>
      <c r="Q457" t="s">
        <v>89</v>
      </c>
      <c r="R457">
        <v>1</v>
      </c>
      <c r="S457" s="31">
        <v>59000</v>
      </c>
      <c r="T457" s="39">
        <v>70000</v>
      </c>
      <c r="U457">
        <v>4584.5</v>
      </c>
      <c r="V457">
        <v>6500</v>
      </c>
      <c r="W457">
        <v>0</v>
      </c>
      <c r="X457" s="39">
        <v>16046.5</v>
      </c>
      <c r="Y457">
        <v>0</v>
      </c>
      <c r="Z457" s="31">
        <v>58915.5</v>
      </c>
      <c r="AA457">
        <v>8</v>
      </c>
      <c r="AB457" s="3">
        <f t="shared" si="23"/>
        <v>58915.5</v>
      </c>
      <c r="AC457" t="str">
        <f>IF(AB457-S457&lt;0,"YES","NO")</f>
        <v>YES</v>
      </c>
      <c r="AD457">
        <f>IF(AC457="NO",0,AB457-S457)</f>
        <v>-84.5</v>
      </c>
      <c r="AE457" s="43">
        <v>0.08</v>
      </c>
      <c r="AF457" s="3">
        <f t="shared" si="24"/>
        <v>-78.240740740740733</v>
      </c>
      <c r="AG457" s="45">
        <f t="shared" si="25"/>
        <v>-86.06481481481481</v>
      </c>
      <c r="AH457" s="55"/>
    </row>
    <row r="458" spans="1:34" x14ac:dyDescent="0.25">
      <c r="A458" t="s">
        <v>1971</v>
      </c>
      <c r="B458" t="s">
        <v>1972</v>
      </c>
      <c r="C458" t="s">
        <v>1973</v>
      </c>
      <c r="D458" t="s">
        <v>1974</v>
      </c>
      <c r="E458" t="s">
        <v>1975</v>
      </c>
      <c r="F458" t="s">
        <v>1976</v>
      </c>
      <c r="G458" t="s">
        <v>5</v>
      </c>
      <c r="H458" t="s">
        <v>65</v>
      </c>
      <c r="I458" t="s">
        <v>90</v>
      </c>
      <c r="J458" t="s">
        <v>91</v>
      </c>
      <c r="K458" t="s">
        <v>3</v>
      </c>
      <c r="L458" t="s">
        <v>4</v>
      </c>
      <c r="M458" t="s">
        <v>49</v>
      </c>
      <c r="N458" t="s">
        <v>1977</v>
      </c>
      <c r="O458" s="31" t="s">
        <v>1978</v>
      </c>
      <c r="P458">
        <v>220</v>
      </c>
      <c r="Q458" t="s">
        <v>92</v>
      </c>
      <c r="R458">
        <v>1</v>
      </c>
      <c r="S458" s="31">
        <v>59000</v>
      </c>
      <c r="T458" s="39">
        <v>70000</v>
      </c>
      <c r="U458">
        <v>4584.5</v>
      </c>
      <c r="V458">
        <v>6500</v>
      </c>
      <c r="W458">
        <v>0</v>
      </c>
      <c r="X458" s="39">
        <v>16046.5</v>
      </c>
      <c r="Y458">
        <v>0</v>
      </c>
      <c r="Z458" s="31">
        <v>58915.5</v>
      </c>
      <c r="AA458">
        <v>8</v>
      </c>
      <c r="AB458" s="3">
        <f t="shared" si="23"/>
        <v>58915.5</v>
      </c>
      <c r="AC458" t="str">
        <f>IF(AB458-S458&lt;0,"YES","NO")</f>
        <v>YES</v>
      </c>
      <c r="AD458">
        <f>IF(AC458="NO",0,AB458-S458)</f>
        <v>-84.5</v>
      </c>
      <c r="AE458" s="43">
        <v>0.08</v>
      </c>
      <c r="AF458" s="3">
        <f t="shared" si="24"/>
        <v>-78.240740740740733</v>
      </c>
      <c r="AG458" s="45">
        <f t="shared" si="25"/>
        <v>-86.06481481481481</v>
      </c>
      <c r="AH458" s="55"/>
    </row>
    <row r="459" spans="1:34" x14ac:dyDescent="0.25">
      <c r="A459" t="s">
        <v>1971</v>
      </c>
      <c r="B459" t="s">
        <v>1972</v>
      </c>
      <c r="C459" t="s">
        <v>1973</v>
      </c>
      <c r="D459" t="s">
        <v>1974</v>
      </c>
      <c r="E459" t="s">
        <v>1975</v>
      </c>
      <c r="F459" t="s">
        <v>1976</v>
      </c>
      <c r="G459" t="s">
        <v>5</v>
      </c>
      <c r="H459" t="s">
        <v>65</v>
      </c>
      <c r="I459" t="s">
        <v>82</v>
      </c>
      <c r="J459" t="s">
        <v>83</v>
      </c>
      <c r="K459" t="s">
        <v>3</v>
      </c>
      <c r="L459" t="s">
        <v>4</v>
      </c>
      <c r="M459" t="s">
        <v>49</v>
      </c>
      <c r="N459" t="s">
        <v>1977</v>
      </c>
      <c r="O459" s="31" t="s">
        <v>1978</v>
      </c>
      <c r="P459">
        <v>220</v>
      </c>
      <c r="R459">
        <v>2</v>
      </c>
      <c r="S459" s="31">
        <v>150000</v>
      </c>
      <c r="T459" s="39">
        <v>160000</v>
      </c>
      <c r="U459">
        <v>10831</v>
      </c>
      <c r="V459">
        <v>10000</v>
      </c>
      <c r="W459">
        <v>0</v>
      </c>
      <c r="X459" s="39">
        <v>37907</v>
      </c>
      <c r="Y459">
        <v>0</v>
      </c>
      <c r="Z459" s="31">
        <v>139169</v>
      </c>
      <c r="AA459">
        <v>8</v>
      </c>
      <c r="AB459" s="3">
        <f t="shared" si="23"/>
        <v>139169</v>
      </c>
      <c r="AC459" t="str">
        <f>IF(AB459-S459&lt;0,"YES","NO")</f>
        <v>YES</v>
      </c>
      <c r="AD459">
        <f>IF(AC459="NO",0,AB459-S459)</f>
        <v>-10831</v>
      </c>
      <c r="AE459" s="43">
        <v>0.08</v>
      </c>
      <c r="AF459" s="3">
        <f t="shared" si="24"/>
        <v>-10028.703703703703</v>
      </c>
      <c r="AG459" s="45">
        <f t="shared" si="25"/>
        <v>-11031.574074074073</v>
      </c>
      <c r="AH459" s="55"/>
    </row>
    <row r="460" spans="1:34" x14ac:dyDescent="0.25">
      <c r="A460" t="s">
        <v>1979</v>
      </c>
      <c r="B460" t="s">
        <v>1980</v>
      </c>
      <c r="C460" t="s">
        <v>1981</v>
      </c>
      <c r="D460" t="s">
        <v>1982</v>
      </c>
      <c r="E460" t="s">
        <v>1983</v>
      </c>
      <c r="F460" t="s">
        <v>1984</v>
      </c>
      <c r="G460" t="s">
        <v>5</v>
      </c>
      <c r="H460" t="s">
        <v>61</v>
      </c>
      <c r="I460" t="s">
        <v>84</v>
      </c>
      <c r="J460" t="s">
        <v>85</v>
      </c>
      <c r="K460" t="s">
        <v>3</v>
      </c>
      <c r="L460" t="s">
        <v>4</v>
      </c>
      <c r="M460" t="s">
        <v>49</v>
      </c>
      <c r="N460" t="s">
        <v>1985</v>
      </c>
      <c r="O460" s="31" t="s">
        <v>1986</v>
      </c>
      <c r="P460">
        <v>100</v>
      </c>
      <c r="Q460" t="s">
        <v>86</v>
      </c>
      <c r="R460">
        <v>1</v>
      </c>
      <c r="S460" s="31">
        <v>0</v>
      </c>
      <c r="T460" s="39">
        <v>0</v>
      </c>
      <c r="U460">
        <v>0</v>
      </c>
      <c r="V460">
        <v>0</v>
      </c>
      <c r="W460">
        <v>0</v>
      </c>
      <c r="X460" s="39">
        <v>0</v>
      </c>
      <c r="Y460">
        <v>0</v>
      </c>
      <c r="Z460" s="31">
        <v>0</v>
      </c>
      <c r="AA460">
        <v>8</v>
      </c>
      <c r="AB460" s="3">
        <f t="shared" si="23"/>
        <v>0</v>
      </c>
      <c r="AC460" t="str">
        <f>IF(AB460-S460&lt;0,"YES","NO")</f>
        <v>NO</v>
      </c>
      <c r="AD460">
        <f>IF(AC460="NO",0,AB460-S460)</f>
        <v>0</v>
      </c>
      <c r="AE460" s="43">
        <v>0.08</v>
      </c>
      <c r="AF460" s="3">
        <f t="shared" si="24"/>
        <v>0</v>
      </c>
      <c r="AG460" s="45">
        <f t="shared" si="25"/>
        <v>0</v>
      </c>
      <c r="AH460" s="55"/>
    </row>
    <row r="461" spans="1:34" x14ac:dyDescent="0.25">
      <c r="A461" t="s">
        <v>1979</v>
      </c>
      <c r="B461" t="s">
        <v>1980</v>
      </c>
      <c r="C461" t="s">
        <v>1981</v>
      </c>
      <c r="D461" t="s">
        <v>1982</v>
      </c>
      <c r="E461" t="s">
        <v>1983</v>
      </c>
      <c r="F461" t="s">
        <v>1984</v>
      </c>
      <c r="G461" t="s">
        <v>5</v>
      </c>
      <c r="H461" t="s">
        <v>65</v>
      </c>
      <c r="I461" t="s">
        <v>66</v>
      </c>
      <c r="J461" t="s">
        <v>67</v>
      </c>
      <c r="K461" t="s">
        <v>3</v>
      </c>
      <c r="L461" t="s">
        <v>4</v>
      </c>
      <c r="M461" t="s">
        <v>49</v>
      </c>
      <c r="N461" t="s">
        <v>1985</v>
      </c>
      <c r="O461" s="31" t="s">
        <v>1986</v>
      </c>
      <c r="P461">
        <v>220</v>
      </c>
      <c r="R461">
        <v>2</v>
      </c>
      <c r="S461" s="31">
        <v>150000</v>
      </c>
      <c r="T461" s="39">
        <v>160000</v>
      </c>
      <c r="U461">
        <v>20000</v>
      </c>
      <c r="V461">
        <v>16000</v>
      </c>
      <c r="W461">
        <v>0</v>
      </c>
      <c r="X461" s="39">
        <v>44800</v>
      </c>
      <c r="Y461">
        <v>0</v>
      </c>
      <c r="Z461" s="31">
        <v>124000</v>
      </c>
      <c r="AA461">
        <v>8</v>
      </c>
      <c r="AB461" s="3">
        <f t="shared" si="23"/>
        <v>124000</v>
      </c>
      <c r="AC461" t="str">
        <f>IF(AB461-S461&lt;0,"YES","NO")</f>
        <v>YES</v>
      </c>
      <c r="AD461">
        <f>IF(AC461="NO",0,AB461-S461)</f>
        <v>-26000</v>
      </c>
      <c r="AE461" s="43">
        <v>0.08</v>
      </c>
      <c r="AF461" s="3">
        <f t="shared" si="24"/>
        <v>-24074.074074074073</v>
      </c>
      <c r="AG461" s="45">
        <f t="shared" si="25"/>
        <v>-26481.481481481482</v>
      </c>
      <c r="AH461" s="55"/>
    </row>
    <row r="462" spans="1:34" x14ac:dyDescent="0.25">
      <c r="A462" t="s">
        <v>1987</v>
      </c>
      <c r="B462" t="s">
        <v>1988</v>
      </c>
      <c r="C462" t="s">
        <v>1989</v>
      </c>
      <c r="D462" t="s">
        <v>1990</v>
      </c>
      <c r="E462" t="s">
        <v>1991</v>
      </c>
      <c r="F462" t="s">
        <v>1992</v>
      </c>
      <c r="G462" t="s">
        <v>5</v>
      </c>
      <c r="H462" t="s">
        <v>61</v>
      </c>
      <c r="I462" t="s">
        <v>62</v>
      </c>
      <c r="J462" t="s">
        <v>63</v>
      </c>
      <c r="K462" t="s">
        <v>3</v>
      </c>
      <c r="L462" t="s">
        <v>4</v>
      </c>
      <c r="M462" t="s">
        <v>49</v>
      </c>
      <c r="N462" t="s">
        <v>1993</v>
      </c>
      <c r="O462" s="31" t="s">
        <v>1994</v>
      </c>
      <c r="P462">
        <v>20000</v>
      </c>
      <c r="Q462" t="s">
        <v>64</v>
      </c>
      <c r="R462">
        <v>1</v>
      </c>
      <c r="S462" s="31">
        <v>0</v>
      </c>
      <c r="T462" s="39">
        <v>0</v>
      </c>
      <c r="U462">
        <v>0</v>
      </c>
      <c r="V462">
        <v>0</v>
      </c>
      <c r="W462">
        <v>0</v>
      </c>
      <c r="X462" s="39">
        <v>0</v>
      </c>
      <c r="Y462">
        <v>0</v>
      </c>
      <c r="Z462" s="31">
        <v>0</v>
      </c>
      <c r="AA462">
        <v>8</v>
      </c>
      <c r="AB462" s="3">
        <f t="shared" si="23"/>
        <v>0</v>
      </c>
      <c r="AC462" t="str">
        <f>IF(AB462-S462&lt;0,"YES","NO")</f>
        <v>NO</v>
      </c>
      <c r="AD462">
        <f>IF(AC462="NO",0,AB462-S462)</f>
        <v>0</v>
      </c>
      <c r="AE462" s="43">
        <v>0.08</v>
      </c>
      <c r="AF462" s="3">
        <f t="shared" si="24"/>
        <v>0</v>
      </c>
      <c r="AG462" s="45">
        <f t="shared" si="25"/>
        <v>0</v>
      </c>
      <c r="AH462" s="55"/>
    </row>
    <row r="463" spans="1:34" x14ac:dyDescent="0.25">
      <c r="A463" t="s">
        <v>1987</v>
      </c>
      <c r="B463" t="s">
        <v>1988</v>
      </c>
      <c r="C463" t="s">
        <v>1989</v>
      </c>
      <c r="D463" t="s">
        <v>1990</v>
      </c>
      <c r="E463" t="s">
        <v>1991</v>
      </c>
      <c r="F463" t="s">
        <v>1992</v>
      </c>
      <c r="G463" t="s">
        <v>5</v>
      </c>
      <c r="H463" t="s">
        <v>65</v>
      </c>
      <c r="I463" t="s">
        <v>66</v>
      </c>
      <c r="J463" t="s">
        <v>67</v>
      </c>
      <c r="K463" t="s">
        <v>3</v>
      </c>
      <c r="L463" t="s">
        <v>4</v>
      </c>
      <c r="M463" t="s">
        <v>49</v>
      </c>
      <c r="N463" t="s">
        <v>1993</v>
      </c>
      <c r="O463" s="31" t="s">
        <v>1994</v>
      </c>
      <c r="P463">
        <v>220</v>
      </c>
      <c r="R463">
        <v>6</v>
      </c>
      <c r="S463" s="31">
        <v>450000</v>
      </c>
      <c r="T463" s="39">
        <v>480000</v>
      </c>
      <c r="U463">
        <v>75000</v>
      </c>
      <c r="V463">
        <v>48000</v>
      </c>
      <c r="W463">
        <v>0</v>
      </c>
      <c r="X463" s="39">
        <v>135690</v>
      </c>
      <c r="Y463">
        <v>0</v>
      </c>
      <c r="Z463" s="31">
        <v>357000</v>
      </c>
      <c r="AA463">
        <v>8</v>
      </c>
      <c r="AB463" s="3">
        <f t="shared" si="23"/>
        <v>357000</v>
      </c>
      <c r="AC463" t="str">
        <f>IF(AB463-S463&lt;0,"YES","NO")</f>
        <v>YES</v>
      </c>
      <c r="AD463">
        <f>IF(AC463="NO",0,AB463-S463)</f>
        <v>-93000</v>
      </c>
      <c r="AE463" s="43">
        <v>0.08</v>
      </c>
      <c r="AF463" s="3">
        <f t="shared" si="24"/>
        <v>-86111.111111111109</v>
      </c>
      <c r="AG463" s="45">
        <f t="shared" si="25"/>
        <v>-94722.222222222234</v>
      </c>
      <c r="AH463" s="55"/>
    </row>
    <row r="464" spans="1:34" x14ac:dyDescent="0.25">
      <c r="A464" t="s">
        <v>1995</v>
      </c>
      <c r="B464" t="s">
        <v>1996</v>
      </c>
      <c r="C464" t="s">
        <v>1997</v>
      </c>
      <c r="D464" t="s">
        <v>1998</v>
      </c>
      <c r="E464" t="s">
        <v>1999</v>
      </c>
      <c r="F464" t="s">
        <v>2000</v>
      </c>
      <c r="G464" t="s">
        <v>5</v>
      </c>
      <c r="H464" t="s">
        <v>61</v>
      </c>
      <c r="I464" t="s">
        <v>84</v>
      </c>
      <c r="J464" t="s">
        <v>85</v>
      </c>
      <c r="K464" t="s">
        <v>3</v>
      </c>
      <c r="L464" t="s">
        <v>4</v>
      </c>
      <c r="M464" t="s">
        <v>49</v>
      </c>
      <c r="N464" t="s">
        <v>2001</v>
      </c>
      <c r="O464" s="31" t="s">
        <v>2002</v>
      </c>
      <c r="P464">
        <v>100</v>
      </c>
      <c r="Q464" t="s">
        <v>86</v>
      </c>
      <c r="R464">
        <v>1</v>
      </c>
      <c r="S464" s="31">
        <v>0</v>
      </c>
      <c r="T464" s="39">
        <v>0</v>
      </c>
      <c r="U464">
        <v>0</v>
      </c>
      <c r="V464">
        <v>0</v>
      </c>
      <c r="W464">
        <v>0</v>
      </c>
      <c r="X464" s="39">
        <v>0</v>
      </c>
      <c r="Y464">
        <v>0</v>
      </c>
      <c r="Z464" s="31">
        <v>0</v>
      </c>
      <c r="AA464">
        <v>8</v>
      </c>
      <c r="AB464" s="3">
        <f t="shared" si="23"/>
        <v>0</v>
      </c>
      <c r="AC464" t="str">
        <f>IF(AB464-S464&lt;0,"YES","NO")</f>
        <v>NO</v>
      </c>
      <c r="AD464">
        <f>IF(AC464="NO",0,AB464-S464)</f>
        <v>0</v>
      </c>
      <c r="AE464" s="43">
        <v>0.08</v>
      </c>
      <c r="AF464" s="3">
        <f t="shared" si="24"/>
        <v>0</v>
      </c>
      <c r="AG464" s="45">
        <f t="shared" si="25"/>
        <v>0</v>
      </c>
      <c r="AH464" s="55"/>
    </row>
    <row r="465" spans="1:34" x14ac:dyDescent="0.25">
      <c r="A465" t="s">
        <v>1995</v>
      </c>
      <c r="B465" t="s">
        <v>1996</v>
      </c>
      <c r="C465" t="s">
        <v>1997</v>
      </c>
      <c r="D465" t="s">
        <v>1998</v>
      </c>
      <c r="E465" t="s">
        <v>1999</v>
      </c>
      <c r="F465" t="s">
        <v>2000</v>
      </c>
      <c r="G465" t="s">
        <v>5</v>
      </c>
      <c r="H465" t="s">
        <v>65</v>
      </c>
      <c r="I465" t="s">
        <v>66</v>
      </c>
      <c r="J465" t="s">
        <v>67</v>
      </c>
      <c r="K465" t="s">
        <v>3</v>
      </c>
      <c r="L465" t="s">
        <v>4</v>
      </c>
      <c r="M465" t="s">
        <v>49</v>
      </c>
      <c r="N465" t="s">
        <v>2001</v>
      </c>
      <c r="O465" s="31" t="s">
        <v>2002</v>
      </c>
      <c r="P465">
        <v>220</v>
      </c>
      <c r="R465">
        <v>6</v>
      </c>
      <c r="S465" s="31">
        <v>450000</v>
      </c>
      <c r="T465" s="39">
        <v>480000</v>
      </c>
      <c r="U465">
        <v>75000</v>
      </c>
      <c r="V465">
        <v>48000</v>
      </c>
      <c r="W465">
        <v>0</v>
      </c>
      <c r="X465" s="39">
        <v>132120</v>
      </c>
      <c r="Y465">
        <v>0</v>
      </c>
      <c r="Z465" s="31">
        <v>357000</v>
      </c>
      <c r="AA465">
        <v>8</v>
      </c>
      <c r="AB465" s="3">
        <f t="shared" si="23"/>
        <v>357000</v>
      </c>
      <c r="AC465" t="str">
        <f>IF(AB465-S465&lt;0,"YES","NO")</f>
        <v>YES</v>
      </c>
      <c r="AD465">
        <f>IF(AC465="NO",0,AB465-S465)</f>
        <v>-93000</v>
      </c>
      <c r="AE465" s="43">
        <v>0.08</v>
      </c>
      <c r="AF465" s="3">
        <f t="shared" si="24"/>
        <v>-86111.111111111109</v>
      </c>
      <c r="AG465" s="45">
        <f t="shared" si="25"/>
        <v>-94722.222222222234</v>
      </c>
      <c r="AH465" s="55"/>
    </row>
    <row r="466" spans="1:34" x14ac:dyDescent="0.25">
      <c r="A466" t="s">
        <v>2003</v>
      </c>
      <c r="B466" t="s">
        <v>2004</v>
      </c>
      <c r="C466" t="s">
        <v>2005</v>
      </c>
      <c r="D466" t="s">
        <v>2006</v>
      </c>
      <c r="E466" t="s">
        <v>2007</v>
      </c>
      <c r="F466" t="s">
        <v>2008</v>
      </c>
      <c r="G466" t="s">
        <v>5</v>
      </c>
      <c r="H466" t="s">
        <v>61</v>
      </c>
      <c r="I466" t="s">
        <v>93</v>
      </c>
      <c r="J466" t="s">
        <v>94</v>
      </c>
      <c r="K466" t="s">
        <v>3</v>
      </c>
      <c r="L466" t="s">
        <v>4</v>
      </c>
      <c r="M466" t="s">
        <v>49</v>
      </c>
      <c r="N466" t="s">
        <v>2009</v>
      </c>
      <c r="O466" s="31" t="s">
        <v>2010</v>
      </c>
      <c r="P466">
        <v>20</v>
      </c>
      <c r="Q466" t="s">
        <v>86</v>
      </c>
      <c r="R466">
        <v>1</v>
      </c>
      <c r="S466" s="31">
        <v>0</v>
      </c>
      <c r="T466" s="39">
        <v>0</v>
      </c>
      <c r="U466">
        <v>0</v>
      </c>
      <c r="V466">
        <v>0</v>
      </c>
      <c r="W466">
        <v>0</v>
      </c>
      <c r="X466" s="39">
        <v>0</v>
      </c>
      <c r="Y466">
        <v>0</v>
      </c>
      <c r="Z466" s="31">
        <v>0</v>
      </c>
      <c r="AA466">
        <v>8</v>
      </c>
      <c r="AB466" s="3">
        <f t="shared" si="23"/>
        <v>0</v>
      </c>
      <c r="AC466" t="str">
        <f>IF(AB466-S466&lt;0,"YES","NO")</f>
        <v>NO</v>
      </c>
      <c r="AD466">
        <f>IF(AC466="NO",0,AB466-S466)</f>
        <v>0</v>
      </c>
      <c r="AE466" s="43">
        <v>0.08</v>
      </c>
      <c r="AF466" s="3">
        <f t="shared" si="24"/>
        <v>0</v>
      </c>
      <c r="AG466" s="45">
        <f t="shared" si="25"/>
        <v>0</v>
      </c>
      <c r="AH466" s="55"/>
    </row>
    <row r="467" spans="1:34" x14ac:dyDescent="0.25">
      <c r="A467" t="s">
        <v>2003</v>
      </c>
      <c r="B467" t="s">
        <v>2004</v>
      </c>
      <c r="C467" t="s">
        <v>2005</v>
      </c>
      <c r="D467" t="s">
        <v>2006</v>
      </c>
      <c r="E467" t="s">
        <v>2007</v>
      </c>
      <c r="F467" t="s">
        <v>2008</v>
      </c>
      <c r="G467" t="s">
        <v>5</v>
      </c>
      <c r="H467" t="s">
        <v>65</v>
      </c>
      <c r="I467" t="s">
        <v>66</v>
      </c>
      <c r="J467" t="s">
        <v>67</v>
      </c>
      <c r="K467" t="s">
        <v>3</v>
      </c>
      <c r="L467" t="s">
        <v>4</v>
      </c>
      <c r="M467" t="s">
        <v>49</v>
      </c>
      <c r="N467" t="s">
        <v>2009</v>
      </c>
      <c r="O467" s="31" t="s">
        <v>2010</v>
      </c>
      <c r="P467">
        <v>220</v>
      </c>
      <c r="R467">
        <v>2</v>
      </c>
      <c r="S467" s="31">
        <v>150000</v>
      </c>
      <c r="T467" s="39">
        <v>160000</v>
      </c>
      <c r="U467">
        <v>26666.66</v>
      </c>
      <c r="V467">
        <v>16000</v>
      </c>
      <c r="W467">
        <v>0</v>
      </c>
      <c r="X467" s="39">
        <v>47786.66</v>
      </c>
      <c r="Y467">
        <v>0</v>
      </c>
      <c r="Z467" s="31">
        <v>117333.34</v>
      </c>
      <c r="AA467">
        <v>8</v>
      </c>
      <c r="AB467" s="3">
        <f t="shared" si="23"/>
        <v>117333.34</v>
      </c>
      <c r="AC467" t="str">
        <f>IF(AB467-S467&lt;0,"YES","NO")</f>
        <v>YES</v>
      </c>
      <c r="AD467">
        <f>IF(AC467="NO",0,AB467-S467)</f>
        <v>-32666.660000000003</v>
      </c>
      <c r="AE467" s="43">
        <v>0.08</v>
      </c>
      <c r="AF467" s="3">
        <f t="shared" si="24"/>
        <v>-30246.907407407409</v>
      </c>
      <c r="AG467" s="45">
        <f t="shared" si="25"/>
        <v>-33271.59814814815</v>
      </c>
      <c r="AH467" s="55"/>
    </row>
    <row r="468" spans="1:34" x14ac:dyDescent="0.25">
      <c r="A468" t="s">
        <v>2003</v>
      </c>
      <c r="B468" t="s">
        <v>2004</v>
      </c>
      <c r="C468" t="s">
        <v>2005</v>
      </c>
      <c r="D468" t="s">
        <v>2006</v>
      </c>
      <c r="E468" t="s">
        <v>2007</v>
      </c>
      <c r="F468" t="s">
        <v>2008</v>
      </c>
      <c r="G468" t="s">
        <v>5</v>
      </c>
      <c r="H468" t="s">
        <v>65</v>
      </c>
      <c r="I468" t="s">
        <v>78</v>
      </c>
      <c r="J468" t="s">
        <v>79</v>
      </c>
      <c r="K468" t="s">
        <v>3</v>
      </c>
      <c r="L468" t="s">
        <v>4</v>
      </c>
      <c r="M468" t="s">
        <v>49</v>
      </c>
      <c r="N468" t="s">
        <v>2009</v>
      </c>
      <c r="O468" s="31" t="s">
        <v>2010</v>
      </c>
      <c r="P468">
        <v>220</v>
      </c>
      <c r="R468">
        <v>2</v>
      </c>
      <c r="S468" s="31">
        <v>150000</v>
      </c>
      <c r="T468" s="39">
        <v>160000</v>
      </c>
      <c r="U468">
        <v>26666.66</v>
      </c>
      <c r="V468">
        <v>16000</v>
      </c>
      <c r="W468">
        <v>0</v>
      </c>
      <c r="X468" s="39">
        <v>47786.66</v>
      </c>
      <c r="Y468">
        <v>0</v>
      </c>
      <c r="Z468" s="31">
        <v>117333.34</v>
      </c>
      <c r="AA468">
        <v>8</v>
      </c>
      <c r="AB468" s="3">
        <f t="shared" si="23"/>
        <v>117333.34</v>
      </c>
      <c r="AC468" t="str">
        <f>IF(AB468-S468&lt;0,"YES","NO")</f>
        <v>YES</v>
      </c>
      <c r="AD468">
        <f>IF(AC468="NO",0,AB468-S468)</f>
        <v>-32666.660000000003</v>
      </c>
      <c r="AE468" s="43">
        <v>0.08</v>
      </c>
      <c r="AF468" s="3">
        <f t="shared" si="24"/>
        <v>-30246.907407407409</v>
      </c>
      <c r="AG468" s="45">
        <f t="shared" si="25"/>
        <v>-33271.59814814815</v>
      </c>
      <c r="AH468" s="55"/>
    </row>
    <row r="469" spans="1:34" x14ac:dyDescent="0.25">
      <c r="A469" t="s">
        <v>2003</v>
      </c>
      <c r="B469" t="s">
        <v>2004</v>
      </c>
      <c r="C469" t="s">
        <v>2005</v>
      </c>
      <c r="D469" t="s">
        <v>2006</v>
      </c>
      <c r="E469" t="s">
        <v>2007</v>
      </c>
      <c r="F469" t="s">
        <v>2008</v>
      </c>
      <c r="G469" t="s">
        <v>5</v>
      </c>
      <c r="H469" t="s">
        <v>65</v>
      </c>
      <c r="I469" t="s">
        <v>80</v>
      </c>
      <c r="J469" t="s">
        <v>81</v>
      </c>
      <c r="K469" t="s">
        <v>3</v>
      </c>
      <c r="L469" t="s">
        <v>4</v>
      </c>
      <c r="M469" t="s">
        <v>49</v>
      </c>
      <c r="N469" t="s">
        <v>2009</v>
      </c>
      <c r="O469" s="31" t="s">
        <v>2010</v>
      </c>
      <c r="P469">
        <v>220</v>
      </c>
      <c r="R469">
        <v>2</v>
      </c>
      <c r="S469" s="31">
        <v>150000</v>
      </c>
      <c r="T469" s="39">
        <v>160000</v>
      </c>
      <c r="U469">
        <v>26666.66</v>
      </c>
      <c r="V469">
        <v>16000</v>
      </c>
      <c r="W469">
        <v>0</v>
      </c>
      <c r="X469" s="39">
        <v>47786.66</v>
      </c>
      <c r="Y469">
        <v>0</v>
      </c>
      <c r="Z469" s="31">
        <v>117333.34</v>
      </c>
      <c r="AA469">
        <v>8</v>
      </c>
      <c r="AB469" s="3">
        <f t="shared" si="23"/>
        <v>117333.34</v>
      </c>
      <c r="AC469" t="str">
        <f>IF(AB469-S469&lt;0,"YES","NO")</f>
        <v>YES</v>
      </c>
      <c r="AD469">
        <f>IF(AC469="NO",0,AB469-S469)</f>
        <v>-32666.660000000003</v>
      </c>
      <c r="AE469" s="43">
        <v>0.08</v>
      </c>
      <c r="AF469" s="3">
        <f t="shared" si="24"/>
        <v>-30246.907407407409</v>
      </c>
      <c r="AG469" s="45">
        <f t="shared" si="25"/>
        <v>-33271.59814814815</v>
      </c>
      <c r="AH469" s="55"/>
    </row>
    <row r="470" spans="1:34" x14ac:dyDescent="0.25">
      <c r="A470" t="s">
        <v>2011</v>
      </c>
      <c r="B470" t="s">
        <v>2012</v>
      </c>
      <c r="C470" t="s">
        <v>2013</v>
      </c>
      <c r="D470" t="s">
        <v>2014</v>
      </c>
      <c r="E470" t="s">
        <v>2015</v>
      </c>
      <c r="F470" t="s">
        <v>2016</v>
      </c>
      <c r="G470" t="s">
        <v>5</v>
      </c>
      <c r="H470" t="s">
        <v>61</v>
      </c>
      <c r="I470" t="s">
        <v>93</v>
      </c>
      <c r="J470" t="s">
        <v>94</v>
      </c>
      <c r="K470" t="s">
        <v>3</v>
      </c>
      <c r="L470" t="s">
        <v>4</v>
      </c>
      <c r="M470" t="s">
        <v>49</v>
      </c>
      <c r="N470" t="s">
        <v>2017</v>
      </c>
      <c r="O470" s="31" t="s">
        <v>2018</v>
      </c>
      <c r="P470">
        <v>20</v>
      </c>
      <c r="Q470" t="s">
        <v>86</v>
      </c>
      <c r="R470">
        <v>1</v>
      </c>
      <c r="S470" s="31">
        <v>0</v>
      </c>
      <c r="T470" s="39">
        <v>0</v>
      </c>
      <c r="U470">
        <v>0</v>
      </c>
      <c r="V470">
        <v>0</v>
      </c>
      <c r="W470">
        <v>0</v>
      </c>
      <c r="X470" s="39">
        <v>0</v>
      </c>
      <c r="Y470">
        <v>0</v>
      </c>
      <c r="Z470" s="31">
        <v>0</v>
      </c>
      <c r="AA470">
        <v>8</v>
      </c>
      <c r="AB470" s="3">
        <f t="shared" si="23"/>
        <v>0</v>
      </c>
      <c r="AC470" t="str">
        <f>IF(AB470-S470&lt;0,"YES","NO")</f>
        <v>NO</v>
      </c>
      <c r="AD470">
        <f>IF(AC470="NO",0,AB470-S470)</f>
        <v>0</v>
      </c>
      <c r="AE470" s="43">
        <v>0.08</v>
      </c>
      <c r="AF470" s="3">
        <f t="shared" si="24"/>
        <v>0</v>
      </c>
      <c r="AG470" s="45">
        <f t="shared" si="25"/>
        <v>0</v>
      </c>
      <c r="AH470" s="55"/>
    </row>
    <row r="471" spans="1:34" x14ac:dyDescent="0.25">
      <c r="A471" t="s">
        <v>2011</v>
      </c>
      <c r="B471" t="s">
        <v>2012</v>
      </c>
      <c r="C471" t="s">
        <v>2013</v>
      </c>
      <c r="D471" t="s">
        <v>2014</v>
      </c>
      <c r="E471" t="s">
        <v>2015</v>
      </c>
      <c r="F471" t="s">
        <v>2016</v>
      </c>
      <c r="G471" t="s">
        <v>5</v>
      </c>
      <c r="H471" t="s">
        <v>65</v>
      </c>
      <c r="I471" t="s">
        <v>68</v>
      </c>
      <c r="J471" t="s">
        <v>69</v>
      </c>
      <c r="K471" t="s">
        <v>3</v>
      </c>
      <c r="L471" t="s">
        <v>4</v>
      </c>
      <c r="M471" t="s">
        <v>49</v>
      </c>
      <c r="N471" t="s">
        <v>2017</v>
      </c>
      <c r="O471" s="31" t="s">
        <v>2018</v>
      </c>
      <c r="P471">
        <v>220</v>
      </c>
      <c r="Q471" t="s">
        <v>70</v>
      </c>
      <c r="R471">
        <v>1</v>
      </c>
      <c r="S471" s="31">
        <v>59000</v>
      </c>
      <c r="T471" s="39">
        <v>65000</v>
      </c>
      <c r="U471">
        <v>11666.67</v>
      </c>
      <c r="V471">
        <v>6500</v>
      </c>
      <c r="W471">
        <v>0</v>
      </c>
      <c r="X471" s="39">
        <v>11666.67</v>
      </c>
      <c r="Y471">
        <v>0</v>
      </c>
      <c r="Z471" s="31">
        <v>46833.33</v>
      </c>
      <c r="AA471">
        <v>8</v>
      </c>
      <c r="AB471" s="3">
        <f t="shared" si="23"/>
        <v>46833.33</v>
      </c>
      <c r="AC471" t="str">
        <f>IF(AB471-S471&lt;0,"YES","NO")</f>
        <v>YES</v>
      </c>
      <c r="AD471">
        <f>IF(AC471="NO",0,AB471-S471)</f>
        <v>-12166.669999999998</v>
      </c>
      <c r="AE471" s="43">
        <v>0.08</v>
      </c>
      <c r="AF471" s="3">
        <f t="shared" si="24"/>
        <v>-11265.435185185182</v>
      </c>
      <c r="AG471" s="45">
        <f t="shared" si="25"/>
        <v>-12391.978703703702</v>
      </c>
      <c r="AH471" s="55"/>
    </row>
    <row r="472" spans="1:34" x14ac:dyDescent="0.25">
      <c r="A472" t="s">
        <v>2011</v>
      </c>
      <c r="B472" t="s">
        <v>2012</v>
      </c>
      <c r="C472" t="s">
        <v>2013</v>
      </c>
      <c r="D472" t="s">
        <v>2014</v>
      </c>
      <c r="E472" t="s">
        <v>2015</v>
      </c>
      <c r="F472" t="s">
        <v>2016</v>
      </c>
      <c r="G472" t="s">
        <v>5</v>
      </c>
      <c r="H472" t="s">
        <v>65</v>
      </c>
      <c r="I472" t="s">
        <v>71</v>
      </c>
      <c r="J472" t="s">
        <v>72</v>
      </c>
      <c r="K472" t="s">
        <v>3</v>
      </c>
      <c r="L472" t="s">
        <v>4</v>
      </c>
      <c r="M472" t="s">
        <v>49</v>
      </c>
      <c r="N472" t="s">
        <v>2017</v>
      </c>
      <c r="O472" s="31" t="s">
        <v>2018</v>
      </c>
      <c r="P472">
        <v>220</v>
      </c>
      <c r="Q472" t="s">
        <v>70</v>
      </c>
      <c r="R472">
        <v>1</v>
      </c>
      <c r="S472" s="31">
        <v>59000</v>
      </c>
      <c r="T472" s="39">
        <v>65000</v>
      </c>
      <c r="U472">
        <v>11666.67</v>
      </c>
      <c r="V472">
        <v>6500</v>
      </c>
      <c r="W472">
        <v>0</v>
      </c>
      <c r="X472" s="39">
        <v>11666.67</v>
      </c>
      <c r="Y472">
        <v>0</v>
      </c>
      <c r="Z472" s="31">
        <v>46833.33</v>
      </c>
      <c r="AA472">
        <v>8</v>
      </c>
      <c r="AB472" s="3">
        <f t="shared" si="23"/>
        <v>46833.33</v>
      </c>
      <c r="AC472" t="str">
        <f>IF(AB472-S472&lt;0,"YES","NO")</f>
        <v>YES</v>
      </c>
      <c r="AD472">
        <f>IF(AC472="NO",0,AB472-S472)</f>
        <v>-12166.669999999998</v>
      </c>
      <c r="AE472" s="43">
        <v>0.08</v>
      </c>
      <c r="AF472" s="3">
        <f t="shared" si="24"/>
        <v>-11265.435185185182</v>
      </c>
      <c r="AG472" s="45">
        <f t="shared" si="25"/>
        <v>-12391.978703703702</v>
      </c>
      <c r="AH472" s="55"/>
    </row>
    <row r="473" spans="1:34" x14ac:dyDescent="0.25">
      <c r="A473" t="s">
        <v>2011</v>
      </c>
      <c r="B473" t="s">
        <v>2012</v>
      </c>
      <c r="C473" t="s">
        <v>2013</v>
      </c>
      <c r="D473" t="s">
        <v>2014</v>
      </c>
      <c r="E473" t="s">
        <v>2015</v>
      </c>
      <c r="F473" t="s">
        <v>2016</v>
      </c>
      <c r="G473" t="s">
        <v>5</v>
      </c>
      <c r="H473" t="s">
        <v>65</v>
      </c>
      <c r="I473" t="s">
        <v>73</v>
      </c>
      <c r="J473" t="s">
        <v>74</v>
      </c>
      <c r="K473" t="s">
        <v>3</v>
      </c>
      <c r="L473" t="s">
        <v>4</v>
      </c>
      <c r="M473" t="s">
        <v>49</v>
      </c>
      <c r="N473" t="s">
        <v>2017</v>
      </c>
      <c r="O473" s="31" t="s">
        <v>2018</v>
      </c>
      <c r="P473">
        <v>220</v>
      </c>
      <c r="Q473" t="s">
        <v>70</v>
      </c>
      <c r="R473">
        <v>1</v>
      </c>
      <c r="S473" s="31">
        <v>59000</v>
      </c>
      <c r="T473" s="39">
        <v>65000</v>
      </c>
      <c r="U473">
        <v>11666.67</v>
      </c>
      <c r="V473">
        <v>6500</v>
      </c>
      <c r="W473">
        <v>0</v>
      </c>
      <c r="X473" s="39">
        <v>11666.67</v>
      </c>
      <c r="Y473">
        <v>0</v>
      </c>
      <c r="Z473" s="31">
        <v>46833.33</v>
      </c>
      <c r="AA473">
        <v>8</v>
      </c>
      <c r="AB473" s="3">
        <f t="shared" si="23"/>
        <v>46833.33</v>
      </c>
      <c r="AC473" t="str">
        <f>IF(AB473-S473&lt;0,"YES","NO")</f>
        <v>YES</v>
      </c>
      <c r="AD473">
        <f>IF(AC473="NO",0,AB473-S473)</f>
        <v>-12166.669999999998</v>
      </c>
      <c r="AE473" s="43">
        <v>0.08</v>
      </c>
      <c r="AF473" s="3">
        <f t="shared" si="24"/>
        <v>-11265.435185185182</v>
      </c>
      <c r="AG473" s="45">
        <f t="shared" si="25"/>
        <v>-12391.978703703702</v>
      </c>
      <c r="AH473" s="55"/>
    </row>
    <row r="474" spans="1:34" x14ac:dyDescent="0.25">
      <c r="A474" t="s">
        <v>2019</v>
      </c>
      <c r="B474" t="s">
        <v>2020</v>
      </c>
      <c r="C474" t="s">
        <v>2021</v>
      </c>
      <c r="D474" t="s">
        <v>2022</v>
      </c>
      <c r="E474" t="s">
        <v>2023</v>
      </c>
      <c r="F474" t="s">
        <v>2024</v>
      </c>
      <c r="G474" t="s">
        <v>5</v>
      </c>
      <c r="H474" t="s">
        <v>61</v>
      </c>
      <c r="I474" t="s">
        <v>75</v>
      </c>
      <c r="J474" t="s">
        <v>76</v>
      </c>
      <c r="K474" t="s">
        <v>3</v>
      </c>
      <c r="L474" t="s">
        <v>4</v>
      </c>
      <c r="M474" t="s">
        <v>49</v>
      </c>
      <c r="N474" t="s">
        <v>2025</v>
      </c>
      <c r="O474" s="31" t="s">
        <v>2026</v>
      </c>
      <c r="P474">
        <v>20</v>
      </c>
      <c r="Q474" t="s">
        <v>77</v>
      </c>
      <c r="R474">
        <v>1</v>
      </c>
      <c r="S474" s="31">
        <v>0</v>
      </c>
      <c r="T474" s="39">
        <v>0</v>
      </c>
      <c r="U474">
        <v>0</v>
      </c>
      <c r="V474">
        <v>0</v>
      </c>
      <c r="W474">
        <v>0</v>
      </c>
      <c r="X474" s="39">
        <v>0</v>
      </c>
      <c r="Y474">
        <v>0</v>
      </c>
      <c r="Z474" s="31">
        <v>0</v>
      </c>
      <c r="AA474">
        <v>8</v>
      </c>
      <c r="AB474" s="3">
        <f t="shared" si="23"/>
        <v>0</v>
      </c>
      <c r="AC474" t="str">
        <f>IF(AB474-S474&lt;0,"YES","NO")</f>
        <v>NO</v>
      </c>
      <c r="AD474">
        <f>IF(AC474="NO",0,AB474-S474)</f>
        <v>0</v>
      </c>
      <c r="AE474" s="43">
        <v>0.08</v>
      </c>
      <c r="AF474" s="3">
        <f t="shared" si="24"/>
        <v>0</v>
      </c>
      <c r="AG474" s="45">
        <f t="shared" si="25"/>
        <v>0</v>
      </c>
      <c r="AH474" s="55"/>
    </row>
    <row r="475" spans="1:34" x14ac:dyDescent="0.25">
      <c r="A475" t="s">
        <v>2019</v>
      </c>
      <c r="B475" t="s">
        <v>2020</v>
      </c>
      <c r="C475" t="s">
        <v>2021</v>
      </c>
      <c r="D475" t="s">
        <v>2022</v>
      </c>
      <c r="E475" t="s">
        <v>2023</v>
      </c>
      <c r="F475" t="s">
        <v>2024</v>
      </c>
      <c r="G475" t="s">
        <v>5</v>
      </c>
      <c r="H475" t="s">
        <v>65</v>
      </c>
      <c r="I475" t="s">
        <v>66</v>
      </c>
      <c r="J475" t="s">
        <v>67</v>
      </c>
      <c r="K475" t="s">
        <v>3</v>
      </c>
      <c r="L475" t="s">
        <v>4</v>
      </c>
      <c r="M475" t="s">
        <v>49</v>
      </c>
      <c r="N475" t="s">
        <v>2025</v>
      </c>
      <c r="O475" s="31" t="s">
        <v>2026</v>
      </c>
      <c r="P475">
        <v>220</v>
      </c>
      <c r="R475">
        <v>6</v>
      </c>
      <c r="S475" s="31">
        <v>450000</v>
      </c>
      <c r="T475" s="39">
        <v>480000</v>
      </c>
      <c r="U475">
        <v>75000</v>
      </c>
      <c r="V475">
        <v>48000</v>
      </c>
      <c r="W475">
        <v>0</v>
      </c>
      <c r="X475" s="39">
        <v>135690</v>
      </c>
      <c r="Y475">
        <v>0</v>
      </c>
      <c r="Z475" s="31">
        <v>357000</v>
      </c>
      <c r="AA475">
        <v>8</v>
      </c>
      <c r="AB475" s="3">
        <f t="shared" si="23"/>
        <v>357000</v>
      </c>
      <c r="AC475" t="str">
        <f>IF(AB475-S475&lt;0,"YES","NO")</f>
        <v>YES</v>
      </c>
      <c r="AD475">
        <f>IF(AC475="NO",0,AB475-S475)</f>
        <v>-93000</v>
      </c>
      <c r="AE475" s="43">
        <v>0.08</v>
      </c>
      <c r="AF475" s="3">
        <f t="shared" si="24"/>
        <v>-86111.111111111109</v>
      </c>
      <c r="AG475" s="45">
        <f t="shared" si="25"/>
        <v>-94722.222222222234</v>
      </c>
      <c r="AH475" s="55"/>
    </row>
    <row r="476" spans="1:34" x14ac:dyDescent="0.25">
      <c r="A476" t="s">
        <v>2027</v>
      </c>
      <c r="B476" t="s">
        <v>2028</v>
      </c>
      <c r="C476" t="s">
        <v>2029</v>
      </c>
      <c r="D476" t="s">
        <v>2030</v>
      </c>
      <c r="E476" t="s">
        <v>2031</v>
      </c>
      <c r="F476" t="s">
        <v>2032</v>
      </c>
      <c r="G476" t="s">
        <v>5</v>
      </c>
      <c r="H476" t="s">
        <v>61</v>
      </c>
      <c r="I476" t="s">
        <v>93</v>
      </c>
      <c r="J476" t="s">
        <v>94</v>
      </c>
      <c r="K476" t="s">
        <v>3</v>
      </c>
      <c r="L476" t="s">
        <v>4</v>
      </c>
      <c r="M476" t="s">
        <v>49</v>
      </c>
      <c r="N476" t="s">
        <v>2033</v>
      </c>
      <c r="O476" s="31" t="s">
        <v>2034</v>
      </c>
      <c r="P476">
        <v>20</v>
      </c>
      <c r="Q476" t="s">
        <v>86</v>
      </c>
      <c r="R476">
        <v>1</v>
      </c>
      <c r="S476" s="31">
        <v>0</v>
      </c>
      <c r="T476" s="39">
        <v>0</v>
      </c>
      <c r="U476">
        <v>0</v>
      </c>
      <c r="V476">
        <v>0</v>
      </c>
      <c r="W476">
        <v>0</v>
      </c>
      <c r="X476" s="39">
        <v>0</v>
      </c>
      <c r="Y476">
        <v>0</v>
      </c>
      <c r="Z476" s="31">
        <v>0</v>
      </c>
      <c r="AA476">
        <v>8</v>
      </c>
      <c r="AB476" s="3">
        <f t="shared" si="23"/>
        <v>0</v>
      </c>
      <c r="AC476" t="str">
        <f>IF(AB476-S476&lt;0,"YES","NO")</f>
        <v>NO</v>
      </c>
      <c r="AD476">
        <f>IF(AC476="NO",0,AB476-S476)</f>
        <v>0</v>
      </c>
      <c r="AE476" s="43">
        <v>0.08</v>
      </c>
      <c r="AF476" s="3">
        <f t="shared" si="24"/>
        <v>0</v>
      </c>
      <c r="AG476" s="45">
        <f t="shared" si="25"/>
        <v>0</v>
      </c>
      <c r="AH476" s="55"/>
    </row>
    <row r="477" spans="1:34" x14ac:dyDescent="0.25">
      <c r="A477" t="s">
        <v>2027</v>
      </c>
      <c r="B477" t="s">
        <v>2028</v>
      </c>
      <c r="C477" t="s">
        <v>2029</v>
      </c>
      <c r="D477" t="s">
        <v>2030</v>
      </c>
      <c r="E477" t="s">
        <v>2031</v>
      </c>
      <c r="F477" t="s">
        <v>2032</v>
      </c>
      <c r="G477" t="s">
        <v>5</v>
      </c>
      <c r="H477" t="s">
        <v>65</v>
      </c>
      <c r="I477" t="s">
        <v>100</v>
      </c>
      <c r="J477" t="s">
        <v>101</v>
      </c>
      <c r="K477" t="s">
        <v>3</v>
      </c>
      <c r="L477" t="s">
        <v>4</v>
      </c>
      <c r="M477" t="s">
        <v>49</v>
      </c>
      <c r="N477" t="s">
        <v>2033</v>
      </c>
      <c r="O477" s="31" t="s">
        <v>2034</v>
      </c>
      <c r="P477">
        <v>200</v>
      </c>
      <c r="R477">
        <v>6</v>
      </c>
      <c r="S477" s="31">
        <v>432000</v>
      </c>
      <c r="T477" s="39">
        <v>480000</v>
      </c>
      <c r="U477">
        <v>79999.98</v>
      </c>
      <c r="V477">
        <v>48000</v>
      </c>
      <c r="W477">
        <v>0</v>
      </c>
      <c r="X477" s="39">
        <v>150400.01999999999</v>
      </c>
      <c r="Y477">
        <v>0</v>
      </c>
      <c r="Z477" s="31">
        <v>352000.02</v>
      </c>
      <c r="AA477">
        <v>8</v>
      </c>
      <c r="AB477" s="3">
        <f t="shared" si="23"/>
        <v>352000.02</v>
      </c>
      <c r="AC477" t="str">
        <f>IF(AB477-S477&lt;0,"YES","NO")</f>
        <v>YES</v>
      </c>
      <c r="AD477">
        <f>IF(AC477="NO",0,AB477-S477)</f>
        <v>-79999.979999999981</v>
      </c>
      <c r="AE477" s="43">
        <v>0.08</v>
      </c>
      <c r="AF477" s="3">
        <f t="shared" si="24"/>
        <v>-74074.055555555533</v>
      </c>
      <c r="AG477" s="45">
        <f t="shared" si="25"/>
        <v>-81481.461111111086</v>
      </c>
      <c r="AH477" s="55"/>
    </row>
    <row r="478" spans="1:34" x14ac:dyDescent="0.25">
      <c r="A478" t="s">
        <v>2035</v>
      </c>
      <c r="B478" t="s">
        <v>2036</v>
      </c>
      <c r="C478" t="s">
        <v>2037</v>
      </c>
      <c r="D478" t="s">
        <v>2038</v>
      </c>
      <c r="E478" t="s">
        <v>2039</v>
      </c>
      <c r="F478" t="s">
        <v>2040</v>
      </c>
      <c r="G478" t="s">
        <v>5</v>
      </c>
      <c r="H478" t="s">
        <v>61</v>
      </c>
      <c r="I478" t="s">
        <v>75</v>
      </c>
      <c r="J478" t="s">
        <v>76</v>
      </c>
      <c r="K478" t="s">
        <v>3</v>
      </c>
      <c r="L478" t="s">
        <v>4</v>
      </c>
      <c r="M478" t="s">
        <v>49</v>
      </c>
      <c r="N478" t="s">
        <v>2041</v>
      </c>
      <c r="O478" s="31" t="s">
        <v>2042</v>
      </c>
      <c r="P478">
        <v>20</v>
      </c>
      <c r="Q478" t="s">
        <v>77</v>
      </c>
      <c r="R478">
        <v>1</v>
      </c>
      <c r="S478" s="31">
        <v>0</v>
      </c>
      <c r="T478" s="39">
        <v>0</v>
      </c>
      <c r="U478">
        <v>0</v>
      </c>
      <c r="V478">
        <v>0</v>
      </c>
      <c r="W478">
        <v>0</v>
      </c>
      <c r="X478" s="39">
        <v>0</v>
      </c>
      <c r="Y478">
        <v>0</v>
      </c>
      <c r="Z478" s="31">
        <v>0</v>
      </c>
      <c r="AA478">
        <v>8</v>
      </c>
      <c r="AB478" s="3">
        <f t="shared" si="23"/>
        <v>0</v>
      </c>
      <c r="AC478" t="str">
        <f>IF(AB478-S478&lt;0,"YES","NO")</f>
        <v>NO</v>
      </c>
      <c r="AD478">
        <f>IF(AC478="NO",0,AB478-S478)</f>
        <v>0</v>
      </c>
      <c r="AE478" s="43">
        <v>0.08</v>
      </c>
      <c r="AF478" s="3">
        <f t="shared" si="24"/>
        <v>0</v>
      </c>
      <c r="AG478" s="45">
        <f t="shared" si="25"/>
        <v>0</v>
      </c>
      <c r="AH478" s="55"/>
    </row>
    <row r="479" spans="1:34" x14ac:dyDescent="0.25">
      <c r="A479" t="s">
        <v>2035</v>
      </c>
      <c r="B479" t="s">
        <v>2036</v>
      </c>
      <c r="C479" t="s">
        <v>2037</v>
      </c>
      <c r="D479" t="s">
        <v>2038</v>
      </c>
      <c r="E479" t="s">
        <v>2039</v>
      </c>
      <c r="F479" t="s">
        <v>2040</v>
      </c>
      <c r="G479" t="s">
        <v>5</v>
      </c>
      <c r="H479" t="s">
        <v>65</v>
      </c>
      <c r="I479" t="s">
        <v>66</v>
      </c>
      <c r="J479" t="s">
        <v>67</v>
      </c>
      <c r="K479" t="s">
        <v>3</v>
      </c>
      <c r="L479" t="s">
        <v>4</v>
      </c>
      <c r="M479" t="s">
        <v>49</v>
      </c>
      <c r="N479" t="s">
        <v>2041</v>
      </c>
      <c r="O479" s="31" t="s">
        <v>2042</v>
      </c>
      <c r="P479">
        <v>220</v>
      </c>
      <c r="R479">
        <v>2</v>
      </c>
      <c r="S479" s="31">
        <v>150000</v>
      </c>
      <c r="T479" s="39">
        <v>160000</v>
      </c>
      <c r="U479">
        <v>20000</v>
      </c>
      <c r="V479">
        <v>16000</v>
      </c>
      <c r="W479">
        <v>0</v>
      </c>
      <c r="X479" s="39">
        <v>44800</v>
      </c>
      <c r="Y479">
        <v>0</v>
      </c>
      <c r="Z479" s="31">
        <v>124000</v>
      </c>
      <c r="AA479">
        <v>8</v>
      </c>
      <c r="AB479" s="3">
        <f t="shared" si="23"/>
        <v>124000</v>
      </c>
      <c r="AC479" t="str">
        <f>IF(AB479-S479&lt;0,"YES","NO")</f>
        <v>YES</v>
      </c>
      <c r="AD479">
        <f>IF(AC479="NO",0,AB479-S479)</f>
        <v>-26000</v>
      </c>
      <c r="AE479" s="43">
        <v>0.08</v>
      </c>
      <c r="AF479" s="3">
        <f t="shared" si="24"/>
        <v>-24074.074074074073</v>
      </c>
      <c r="AG479" s="45">
        <f t="shared" si="25"/>
        <v>-26481.481481481482</v>
      </c>
      <c r="AH479" s="55"/>
    </row>
    <row r="480" spans="1:34" x14ac:dyDescent="0.25">
      <c r="A480" t="s">
        <v>2043</v>
      </c>
      <c r="B480" t="s">
        <v>2044</v>
      </c>
      <c r="C480" t="s">
        <v>2045</v>
      </c>
      <c r="D480" t="s">
        <v>2046</v>
      </c>
      <c r="E480" t="s">
        <v>2047</v>
      </c>
      <c r="F480" t="s">
        <v>2048</v>
      </c>
      <c r="G480" t="s">
        <v>5</v>
      </c>
      <c r="H480" t="s">
        <v>61</v>
      </c>
      <c r="I480" t="s">
        <v>62</v>
      </c>
      <c r="J480" t="s">
        <v>63</v>
      </c>
      <c r="K480" t="s">
        <v>3</v>
      </c>
      <c r="L480" t="s">
        <v>4</v>
      </c>
      <c r="M480" t="s">
        <v>49</v>
      </c>
      <c r="N480" t="s">
        <v>2049</v>
      </c>
      <c r="O480" s="31" t="s">
        <v>2050</v>
      </c>
      <c r="P480">
        <v>20000</v>
      </c>
      <c r="Q480" t="s">
        <v>64</v>
      </c>
      <c r="R480">
        <v>1</v>
      </c>
      <c r="S480" s="31">
        <v>0</v>
      </c>
      <c r="T480" s="39">
        <v>0</v>
      </c>
      <c r="U480">
        <v>0</v>
      </c>
      <c r="V480">
        <v>0</v>
      </c>
      <c r="W480">
        <v>0</v>
      </c>
      <c r="X480" s="39">
        <v>0</v>
      </c>
      <c r="Y480">
        <v>0</v>
      </c>
      <c r="Z480" s="31">
        <v>0</v>
      </c>
      <c r="AA480">
        <v>8</v>
      </c>
      <c r="AB480" s="3">
        <f t="shared" si="23"/>
        <v>0</v>
      </c>
      <c r="AC480" t="str">
        <f>IF(AB480-S480&lt;0,"YES","NO")</f>
        <v>NO</v>
      </c>
      <c r="AD480">
        <f>IF(AC480="NO",0,AB480-S480)</f>
        <v>0</v>
      </c>
      <c r="AE480" s="43">
        <v>0.08</v>
      </c>
      <c r="AF480" s="3">
        <f t="shared" si="24"/>
        <v>0</v>
      </c>
      <c r="AG480" s="45">
        <f t="shared" si="25"/>
        <v>0</v>
      </c>
      <c r="AH480" s="55"/>
    </row>
    <row r="481" spans="1:34" x14ac:dyDescent="0.25">
      <c r="A481" t="s">
        <v>2043</v>
      </c>
      <c r="B481" t="s">
        <v>2044</v>
      </c>
      <c r="C481" t="s">
        <v>2045</v>
      </c>
      <c r="D481" t="s">
        <v>2046</v>
      </c>
      <c r="E481" t="s">
        <v>2047</v>
      </c>
      <c r="F481" t="s">
        <v>2048</v>
      </c>
      <c r="G481" t="s">
        <v>5</v>
      </c>
      <c r="H481" t="s">
        <v>65</v>
      </c>
      <c r="I481" t="s">
        <v>68</v>
      </c>
      <c r="J481" t="s">
        <v>69</v>
      </c>
      <c r="K481" t="s">
        <v>3</v>
      </c>
      <c r="L481" t="s">
        <v>4</v>
      </c>
      <c r="M481" t="s">
        <v>49</v>
      </c>
      <c r="N481" t="s">
        <v>2049</v>
      </c>
      <c r="O481" s="31" t="s">
        <v>2050</v>
      </c>
      <c r="P481">
        <v>220</v>
      </c>
      <c r="Q481" t="s">
        <v>70</v>
      </c>
      <c r="R481">
        <v>1</v>
      </c>
      <c r="S481" s="31">
        <v>59000</v>
      </c>
      <c r="T481" s="39">
        <v>65000</v>
      </c>
      <c r="U481">
        <v>11666.67</v>
      </c>
      <c r="V481">
        <v>6500</v>
      </c>
      <c r="W481">
        <v>0</v>
      </c>
      <c r="X481" s="39">
        <v>18223.330000000002</v>
      </c>
      <c r="Y481">
        <v>0</v>
      </c>
      <c r="Z481" s="31">
        <v>46833.33</v>
      </c>
      <c r="AA481">
        <v>8</v>
      </c>
      <c r="AB481" s="3">
        <f t="shared" si="23"/>
        <v>46833.33</v>
      </c>
      <c r="AC481" t="str">
        <f>IF(AB481-S481&lt;0,"YES","NO")</f>
        <v>YES</v>
      </c>
      <c r="AD481">
        <f>IF(AC481="NO",0,AB481-S481)</f>
        <v>-12166.669999999998</v>
      </c>
      <c r="AE481" s="43">
        <v>0.08</v>
      </c>
      <c r="AF481" s="3">
        <f t="shared" si="24"/>
        <v>-11265.435185185182</v>
      </c>
      <c r="AG481" s="45">
        <f t="shared" si="25"/>
        <v>-12391.978703703702</v>
      </c>
      <c r="AH481" s="55"/>
    </row>
    <row r="482" spans="1:34" x14ac:dyDescent="0.25">
      <c r="A482" t="s">
        <v>2043</v>
      </c>
      <c r="B482" t="s">
        <v>2044</v>
      </c>
      <c r="C482" t="s">
        <v>2045</v>
      </c>
      <c r="D482" t="s">
        <v>2046</v>
      </c>
      <c r="E482" t="s">
        <v>2047</v>
      </c>
      <c r="F482" t="s">
        <v>2048</v>
      </c>
      <c r="G482" t="s">
        <v>5</v>
      </c>
      <c r="H482" t="s">
        <v>65</v>
      </c>
      <c r="I482" t="s">
        <v>71</v>
      </c>
      <c r="J482" t="s">
        <v>72</v>
      </c>
      <c r="K482" t="s">
        <v>3</v>
      </c>
      <c r="L482" t="s">
        <v>4</v>
      </c>
      <c r="M482" t="s">
        <v>49</v>
      </c>
      <c r="N482" t="s">
        <v>2049</v>
      </c>
      <c r="O482" s="31" t="s">
        <v>2050</v>
      </c>
      <c r="P482">
        <v>220</v>
      </c>
      <c r="Q482" t="s">
        <v>70</v>
      </c>
      <c r="R482">
        <v>1</v>
      </c>
      <c r="S482" s="31">
        <v>59000</v>
      </c>
      <c r="T482" s="39">
        <v>65000</v>
      </c>
      <c r="U482">
        <v>11666.67</v>
      </c>
      <c r="V482">
        <v>6500</v>
      </c>
      <c r="W482">
        <v>0</v>
      </c>
      <c r="X482" s="39">
        <v>18223.330000000002</v>
      </c>
      <c r="Y482">
        <v>0</v>
      </c>
      <c r="Z482" s="31">
        <v>46833.33</v>
      </c>
      <c r="AA482">
        <v>8</v>
      </c>
      <c r="AB482" s="3">
        <f t="shared" si="23"/>
        <v>46833.33</v>
      </c>
      <c r="AC482" t="str">
        <f>IF(AB482-S482&lt;0,"YES","NO")</f>
        <v>YES</v>
      </c>
      <c r="AD482">
        <f>IF(AC482="NO",0,AB482-S482)</f>
        <v>-12166.669999999998</v>
      </c>
      <c r="AE482" s="43">
        <v>0.08</v>
      </c>
      <c r="AF482" s="3">
        <f t="shared" si="24"/>
        <v>-11265.435185185182</v>
      </c>
      <c r="AG482" s="45">
        <f t="shared" si="25"/>
        <v>-12391.978703703702</v>
      </c>
      <c r="AH482" s="55"/>
    </row>
    <row r="483" spans="1:34" x14ac:dyDescent="0.25">
      <c r="A483" t="s">
        <v>2043</v>
      </c>
      <c r="B483" t="s">
        <v>2044</v>
      </c>
      <c r="C483" t="s">
        <v>2045</v>
      </c>
      <c r="D483" t="s">
        <v>2046</v>
      </c>
      <c r="E483" t="s">
        <v>2047</v>
      </c>
      <c r="F483" t="s">
        <v>2048</v>
      </c>
      <c r="G483" t="s">
        <v>5</v>
      </c>
      <c r="H483" t="s">
        <v>65</v>
      </c>
      <c r="I483" t="s">
        <v>73</v>
      </c>
      <c r="J483" t="s">
        <v>74</v>
      </c>
      <c r="K483" t="s">
        <v>3</v>
      </c>
      <c r="L483" t="s">
        <v>4</v>
      </c>
      <c r="M483" t="s">
        <v>49</v>
      </c>
      <c r="N483" t="s">
        <v>2049</v>
      </c>
      <c r="O483" s="31" t="s">
        <v>2050</v>
      </c>
      <c r="P483">
        <v>220</v>
      </c>
      <c r="Q483" t="s">
        <v>70</v>
      </c>
      <c r="R483">
        <v>1</v>
      </c>
      <c r="S483" s="31">
        <v>59000</v>
      </c>
      <c r="T483" s="39">
        <v>65000</v>
      </c>
      <c r="U483">
        <v>11666.67</v>
      </c>
      <c r="V483">
        <v>6500</v>
      </c>
      <c r="W483">
        <v>0</v>
      </c>
      <c r="X483" s="39">
        <v>18223.330000000002</v>
      </c>
      <c r="Y483">
        <v>0</v>
      </c>
      <c r="Z483" s="31">
        <v>46833.33</v>
      </c>
      <c r="AA483">
        <v>8</v>
      </c>
      <c r="AB483" s="3">
        <f t="shared" si="23"/>
        <v>46833.33</v>
      </c>
      <c r="AC483" t="str">
        <f>IF(AB483-S483&lt;0,"YES","NO")</f>
        <v>YES</v>
      </c>
      <c r="AD483">
        <f>IF(AC483="NO",0,AB483-S483)</f>
        <v>-12166.669999999998</v>
      </c>
      <c r="AE483" s="43">
        <v>0.08</v>
      </c>
      <c r="AF483" s="3">
        <f t="shared" si="24"/>
        <v>-11265.435185185182</v>
      </c>
      <c r="AG483" s="45">
        <f t="shared" si="25"/>
        <v>-12391.978703703702</v>
      </c>
      <c r="AH483" s="55"/>
    </row>
    <row r="484" spans="1:34" x14ac:dyDescent="0.25">
      <c r="A484" t="s">
        <v>2051</v>
      </c>
      <c r="B484" t="s">
        <v>2052</v>
      </c>
      <c r="C484" t="s">
        <v>2053</v>
      </c>
      <c r="D484" t="s">
        <v>2054</v>
      </c>
      <c r="E484" t="s">
        <v>2055</v>
      </c>
      <c r="F484" t="s">
        <v>2056</v>
      </c>
      <c r="G484" t="s">
        <v>5</v>
      </c>
      <c r="H484" t="s">
        <v>61</v>
      </c>
      <c r="I484" t="s">
        <v>75</v>
      </c>
      <c r="J484" t="s">
        <v>76</v>
      </c>
      <c r="K484" t="s">
        <v>3</v>
      </c>
      <c r="L484" t="s">
        <v>4</v>
      </c>
      <c r="M484" t="s">
        <v>49</v>
      </c>
      <c r="N484" t="s">
        <v>2057</v>
      </c>
      <c r="O484" s="31" t="s">
        <v>2058</v>
      </c>
      <c r="P484">
        <v>20</v>
      </c>
      <c r="Q484" t="s">
        <v>77</v>
      </c>
      <c r="R484">
        <v>1</v>
      </c>
      <c r="S484" s="31">
        <v>0</v>
      </c>
      <c r="T484" s="39">
        <v>0</v>
      </c>
      <c r="U484">
        <v>0</v>
      </c>
      <c r="V484">
        <v>0</v>
      </c>
      <c r="W484">
        <v>0</v>
      </c>
      <c r="X484" s="39">
        <v>0</v>
      </c>
      <c r="Y484">
        <v>0</v>
      </c>
      <c r="Z484" s="31">
        <v>0</v>
      </c>
      <c r="AA484">
        <v>8</v>
      </c>
      <c r="AB484" s="3">
        <f t="shared" si="23"/>
        <v>0</v>
      </c>
      <c r="AC484" t="str">
        <f>IF(AB484-S484&lt;0,"YES","NO")</f>
        <v>NO</v>
      </c>
      <c r="AD484">
        <f>IF(AC484="NO",0,AB484-S484)</f>
        <v>0</v>
      </c>
      <c r="AE484" s="43">
        <v>0.08</v>
      </c>
      <c r="AF484" s="3">
        <f t="shared" si="24"/>
        <v>0</v>
      </c>
      <c r="AG484" s="45">
        <f t="shared" si="25"/>
        <v>0</v>
      </c>
      <c r="AH484" s="55"/>
    </row>
    <row r="485" spans="1:34" x14ac:dyDescent="0.25">
      <c r="A485" t="s">
        <v>2051</v>
      </c>
      <c r="B485" t="s">
        <v>2052</v>
      </c>
      <c r="C485" t="s">
        <v>2053</v>
      </c>
      <c r="D485" t="s">
        <v>2054</v>
      </c>
      <c r="E485" t="s">
        <v>2055</v>
      </c>
      <c r="F485" t="s">
        <v>2056</v>
      </c>
      <c r="G485" t="s">
        <v>5</v>
      </c>
      <c r="H485" t="s">
        <v>65</v>
      </c>
      <c r="I485" t="s">
        <v>66</v>
      </c>
      <c r="J485" t="s">
        <v>67</v>
      </c>
      <c r="K485" t="s">
        <v>3</v>
      </c>
      <c r="L485" t="s">
        <v>4</v>
      </c>
      <c r="M485" t="s">
        <v>49</v>
      </c>
      <c r="N485" t="s">
        <v>2057</v>
      </c>
      <c r="O485" s="31" t="s">
        <v>2058</v>
      </c>
      <c r="P485">
        <v>220</v>
      </c>
      <c r="R485">
        <v>2</v>
      </c>
      <c r="S485" s="31">
        <v>150000</v>
      </c>
      <c r="T485" s="39">
        <v>160000</v>
      </c>
      <c r="U485">
        <v>20000</v>
      </c>
      <c r="V485">
        <v>16000</v>
      </c>
      <c r="W485">
        <v>0</v>
      </c>
      <c r="X485" s="39">
        <v>44800</v>
      </c>
      <c r="Y485">
        <v>0</v>
      </c>
      <c r="Z485" s="31">
        <v>124000</v>
      </c>
      <c r="AA485">
        <v>8</v>
      </c>
      <c r="AB485" s="3">
        <f t="shared" si="23"/>
        <v>124000</v>
      </c>
      <c r="AC485" t="str">
        <f>IF(AB485-S485&lt;0,"YES","NO")</f>
        <v>YES</v>
      </c>
      <c r="AD485">
        <f>IF(AC485="NO",0,AB485-S485)</f>
        <v>-26000</v>
      </c>
      <c r="AE485" s="43">
        <v>0.08</v>
      </c>
      <c r="AF485" s="3">
        <f t="shared" si="24"/>
        <v>-24074.074074074073</v>
      </c>
      <c r="AG485" s="45">
        <f t="shared" si="25"/>
        <v>-26481.481481481482</v>
      </c>
      <c r="AH485" s="55"/>
    </row>
    <row r="486" spans="1:34" x14ac:dyDescent="0.25">
      <c r="A486" t="s">
        <v>2059</v>
      </c>
      <c r="B486" t="s">
        <v>2060</v>
      </c>
      <c r="C486" t="s">
        <v>2061</v>
      </c>
      <c r="D486" t="s">
        <v>2062</v>
      </c>
      <c r="E486" t="s">
        <v>2063</v>
      </c>
      <c r="F486" t="s">
        <v>2064</v>
      </c>
      <c r="G486" t="s">
        <v>5</v>
      </c>
      <c r="H486" t="s">
        <v>65</v>
      </c>
      <c r="I486" t="s">
        <v>68</v>
      </c>
      <c r="J486" t="s">
        <v>69</v>
      </c>
      <c r="K486" t="s">
        <v>3</v>
      </c>
      <c r="L486" t="s">
        <v>4</v>
      </c>
      <c r="M486" t="s">
        <v>49</v>
      </c>
      <c r="N486" t="s">
        <v>2065</v>
      </c>
      <c r="O486" s="31" t="s">
        <v>2066</v>
      </c>
      <c r="P486">
        <v>220</v>
      </c>
      <c r="Q486" t="s">
        <v>70</v>
      </c>
      <c r="R486">
        <v>1</v>
      </c>
      <c r="S486" s="31">
        <v>59000</v>
      </c>
      <c r="T486" s="39">
        <v>65000</v>
      </c>
      <c r="U486">
        <v>11666.67</v>
      </c>
      <c r="V486">
        <v>6500</v>
      </c>
      <c r="W486">
        <v>0</v>
      </c>
      <c r="X486" s="39">
        <v>19160</v>
      </c>
      <c r="Y486">
        <v>0</v>
      </c>
      <c r="Z486" s="31">
        <v>46833.33</v>
      </c>
      <c r="AA486">
        <v>8</v>
      </c>
      <c r="AB486" s="3">
        <f t="shared" si="23"/>
        <v>46833.33</v>
      </c>
      <c r="AC486" t="str">
        <f>IF(AB486-S486&lt;0,"YES","NO")</f>
        <v>YES</v>
      </c>
      <c r="AD486">
        <f>IF(AC486="NO",0,AB486-S486)</f>
        <v>-12166.669999999998</v>
      </c>
      <c r="AE486" s="43">
        <v>0.08</v>
      </c>
      <c r="AF486" s="3">
        <f t="shared" si="24"/>
        <v>-11265.435185185182</v>
      </c>
      <c r="AG486" s="45">
        <f t="shared" si="25"/>
        <v>-12391.978703703702</v>
      </c>
      <c r="AH486" s="55"/>
    </row>
    <row r="487" spans="1:34" x14ac:dyDescent="0.25">
      <c r="A487" t="s">
        <v>2059</v>
      </c>
      <c r="B487" t="s">
        <v>2060</v>
      </c>
      <c r="C487" t="s">
        <v>2061</v>
      </c>
      <c r="D487" t="s">
        <v>2062</v>
      </c>
      <c r="E487" t="s">
        <v>2063</v>
      </c>
      <c r="F487" t="s">
        <v>2064</v>
      </c>
      <c r="G487" t="s">
        <v>5</v>
      </c>
      <c r="H487" t="s">
        <v>65</v>
      </c>
      <c r="I487" t="s">
        <v>71</v>
      </c>
      <c r="J487" t="s">
        <v>72</v>
      </c>
      <c r="K487" t="s">
        <v>3</v>
      </c>
      <c r="L487" t="s">
        <v>4</v>
      </c>
      <c r="M487" t="s">
        <v>49</v>
      </c>
      <c r="N487" t="s">
        <v>2065</v>
      </c>
      <c r="O487" s="31" t="s">
        <v>2066</v>
      </c>
      <c r="P487">
        <v>220</v>
      </c>
      <c r="Q487" t="s">
        <v>70</v>
      </c>
      <c r="R487">
        <v>1</v>
      </c>
      <c r="S487" s="31">
        <v>59000</v>
      </c>
      <c r="T487" s="39">
        <v>65000</v>
      </c>
      <c r="U487">
        <v>11666.67</v>
      </c>
      <c r="V487">
        <v>6500</v>
      </c>
      <c r="W487">
        <v>0</v>
      </c>
      <c r="X487" s="39">
        <v>19160</v>
      </c>
      <c r="Y487">
        <v>0</v>
      </c>
      <c r="Z487" s="31">
        <v>46833.33</v>
      </c>
      <c r="AA487">
        <v>8</v>
      </c>
      <c r="AB487" s="3">
        <f t="shared" si="23"/>
        <v>46833.33</v>
      </c>
      <c r="AC487" t="str">
        <f>IF(AB487-S487&lt;0,"YES","NO")</f>
        <v>YES</v>
      </c>
      <c r="AD487">
        <f>IF(AC487="NO",0,AB487-S487)</f>
        <v>-12166.669999999998</v>
      </c>
      <c r="AE487" s="43">
        <v>0.08</v>
      </c>
      <c r="AF487" s="3">
        <f t="shared" si="24"/>
        <v>-11265.435185185182</v>
      </c>
      <c r="AG487" s="45">
        <f t="shared" si="25"/>
        <v>-12391.978703703702</v>
      </c>
      <c r="AH487" s="55"/>
    </row>
    <row r="488" spans="1:34" x14ac:dyDescent="0.25">
      <c r="A488" t="s">
        <v>2059</v>
      </c>
      <c r="B488" t="s">
        <v>2060</v>
      </c>
      <c r="C488" t="s">
        <v>2061</v>
      </c>
      <c r="D488" t="s">
        <v>2062</v>
      </c>
      <c r="E488" t="s">
        <v>2063</v>
      </c>
      <c r="F488" t="s">
        <v>2064</v>
      </c>
      <c r="G488" t="s">
        <v>5</v>
      </c>
      <c r="H488" t="s">
        <v>65</v>
      </c>
      <c r="I488" t="s">
        <v>73</v>
      </c>
      <c r="J488" t="s">
        <v>74</v>
      </c>
      <c r="K488" t="s">
        <v>3</v>
      </c>
      <c r="L488" t="s">
        <v>4</v>
      </c>
      <c r="M488" t="s">
        <v>49</v>
      </c>
      <c r="N488" t="s">
        <v>2065</v>
      </c>
      <c r="O488" s="31" t="s">
        <v>2066</v>
      </c>
      <c r="P488">
        <v>220</v>
      </c>
      <c r="Q488" t="s">
        <v>70</v>
      </c>
      <c r="R488">
        <v>1</v>
      </c>
      <c r="S488" s="31">
        <v>59000</v>
      </c>
      <c r="T488" s="39">
        <v>65000</v>
      </c>
      <c r="U488">
        <v>11666.67</v>
      </c>
      <c r="V488">
        <v>6500</v>
      </c>
      <c r="W488">
        <v>0</v>
      </c>
      <c r="X488" s="39">
        <v>19160</v>
      </c>
      <c r="Y488">
        <v>0</v>
      </c>
      <c r="Z488" s="31">
        <v>46833.33</v>
      </c>
      <c r="AA488">
        <v>8</v>
      </c>
      <c r="AB488" s="3">
        <f t="shared" si="23"/>
        <v>46833.33</v>
      </c>
      <c r="AC488" t="str">
        <f>IF(AB488-S488&lt;0,"YES","NO")</f>
        <v>YES</v>
      </c>
      <c r="AD488">
        <f>IF(AC488="NO",0,AB488-S488)</f>
        <v>-12166.669999999998</v>
      </c>
      <c r="AE488" s="43">
        <v>0.08</v>
      </c>
      <c r="AF488" s="3">
        <f t="shared" si="24"/>
        <v>-11265.435185185182</v>
      </c>
      <c r="AG488" s="45">
        <f t="shared" si="25"/>
        <v>-12391.978703703702</v>
      </c>
      <c r="AH488" s="55"/>
    </row>
    <row r="489" spans="1:34" x14ac:dyDescent="0.25">
      <c r="A489" t="s">
        <v>2059</v>
      </c>
      <c r="B489" t="s">
        <v>2060</v>
      </c>
      <c r="C489" t="s">
        <v>2061</v>
      </c>
      <c r="D489" t="s">
        <v>2062</v>
      </c>
      <c r="E489" t="s">
        <v>2063</v>
      </c>
      <c r="F489" t="s">
        <v>2064</v>
      </c>
      <c r="G489" t="s">
        <v>5</v>
      </c>
      <c r="H489" t="s">
        <v>65</v>
      </c>
      <c r="I489" t="s">
        <v>66</v>
      </c>
      <c r="J489" t="s">
        <v>67</v>
      </c>
      <c r="K489" t="s">
        <v>3</v>
      </c>
      <c r="L489" t="s">
        <v>4</v>
      </c>
      <c r="M489" t="s">
        <v>49</v>
      </c>
      <c r="N489" t="s">
        <v>2065</v>
      </c>
      <c r="O489" s="31" t="s">
        <v>2066</v>
      </c>
      <c r="P489">
        <v>220</v>
      </c>
      <c r="R489">
        <v>2</v>
      </c>
      <c r="S489" s="31">
        <v>150000</v>
      </c>
      <c r="T489" s="39">
        <v>160000</v>
      </c>
      <c r="U489">
        <v>0</v>
      </c>
      <c r="V489">
        <v>16000</v>
      </c>
      <c r="W489">
        <v>0</v>
      </c>
      <c r="X489" s="39">
        <v>23040</v>
      </c>
      <c r="Y489">
        <v>0</v>
      </c>
      <c r="Z489" s="31">
        <v>144000</v>
      </c>
      <c r="AA489">
        <v>8</v>
      </c>
      <c r="AB489" s="3">
        <f t="shared" si="23"/>
        <v>144000</v>
      </c>
      <c r="AC489" t="str">
        <f>IF(AB489-S489&lt;0,"YES","NO")</f>
        <v>YES</v>
      </c>
      <c r="AD489">
        <f>IF(AC489="NO",0,AB489-S489)</f>
        <v>-6000</v>
      </c>
      <c r="AE489" s="43">
        <v>0.08</v>
      </c>
      <c r="AF489" s="3">
        <f t="shared" si="24"/>
        <v>-5555.5555555555547</v>
      </c>
      <c r="AG489" s="45">
        <f t="shared" si="25"/>
        <v>-6111.1111111111104</v>
      </c>
      <c r="AH489" s="55"/>
    </row>
    <row r="490" spans="1:34" x14ac:dyDescent="0.25">
      <c r="A490" t="s">
        <v>2067</v>
      </c>
      <c r="B490" t="s">
        <v>2068</v>
      </c>
      <c r="C490" t="s">
        <v>2069</v>
      </c>
      <c r="D490" t="s">
        <v>2070</v>
      </c>
      <c r="E490" t="s">
        <v>2071</v>
      </c>
      <c r="F490" t="s">
        <v>2072</v>
      </c>
      <c r="G490" t="s">
        <v>5</v>
      </c>
      <c r="H490" t="s">
        <v>65</v>
      </c>
      <c r="I490" t="s">
        <v>66</v>
      </c>
      <c r="J490" t="s">
        <v>67</v>
      </c>
      <c r="K490" t="s">
        <v>3</v>
      </c>
      <c r="L490" t="s">
        <v>4</v>
      </c>
      <c r="M490" t="s">
        <v>49</v>
      </c>
      <c r="N490" t="s">
        <v>2073</v>
      </c>
      <c r="O490" s="31" t="s">
        <v>2074</v>
      </c>
      <c r="P490">
        <v>220</v>
      </c>
      <c r="R490">
        <v>3</v>
      </c>
      <c r="S490" s="31">
        <v>225000</v>
      </c>
      <c r="T490" s="39">
        <v>240000</v>
      </c>
      <c r="U490">
        <v>35000.01</v>
      </c>
      <c r="V490">
        <v>24000</v>
      </c>
      <c r="W490">
        <v>0</v>
      </c>
      <c r="X490" s="39">
        <v>71201.009999999995</v>
      </c>
      <c r="Y490">
        <v>0</v>
      </c>
      <c r="Z490" s="31">
        <v>180999.99</v>
      </c>
      <c r="AA490">
        <v>8</v>
      </c>
      <c r="AB490" s="3">
        <f t="shared" si="23"/>
        <v>180999.99</v>
      </c>
      <c r="AC490" t="str">
        <f>IF(AB490-S490&lt;0,"YES","NO")</f>
        <v>YES</v>
      </c>
      <c r="AD490">
        <f>IF(AC490="NO",0,AB490-S490)</f>
        <v>-44000.010000000009</v>
      </c>
      <c r="AE490" s="43">
        <v>0.08</v>
      </c>
      <c r="AF490" s="3">
        <f t="shared" si="24"/>
        <v>-40740.750000000007</v>
      </c>
      <c r="AG490" s="45">
        <f t="shared" si="25"/>
        <v>-44814.825000000012</v>
      </c>
      <c r="AH490" s="55"/>
    </row>
    <row r="491" spans="1:34" x14ac:dyDescent="0.25">
      <c r="A491" t="s">
        <v>2075</v>
      </c>
      <c r="B491" t="s">
        <v>2076</v>
      </c>
      <c r="C491" t="s">
        <v>2077</v>
      </c>
      <c r="D491" t="s">
        <v>2078</v>
      </c>
      <c r="E491" t="s">
        <v>2079</v>
      </c>
      <c r="F491" t="s">
        <v>2080</v>
      </c>
      <c r="G491" t="s">
        <v>5</v>
      </c>
      <c r="H491" t="s">
        <v>65</v>
      </c>
      <c r="I491" t="s">
        <v>66</v>
      </c>
      <c r="J491" t="s">
        <v>67</v>
      </c>
      <c r="K491" t="s">
        <v>3</v>
      </c>
      <c r="L491" t="s">
        <v>4</v>
      </c>
      <c r="M491" t="s">
        <v>49</v>
      </c>
      <c r="N491" t="s">
        <v>2081</v>
      </c>
      <c r="O491" s="31" t="s">
        <v>2082</v>
      </c>
      <c r="P491">
        <v>220</v>
      </c>
      <c r="R491">
        <v>3</v>
      </c>
      <c r="S491" s="31">
        <v>225000</v>
      </c>
      <c r="T491" s="39">
        <v>240000</v>
      </c>
      <c r="U491">
        <v>35000.01</v>
      </c>
      <c r="V491">
        <v>24000</v>
      </c>
      <c r="W491">
        <v>0</v>
      </c>
      <c r="X491" s="39">
        <v>98349.99</v>
      </c>
      <c r="Y491">
        <v>0</v>
      </c>
      <c r="Z491" s="31">
        <v>180999.99</v>
      </c>
      <c r="AA491">
        <v>8</v>
      </c>
      <c r="AB491" s="3">
        <f t="shared" si="23"/>
        <v>180999.99</v>
      </c>
      <c r="AC491" t="str">
        <f>IF(AB491-S491&lt;0,"YES","NO")</f>
        <v>YES</v>
      </c>
      <c r="AD491">
        <f>IF(AC491="NO",0,AB491-S491)</f>
        <v>-44000.010000000009</v>
      </c>
      <c r="AE491" s="43">
        <v>0.08</v>
      </c>
      <c r="AF491" s="3">
        <f t="shared" si="24"/>
        <v>-40740.750000000007</v>
      </c>
      <c r="AG491" s="45">
        <f t="shared" si="25"/>
        <v>-44814.825000000012</v>
      </c>
      <c r="AH491" s="55"/>
    </row>
    <row r="492" spans="1:34" x14ac:dyDescent="0.25">
      <c r="A492" t="s">
        <v>2083</v>
      </c>
      <c r="B492" t="s">
        <v>2084</v>
      </c>
      <c r="C492" t="s">
        <v>2085</v>
      </c>
      <c r="D492" t="s">
        <v>2086</v>
      </c>
      <c r="E492" t="s">
        <v>2087</v>
      </c>
      <c r="F492" t="s">
        <v>2088</v>
      </c>
      <c r="G492" t="s">
        <v>5</v>
      </c>
      <c r="H492" t="s">
        <v>61</v>
      </c>
      <c r="I492" t="s">
        <v>75</v>
      </c>
      <c r="J492" t="s">
        <v>76</v>
      </c>
      <c r="K492" t="s">
        <v>3</v>
      </c>
      <c r="L492" t="s">
        <v>4</v>
      </c>
      <c r="M492" t="s">
        <v>49</v>
      </c>
      <c r="N492" t="s">
        <v>2089</v>
      </c>
      <c r="O492" s="31" t="s">
        <v>2090</v>
      </c>
      <c r="P492">
        <v>20</v>
      </c>
      <c r="Q492" t="s">
        <v>77</v>
      </c>
      <c r="R492">
        <v>1</v>
      </c>
      <c r="S492" s="31">
        <v>0</v>
      </c>
      <c r="T492" s="39">
        <v>0</v>
      </c>
      <c r="U492">
        <v>0</v>
      </c>
      <c r="V492">
        <v>0</v>
      </c>
      <c r="W492">
        <v>0</v>
      </c>
      <c r="X492" s="39">
        <v>0</v>
      </c>
      <c r="Y492">
        <v>0</v>
      </c>
      <c r="Z492" s="31">
        <v>0</v>
      </c>
      <c r="AA492">
        <v>8</v>
      </c>
      <c r="AB492" s="3">
        <f t="shared" si="23"/>
        <v>0</v>
      </c>
      <c r="AC492" t="str">
        <f>IF(AB492-S492&lt;0,"YES","NO")</f>
        <v>NO</v>
      </c>
      <c r="AD492">
        <f>IF(AC492="NO",0,AB492-S492)</f>
        <v>0</v>
      </c>
      <c r="AE492" s="43">
        <v>0.08</v>
      </c>
      <c r="AF492" s="3">
        <f t="shared" si="24"/>
        <v>0</v>
      </c>
      <c r="AG492" s="45">
        <f t="shared" si="25"/>
        <v>0</v>
      </c>
      <c r="AH492" s="55"/>
    </row>
    <row r="493" spans="1:34" x14ac:dyDescent="0.25">
      <c r="A493" t="s">
        <v>2083</v>
      </c>
      <c r="B493" t="s">
        <v>2084</v>
      </c>
      <c r="C493" t="s">
        <v>2085</v>
      </c>
      <c r="D493" t="s">
        <v>2086</v>
      </c>
      <c r="E493" t="s">
        <v>2087</v>
      </c>
      <c r="F493" t="s">
        <v>2088</v>
      </c>
      <c r="G493" t="s">
        <v>5</v>
      </c>
      <c r="H493" t="s">
        <v>65</v>
      </c>
      <c r="I493" t="s">
        <v>78</v>
      </c>
      <c r="J493" t="s">
        <v>79</v>
      </c>
      <c r="K493" t="s">
        <v>3</v>
      </c>
      <c r="L493" t="s">
        <v>4</v>
      </c>
      <c r="M493" t="s">
        <v>49</v>
      </c>
      <c r="N493" t="s">
        <v>2089</v>
      </c>
      <c r="O493" s="31" t="s">
        <v>2090</v>
      </c>
      <c r="P493">
        <v>220</v>
      </c>
      <c r="R493">
        <v>6</v>
      </c>
      <c r="S493" s="31">
        <v>450000</v>
      </c>
      <c r="T493" s="39">
        <v>480000</v>
      </c>
      <c r="U493">
        <v>75000</v>
      </c>
      <c r="V493">
        <v>48000</v>
      </c>
      <c r="W493">
        <v>0</v>
      </c>
      <c r="X493" s="39">
        <v>146400</v>
      </c>
      <c r="Y493">
        <v>0</v>
      </c>
      <c r="Z493" s="31">
        <v>357000</v>
      </c>
      <c r="AA493">
        <v>8</v>
      </c>
      <c r="AB493" s="3">
        <f t="shared" si="23"/>
        <v>357000</v>
      </c>
      <c r="AC493" t="str">
        <f>IF(AB493-S493&lt;0,"YES","NO")</f>
        <v>YES</v>
      </c>
      <c r="AD493">
        <f>IF(AC493="NO",0,AB493-S493)</f>
        <v>-93000</v>
      </c>
      <c r="AE493" s="43">
        <v>0.08</v>
      </c>
      <c r="AF493" s="3">
        <f t="shared" si="24"/>
        <v>-86111.111111111109</v>
      </c>
      <c r="AG493" s="45">
        <f t="shared" si="25"/>
        <v>-94722.222222222234</v>
      </c>
      <c r="AH493" s="55"/>
    </row>
    <row r="494" spans="1:34" x14ac:dyDescent="0.25">
      <c r="A494" t="s">
        <v>2091</v>
      </c>
      <c r="B494" t="s">
        <v>2092</v>
      </c>
      <c r="C494" t="s">
        <v>2093</v>
      </c>
      <c r="D494" t="s">
        <v>2094</v>
      </c>
      <c r="E494" t="s">
        <v>2095</v>
      </c>
      <c r="F494" t="s">
        <v>2096</v>
      </c>
      <c r="G494" t="s">
        <v>5</v>
      </c>
      <c r="H494" t="s">
        <v>65</v>
      </c>
      <c r="I494" t="s">
        <v>68</v>
      </c>
      <c r="J494" t="s">
        <v>69</v>
      </c>
      <c r="K494" t="s">
        <v>3</v>
      </c>
      <c r="L494" t="s">
        <v>4</v>
      </c>
      <c r="M494" t="s">
        <v>49</v>
      </c>
      <c r="N494" t="s">
        <v>2097</v>
      </c>
      <c r="O494" s="31" t="s">
        <v>2098</v>
      </c>
      <c r="P494">
        <v>220</v>
      </c>
      <c r="Q494" t="s">
        <v>70</v>
      </c>
      <c r="R494">
        <v>1</v>
      </c>
      <c r="S494" s="31">
        <v>59000</v>
      </c>
      <c r="T494" s="39">
        <v>65000</v>
      </c>
      <c r="U494">
        <v>11666.67</v>
      </c>
      <c r="V494">
        <v>6500</v>
      </c>
      <c r="W494">
        <v>0</v>
      </c>
      <c r="X494" s="39">
        <v>18691.669999999998</v>
      </c>
      <c r="Y494">
        <v>0</v>
      </c>
      <c r="Z494" s="31">
        <v>46833.33</v>
      </c>
      <c r="AA494">
        <v>8</v>
      </c>
      <c r="AB494" s="3">
        <f t="shared" si="23"/>
        <v>46833.33</v>
      </c>
      <c r="AC494" t="str">
        <f>IF(AB494-S494&lt;0,"YES","NO")</f>
        <v>YES</v>
      </c>
      <c r="AD494">
        <f>IF(AC494="NO",0,AB494-S494)</f>
        <v>-12166.669999999998</v>
      </c>
      <c r="AE494" s="43">
        <v>0.08</v>
      </c>
      <c r="AF494" s="3">
        <f t="shared" si="24"/>
        <v>-11265.435185185182</v>
      </c>
      <c r="AG494" s="45">
        <f t="shared" si="25"/>
        <v>-12391.978703703702</v>
      </c>
      <c r="AH494" s="55"/>
    </row>
    <row r="495" spans="1:34" x14ac:dyDescent="0.25">
      <c r="A495" t="s">
        <v>2091</v>
      </c>
      <c r="B495" t="s">
        <v>2092</v>
      </c>
      <c r="C495" t="s">
        <v>2093</v>
      </c>
      <c r="D495" t="s">
        <v>2094</v>
      </c>
      <c r="E495" t="s">
        <v>2095</v>
      </c>
      <c r="F495" t="s">
        <v>2096</v>
      </c>
      <c r="G495" t="s">
        <v>5</v>
      </c>
      <c r="H495" t="s">
        <v>65</v>
      </c>
      <c r="I495" t="s">
        <v>71</v>
      </c>
      <c r="J495" t="s">
        <v>72</v>
      </c>
      <c r="K495" t="s">
        <v>3</v>
      </c>
      <c r="L495" t="s">
        <v>4</v>
      </c>
      <c r="M495" t="s">
        <v>49</v>
      </c>
      <c r="N495" t="s">
        <v>2097</v>
      </c>
      <c r="O495" s="31" t="s">
        <v>2098</v>
      </c>
      <c r="P495">
        <v>220</v>
      </c>
      <c r="Q495" t="s">
        <v>70</v>
      </c>
      <c r="R495">
        <v>1</v>
      </c>
      <c r="S495" s="31">
        <v>59000</v>
      </c>
      <c r="T495" s="39">
        <v>65000</v>
      </c>
      <c r="U495">
        <v>11666.67</v>
      </c>
      <c r="V495">
        <v>6500</v>
      </c>
      <c r="W495">
        <v>0</v>
      </c>
      <c r="X495" s="39">
        <v>18691.669999999998</v>
      </c>
      <c r="Y495">
        <v>0</v>
      </c>
      <c r="Z495" s="31">
        <v>46833.33</v>
      </c>
      <c r="AA495">
        <v>8</v>
      </c>
      <c r="AB495" s="3">
        <f t="shared" si="23"/>
        <v>46833.33</v>
      </c>
      <c r="AC495" t="str">
        <f>IF(AB495-S495&lt;0,"YES","NO")</f>
        <v>YES</v>
      </c>
      <c r="AD495">
        <f>IF(AC495="NO",0,AB495-S495)</f>
        <v>-12166.669999999998</v>
      </c>
      <c r="AE495" s="43">
        <v>0.08</v>
      </c>
      <c r="AF495" s="3">
        <f t="shared" si="24"/>
        <v>-11265.435185185182</v>
      </c>
      <c r="AG495" s="45">
        <f t="shared" si="25"/>
        <v>-12391.978703703702</v>
      </c>
      <c r="AH495" s="55"/>
    </row>
    <row r="496" spans="1:34" x14ac:dyDescent="0.25">
      <c r="A496" t="s">
        <v>2091</v>
      </c>
      <c r="B496" t="s">
        <v>2092</v>
      </c>
      <c r="C496" t="s">
        <v>2093</v>
      </c>
      <c r="D496" t="s">
        <v>2094</v>
      </c>
      <c r="E496" t="s">
        <v>2095</v>
      </c>
      <c r="F496" t="s">
        <v>2096</v>
      </c>
      <c r="G496" t="s">
        <v>5</v>
      </c>
      <c r="H496" t="s">
        <v>65</v>
      </c>
      <c r="I496" t="s">
        <v>73</v>
      </c>
      <c r="J496" t="s">
        <v>74</v>
      </c>
      <c r="K496" t="s">
        <v>3</v>
      </c>
      <c r="L496" t="s">
        <v>4</v>
      </c>
      <c r="M496" t="s">
        <v>49</v>
      </c>
      <c r="N496" t="s">
        <v>2097</v>
      </c>
      <c r="O496" s="31" t="s">
        <v>2098</v>
      </c>
      <c r="P496">
        <v>220</v>
      </c>
      <c r="Q496" t="s">
        <v>70</v>
      </c>
      <c r="R496">
        <v>1</v>
      </c>
      <c r="S496" s="31">
        <v>59000</v>
      </c>
      <c r="T496" s="39">
        <v>65000</v>
      </c>
      <c r="U496">
        <v>11666.67</v>
      </c>
      <c r="V496">
        <v>6500</v>
      </c>
      <c r="W496">
        <v>0</v>
      </c>
      <c r="X496" s="39">
        <v>18691.669999999998</v>
      </c>
      <c r="Y496">
        <v>0</v>
      </c>
      <c r="Z496" s="31">
        <v>46833.33</v>
      </c>
      <c r="AA496">
        <v>8</v>
      </c>
      <c r="AB496" s="3">
        <f t="shared" si="23"/>
        <v>46833.33</v>
      </c>
      <c r="AC496" t="str">
        <f>IF(AB496-S496&lt;0,"YES","NO")</f>
        <v>YES</v>
      </c>
      <c r="AD496">
        <f>IF(AC496="NO",0,AB496-S496)</f>
        <v>-12166.669999999998</v>
      </c>
      <c r="AE496" s="43">
        <v>0.08</v>
      </c>
      <c r="AF496" s="3">
        <f t="shared" si="24"/>
        <v>-11265.435185185182</v>
      </c>
      <c r="AG496" s="45">
        <f t="shared" si="25"/>
        <v>-12391.978703703702</v>
      </c>
      <c r="AH496" s="55"/>
    </row>
    <row r="497" spans="1:34" x14ac:dyDescent="0.25">
      <c r="A497" t="s">
        <v>2099</v>
      </c>
      <c r="B497" t="s">
        <v>2100</v>
      </c>
      <c r="C497" t="s">
        <v>2101</v>
      </c>
      <c r="D497" t="s">
        <v>2102</v>
      </c>
      <c r="E497" t="s">
        <v>2103</v>
      </c>
      <c r="F497" t="s">
        <v>2104</v>
      </c>
      <c r="G497" t="s">
        <v>5</v>
      </c>
      <c r="H497" t="s">
        <v>61</v>
      </c>
      <c r="I497" t="s">
        <v>75</v>
      </c>
      <c r="J497" t="s">
        <v>76</v>
      </c>
      <c r="K497" t="s">
        <v>3</v>
      </c>
      <c r="L497" t="s">
        <v>4</v>
      </c>
      <c r="M497" t="s">
        <v>49</v>
      </c>
      <c r="N497" t="s">
        <v>2105</v>
      </c>
      <c r="O497" s="31" t="s">
        <v>2106</v>
      </c>
      <c r="P497">
        <v>20</v>
      </c>
      <c r="Q497" t="s">
        <v>77</v>
      </c>
      <c r="R497">
        <v>1</v>
      </c>
      <c r="S497" s="31">
        <v>0</v>
      </c>
      <c r="T497" s="39">
        <v>0</v>
      </c>
      <c r="U497">
        <v>0</v>
      </c>
      <c r="V497">
        <v>0</v>
      </c>
      <c r="W497">
        <v>0</v>
      </c>
      <c r="X497" s="39">
        <v>0</v>
      </c>
      <c r="Y497">
        <v>0</v>
      </c>
      <c r="Z497" s="31">
        <v>0</v>
      </c>
      <c r="AA497">
        <v>8</v>
      </c>
      <c r="AB497" s="3">
        <f t="shared" si="23"/>
        <v>0</v>
      </c>
      <c r="AC497" t="str">
        <f>IF(AB497-S497&lt;0,"YES","NO")</f>
        <v>NO</v>
      </c>
      <c r="AD497">
        <f>IF(AC497="NO",0,AB497-S497)</f>
        <v>0</v>
      </c>
      <c r="AE497" s="43">
        <v>0.08</v>
      </c>
      <c r="AF497" s="3">
        <f t="shared" si="24"/>
        <v>0</v>
      </c>
      <c r="AG497" s="45">
        <f t="shared" si="25"/>
        <v>0</v>
      </c>
      <c r="AH497" s="55"/>
    </row>
    <row r="498" spans="1:34" x14ac:dyDescent="0.25">
      <c r="A498" t="s">
        <v>2099</v>
      </c>
      <c r="B498" t="s">
        <v>2100</v>
      </c>
      <c r="C498" t="s">
        <v>2101</v>
      </c>
      <c r="D498" t="s">
        <v>2102</v>
      </c>
      <c r="E498" t="s">
        <v>2103</v>
      </c>
      <c r="F498" t="s">
        <v>2104</v>
      </c>
      <c r="G498" t="s">
        <v>5</v>
      </c>
      <c r="H498" t="s">
        <v>65</v>
      </c>
      <c r="I498" t="s">
        <v>66</v>
      </c>
      <c r="J498" t="s">
        <v>67</v>
      </c>
      <c r="K498" t="s">
        <v>3</v>
      </c>
      <c r="L498" t="s">
        <v>4</v>
      </c>
      <c r="M498" t="s">
        <v>49</v>
      </c>
      <c r="N498" t="s">
        <v>2105</v>
      </c>
      <c r="O498" s="31" t="s">
        <v>2106</v>
      </c>
      <c r="P498">
        <v>220</v>
      </c>
      <c r="R498">
        <v>6</v>
      </c>
      <c r="S498" s="31">
        <v>450000</v>
      </c>
      <c r="T498" s="39">
        <v>480000</v>
      </c>
      <c r="U498">
        <v>79999.98</v>
      </c>
      <c r="V498">
        <v>48000</v>
      </c>
      <c r="W498">
        <v>0</v>
      </c>
      <c r="X498" s="39">
        <v>150400.01999999999</v>
      </c>
      <c r="Y498">
        <v>0</v>
      </c>
      <c r="Z498" s="31">
        <v>352000.02</v>
      </c>
      <c r="AA498">
        <v>8</v>
      </c>
      <c r="AB498" s="3">
        <f t="shared" si="23"/>
        <v>352000.02</v>
      </c>
      <c r="AC498" t="str">
        <f>IF(AB498-S498&lt;0,"YES","NO")</f>
        <v>YES</v>
      </c>
      <c r="AD498">
        <f>IF(AC498="NO",0,AB498-S498)</f>
        <v>-97999.979999999981</v>
      </c>
      <c r="AE498" s="43">
        <v>0.08</v>
      </c>
      <c r="AF498" s="3">
        <f t="shared" si="24"/>
        <v>-90740.722222222204</v>
      </c>
      <c r="AG498" s="45">
        <f t="shared" si="25"/>
        <v>-99814.794444444429</v>
      </c>
      <c r="AH498" s="55"/>
    </row>
    <row r="499" spans="1:34" x14ac:dyDescent="0.25">
      <c r="A499" t="s">
        <v>2107</v>
      </c>
      <c r="B499" t="s">
        <v>2108</v>
      </c>
      <c r="C499" t="s">
        <v>2109</v>
      </c>
      <c r="D499" t="s">
        <v>2110</v>
      </c>
      <c r="E499" t="s">
        <v>2111</v>
      </c>
      <c r="F499" t="s">
        <v>2112</v>
      </c>
      <c r="G499" t="s">
        <v>5</v>
      </c>
      <c r="H499" t="s">
        <v>65</v>
      </c>
      <c r="I499" t="s">
        <v>66</v>
      </c>
      <c r="J499" t="s">
        <v>67</v>
      </c>
      <c r="K499" t="s">
        <v>3</v>
      </c>
      <c r="L499" t="s">
        <v>4</v>
      </c>
      <c r="M499" t="s">
        <v>49</v>
      </c>
      <c r="N499" t="s">
        <v>2113</v>
      </c>
      <c r="O499" s="31" t="s">
        <v>2114</v>
      </c>
      <c r="P499">
        <v>220</v>
      </c>
      <c r="R499">
        <v>2</v>
      </c>
      <c r="S499" s="31">
        <v>150000</v>
      </c>
      <c r="T499" s="39">
        <v>160000</v>
      </c>
      <c r="U499">
        <v>20000</v>
      </c>
      <c r="V499">
        <v>16000</v>
      </c>
      <c r="W499">
        <v>0</v>
      </c>
      <c r="X499" s="39">
        <v>44800</v>
      </c>
      <c r="Y499">
        <v>0</v>
      </c>
      <c r="Z499" s="31">
        <v>124000</v>
      </c>
      <c r="AA499">
        <v>8</v>
      </c>
      <c r="AB499" s="3">
        <f t="shared" si="23"/>
        <v>124000</v>
      </c>
      <c r="AC499" t="str">
        <f>IF(AB499-S499&lt;0,"YES","NO")</f>
        <v>YES</v>
      </c>
      <c r="AD499">
        <f>IF(AC499="NO",0,AB499-S499)</f>
        <v>-26000</v>
      </c>
      <c r="AE499" s="43">
        <v>0.08</v>
      </c>
      <c r="AF499" s="3">
        <f t="shared" si="24"/>
        <v>-24074.074074074073</v>
      </c>
      <c r="AG499" s="45">
        <f t="shared" si="25"/>
        <v>-26481.481481481482</v>
      </c>
      <c r="AH499" s="55"/>
    </row>
    <row r="500" spans="1:34" x14ac:dyDescent="0.25">
      <c r="A500" t="s">
        <v>2115</v>
      </c>
      <c r="B500" t="s">
        <v>2116</v>
      </c>
      <c r="C500" t="s">
        <v>2117</v>
      </c>
      <c r="D500" t="s">
        <v>2118</v>
      </c>
      <c r="E500" t="s">
        <v>2119</v>
      </c>
      <c r="F500" t="s">
        <v>2120</v>
      </c>
      <c r="G500" t="s">
        <v>54</v>
      </c>
      <c r="H500" t="s">
        <v>65</v>
      </c>
      <c r="I500" t="s">
        <v>100</v>
      </c>
      <c r="J500" t="s">
        <v>101</v>
      </c>
      <c r="K500" t="s">
        <v>3</v>
      </c>
      <c r="L500" t="s">
        <v>4</v>
      </c>
      <c r="M500" t="s">
        <v>49</v>
      </c>
      <c r="N500" t="s">
        <v>2121</v>
      </c>
      <c r="O500" s="31" t="s">
        <v>2122</v>
      </c>
      <c r="P500">
        <v>200</v>
      </c>
      <c r="R500">
        <v>6</v>
      </c>
      <c r="S500" s="31">
        <v>432000</v>
      </c>
      <c r="T500" s="39">
        <v>480000</v>
      </c>
      <c r="U500">
        <v>0</v>
      </c>
      <c r="V500">
        <v>90000</v>
      </c>
      <c r="W500">
        <v>0</v>
      </c>
      <c r="X500" s="39">
        <v>61500</v>
      </c>
      <c r="Y500">
        <v>0</v>
      </c>
      <c r="Z500" s="31">
        <v>390000</v>
      </c>
      <c r="AA500">
        <v>8</v>
      </c>
      <c r="AB500" s="3">
        <f t="shared" si="23"/>
        <v>390000</v>
      </c>
      <c r="AC500" t="str">
        <f>IF(AB500-S500&lt;0,"YES","NO")</f>
        <v>YES</v>
      </c>
      <c r="AD500">
        <f>IF(AC500="NO",0,AB500-S500)</f>
        <v>-42000</v>
      </c>
      <c r="AE500" s="43">
        <v>0.08</v>
      </c>
      <c r="AF500" s="3">
        <f t="shared" si="24"/>
        <v>-38888.888888888883</v>
      </c>
      <c r="AG500" s="45">
        <f t="shared" si="25"/>
        <v>-42777.777777777774</v>
      </c>
      <c r="AH500" s="55"/>
    </row>
    <row r="501" spans="1:34" x14ac:dyDescent="0.25">
      <c r="A501" t="s">
        <v>2123</v>
      </c>
      <c r="B501" t="s">
        <v>2124</v>
      </c>
      <c r="C501" t="s">
        <v>2125</v>
      </c>
      <c r="D501" t="s">
        <v>2126</v>
      </c>
      <c r="E501" t="s">
        <v>2127</v>
      </c>
      <c r="F501" t="s">
        <v>2128</v>
      </c>
      <c r="G501" t="s">
        <v>5</v>
      </c>
      <c r="H501" t="s">
        <v>65</v>
      </c>
      <c r="I501" t="s">
        <v>106</v>
      </c>
      <c r="J501" t="s">
        <v>107</v>
      </c>
      <c r="K501" t="s">
        <v>3</v>
      </c>
      <c r="L501" t="s">
        <v>4</v>
      </c>
      <c r="M501" t="s">
        <v>49</v>
      </c>
      <c r="N501" t="s">
        <v>2129</v>
      </c>
      <c r="O501" s="31" t="s">
        <v>2130</v>
      </c>
      <c r="P501">
        <v>20</v>
      </c>
      <c r="Q501" t="s">
        <v>108</v>
      </c>
      <c r="R501">
        <v>1</v>
      </c>
      <c r="S501" s="31">
        <v>0</v>
      </c>
      <c r="T501" s="39">
        <v>0</v>
      </c>
      <c r="U501">
        <v>0</v>
      </c>
      <c r="V501">
        <v>0</v>
      </c>
      <c r="W501">
        <v>0</v>
      </c>
      <c r="X501" s="39">
        <v>0</v>
      </c>
      <c r="Y501">
        <v>0</v>
      </c>
      <c r="Z501" s="31">
        <v>0</v>
      </c>
      <c r="AA501">
        <v>8</v>
      </c>
      <c r="AB501" s="3">
        <f t="shared" si="23"/>
        <v>0</v>
      </c>
      <c r="AC501" t="str">
        <f>IF(AB501-S501&lt;0,"YES","NO")</f>
        <v>NO</v>
      </c>
      <c r="AD501">
        <f>IF(AC501="NO",0,AB501-S501)</f>
        <v>0</v>
      </c>
      <c r="AE501" s="43">
        <v>0.08</v>
      </c>
      <c r="AF501" s="3">
        <f t="shared" si="24"/>
        <v>0</v>
      </c>
      <c r="AG501" s="45">
        <f t="shared" si="25"/>
        <v>0</v>
      </c>
      <c r="AH501" s="55"/>
    </row>
    <row r="502" spans="1:34" x14ac:dyDescent="0.25">
      <c r="A502" t="s">
        <v>2123</v>
      </c>
      <c r="B502" t="s">
        <v>2124</v>
      </c>
      <c r="C502" t="s">
        <v>2125</v>
      </c>
      <c r="D502" t="s">
        <v>2126</v>
      </c>
      <c r="E502" t="s">
        <v>2127</v>
      </c>
      <c r="F502" t="s">
        <v>2128</v>
      </c>
      <c r="G502" t="s">
        <v>5</v>
      </c>
      <c r="H502" t="s">
        <v>65</v>
      </c>
      <c r="I502" t="s">
        <v>66</v>
      </c>
      <c r="J502" t="s">
        <v>67</v>
      </c>
      <c r="K502" t="s">
        <v>3</v>
      </c>
      <c r="L502" t="s">
        <v>4</v>
      </c>
      <c r="M502" t="s">
        <v>49</v>
      </c>
      <c r="N502" t="s">
        <v>2129</v>
      </c>
      <c r="O502" s="31" t="s">
        <v>2130</v>
      </c>
      <c r="P502">
        <v>220</v>
      </c>
      <c r="R502">
        <v>6</v>
      </c>
      <c r="S502" s="31">
        <v>450000</v>
      </c>
      <c r="T502" s="39">
        <v>480000</v>
      </c>
      <c r="U502">
        <v>75000</v>
      </c>
      <c r="V502">
        <v>48000</v>
      </c>
      <c r="W502">
        <v>0</v>
      </c>
      <c r="X502" s="39">
        <v>135690</v>
      </c>
      <c r="Y502">
        <v>0</v>
      </c>
      <c r="Z502" s="31">
        <v>357000</v>
      </c>
      <c r="AA502">
        <v>8</v>
      </c>
      <c r="AB502" s="3">
        <f t="shared" si="23"/>
        <v>357000</v>
      </c>
      <c r="AC502" t="str">
        <f>IF(AB502-S502&lt;0,"YES","NO")</f>
        <v>YES</v>
      </c>
      <c r="AD502">
        <f>IF(AC502="NO",0,AB502-S502)</f>
        <v>-93000</v>
      </c>
      <c r="AE502" s="43">
        <v>0.08</v>
      </c>
      <c r="AF502" s="3">
        <f t="shared" si="24"/>
        <v>-86111.111111111109</v>
      </c>
      <c r="AG502" s="45">
        <f t="shared" si="25"/>
        <v>-94722.222222222234</v>
      </c>
      <c r="AH502" s="55"/>
    </row>
    <row r="503" spans="1:34" x14ac:dyDescent="0.25">
      <c r="A503" t="s">
        <v>2131</v>
      </c>
      <c r="B503" t="s">
        <v>2132</v>
      </c>
      <c r="C503" t="s">
        <v>2133</v>
      </c>
      <c r="D503" t="s">
        <v>2134</v>
      </c>
      <c r="E503" t="s">
        <v>2135</v>
      </c>
      <c r="F503" t="s">
        <v>2136</v>
      </c>
      <c r="G503" t="s">
        <v>5</v>
      </c>
      <c r="H503" t="s">
        <v>61</v>
      </c>
      <c r="I503" t="s">
        <v>75</v>
      </c>
      <c r="J503" t="s">
        <v>76</v>
      </c>
      <c r="K503" t="s">
        <v>3</v>
      </c>
      <c r="L503" t="s">
        <v>4</v>
      </c>
      <c r="M503" t="s">
        <v>49</v>
      </c>
      <c r="N503" t="s">
        <v>2137</v>
      </c>
      <c r="O503" s="31" t="s">
        <v>2138</v>
      </c>
      <c r="P503">
        <v>20</v>
      </c>
      <c r="Q503" t="s">
        <v>77</v>
      </c>
      <c r="R503">
        <v>1</v>
      </c>
      <c r="S503" s="31">
        <v>0</v>
      </c>
      <c r="T503" s="39">
        <v>0</v>
      </c>
      <c r="U503">
        <v>0</v>
      </c>
      <c r="V503">
        <v>0</v>
      </c>
      <c r="W503">
        <v>0</v>
      </c>
      <c r="X503" s="39">
        <v>0</v>
      </c>
      <c r="Y503">
        <v>0</v>
      </c>
      <c r="Z503" s="31">
        <v>0</v>
      </c>
      <c r="AA503">
        <v>8</v>
      </c>
      <c r="AB503" s="3">
        <f t="shared" si="23"/>
        <v>0</v>
      </c>
      <c r="AC503" t="str">
        <f>IF(AB503-S503&lt;0,"YES","NO")</f>
        <v>NO</v>
      </c>
      <c r="AD503">
        <f>IF(AC503="NO",0,AB503-S503)</f>
        <v>0</v>
      </c>
      <c r="AE503" s="43">
        <v>0.08</v>
      </c>
      <c r="AF503" s="3">
        <f t="shared" si="24"/>
        <v>0</v>
      </c>
      <c r="AG503" s="45">
        <f t="shared" si="25"/>
        <v>0</v>
      </c>
      <c r="AH503" s="55"/>
    </row>
    <row r="504" spans="1:34" x14ac:dyDescent="0.25">
      <c r="A504" t="s">
        <v>2131</v>
      </c>
      <c r="B504" t="s">
        <v>2132</v>
      </c>
      <c r="C504" t="s">
        <v>2133</v>
      </c>
      <c r="D504" t="s">
        <v>2134</v>
      </c>
      <c r="E504" t="s">
        <v>2135</v>
      </c>
      <c r="F504" t="s">
        <v>2136</v>
      </c>
      <c r="G504" t="s">
        <v>5</v>
      </c>
      <c r="H504" t="s">
        <v>65</v>
      </c>
      <c r="I504" t="s">
        <v>71</v>
      </c>
      <c r="J504" t="s">
        <v>72</v>
      </c>
      <c r="K504" t="s">
        <v>3</v>
      </c>
      <c r="L504" t="s">
        <v>4</v>
      </c>
      <c r="M504" t="s">
        <v>49</v>
      </c>
      <c r="N504" t="s">
        <v>2137</v>
      </c>
      <c r="O504" s="31" t="s">
        <v>2138</v>
      </c>
      <c r="P504">
        <v>220</v>
      </c>
      <c r="Q504" t="s">
        <v>70</v>
      </c>
      <c r="R504">
        <v>6</v>
      </c>
      <c r="S504" s="31">
        <v>354000</v>
      </c>
      <c r="T504" s="39">
        <v>390000</v>
      </c>
      <c r="U504">
        <v>75000</v>
      </c>
      <c r="V504">
        <v>40000.019999999997</v>
      </c>
      <c r="W504">
        <v>0</v>
      </c>
      <c r="X504" s="39">
        <v>118999.98</v>
      </c>
      <c r="Y504">
        <v>0</v>
      </c>
      <c r="Z504" s="31">
        <v>274999.98</v>
      </c>
      <c r="AA504">
        <v>8</v>
      </c>
      <c r="AB504" s="3">
        <f t="shared" si="23"/>
        <v>274999.98</v>
      </c>
      <c r="AC504" t="str">
        <f>IF(AB504-S504&lt;0,"YES","NO")</f>
        <v>YES</v>
      </c>
      <c r="AD504">
        <f>IF(AC504="NO",0,AB504-S504)</f>
        <v>-79000.020000000019</v>
      </c>
      <c r="AE504" s="43">
        <v>0.08</v>
      </c>
      <c r="AF504" s="3">
        <f t="shared" si="24"/>
        <v>-73148.166666666686</v>
      </c>
      <c r="AG504" s="45">
        <f t="shared" si="25"/>
        <v>-80462.983333333366</v>
      </c>
      <c r="AH504" s="55"/>
    </row>
    <row r="505" spans="1:34" x14ac:dyDescent="0.25">
      <c r="A505" t="s">
        <v>2139</v>
      </c>
      <c r="B505" t="s">
        <v>2140</v>
      </c>
      <c r="C505" t="s">
        <v>2141</v>
      </c>
      <c r="D505" t="s">
        <v>2142</v>
      </c>
      <c r="E505" t="s">
        <v>2143</v>
      </c>
      <c r="F505" t="s">
        <v>2144</v>
      </c>
      <c r="G505" t="s">
        <v>5</v>
      </c>
      <c r="H505" t="s">
        <v>65</v>
      </c>
      <c r="I505" t="s">
        <v>66</v>
      </c>
      <c r="J505" t="s">
        <v>67</v>
      </c>
      <c r="K505" t="s">
        <v>3</v>
      </c>
      <c r="L505" t="s">
        <v>4</v>
      </c>
      <c r="M505" t="s">
        <v>49</v>
      </c>
      <c r="N505" t="s">
        <v>2145</v>
      </c>
      <c r="O505" s="31" t="s">
        <v>2146</v>
      </c>
      <c r="P505">
        <v>220</v>
      </c>
      <c r="R505">
        <v>6</v>
      </c>
      <c r="S505" s="31">
        <v>450000</v>
      </c>
      <c r="T505" s="39">
        <v>480000</v>
      </c>
      <c r="U505">
        <v>34999.980000000003</v>
      </c>
      <c r="V505">
        <v>48000</v>
      </c>
      <c r="W505">
        <v>0</v>
      </c>
      <c r="X505" s="39">
        <v>135000</v>
      </c>
      <c r="Y505">
        <v>0</v>
      </c>
      <c r="Z505" s="31">
        <v>397000.02</v>
      </c>
      <c r="AA505">
        <v>8</v>
      </c>
      <c r="AB505" s="3">
        <f t="shared" si="23"/>
        <v>397000.02</v>
      </c>
      <c r="AC505" t="str">
        <f>IF(AB505-S505&lt;0,"YES","NO")</f>
        <v>YES</v>
      </c>
      <c r="AD505">
        <f>IF(AC505="NO",0,AB505-S505)</f>
        <v>-52999.979999999981</v>
      </c>
      <c r="AE505" s="43">
        <v>0.08</v>
      </c>
      <c r="AF505" s="3">
        <f t="shared" si="24"/>
        <v>-49074.055555555533</v>
      </c>
      <c r="AG505" s="45">
        <f t="shared" si="25"/>
        <v>-53981.461111111093</v>
      </c>
      <c r="AH505" s="55"/>
    </row>
    <row r="506" spans="1:34" x14ac:dyDescent="0.25">
      <c r="A506" t="s">
        <v>2147</v>
      </c>
      <c r="B506" t="s">
        <v>2148</v>
      </c>
      <c r="C506" t="s">
        <v>2149</v>
      </c>
      <c r="D506" t="s">
        <v>2150</v>
      </c>
      <c r="E506" t="s">
        <v>2151</v>
      </c>
      <c r="F506" t="s">
        <v>2152</v>
      </c>
      <c r="G506" t="s">
        <v>5</v>
      </c>
      <c r="H506" t="s">
        <v>65</v>
      </c>
      <c r="I506" t="s">
        <v>66</v>
      </c>
      <c r="J506" t="s">
        <v>67</v>
      </c>
      <c r="K506" t="s">
        <v>3</v>
      </c>
      <c r="L506" t="s">
        <v>4</v>
      </c>
      <c r="M506" t="s">
        <v>49</v>
      </c>
      <c r="N506" t="s">
        <v>2153</v>
      </c>
      <c r="O506" s="31" t="s">
        <v>2154</v>
      </c>
      <c r="P506">
        <v>220</v>
      </c>
      <c r="R506">
        <v>3</v>
      </c>
      <c r="S506" s="31">
        <v>225000</v>
      </c>
      <c r="T506" s="39">
        <v>240000</v>
      </c>
      <c r="U506">
        <v>35000.01</v>
      </c>
      <c r="V506">
        <v>24000</v>
      </c>
      <c r="W506">
        <v>0</v>
      </c>
      <c r="X506" s="39">
        <v>71199.990000000005</v>
      </c>
      <c r="Y506">
        <v>0</v>
      </c>
      <c r="Z506" s="31">
        <v>180999.99</v>
      </c>
      <c r="AA506">
        <v>8</v>
      </c>
      <c r="AB506" s="3">
        <f t="shared" si="23"/>
        <v>180999.99</v>
      </c>
      <c r="AC506" t="str">
        <f>IF(AB506-S506&lt;0,"YES","NO")</f>
        <v>YES</v>
      </c>
      <c r="AD506">
        <f>IF(AC506="NO",0,AB506-S506)</f>
        <v>-44000.010000000009</v>
      </c>
      <c r="AE506" s="43">
        <v>0.08</v>
      </c>
      <c r="AF506" s="3">
        <f t="shared" si="24"/>
        <v>-40740.750000000007</v>
      </c>
      <c r="AG506" s="45">
        <f t="shared" si="25"/>
        <v>-44814.825000000012</v>
      </c>
      <c r="AH506" s="55"/>
    </row>
    <row r="507" spans="1:34" x14ac:dyDescent="0.25">
      <c r="A507" t="s">
        <v>2155</v>
      </c>
      <c r="B507" t="s">
        <v>2156</v>
      </c>
      <c r="C507" t="s">
        <v>2157</v>
      </c>
      <c r="D507" t="s">
        <v>2158</v>
      </c>
      <c r="E507" t="s">
        <v>2159</v>
      </c>
      <c r="F507" t="s">
        <v>2160</v>
      </c>
      <c r="G507" t="s">
        <v>5</v>
      </c>
      <c r="H507" t="s">
        <v>65</v>
      </c>
      <c r="I507" t="s">
        <v>66</v>
      </c>
      <c r="J507" t="s">
        <v>67</v>
      </c>
      <c r="K507" t="s">
        <v>3</v>
      </c>
      <c r="L507" t="s">
        <v>4</v>
      </c>
      <c r="M507" t="s">
        <v>49</v>
      </c>
      <c r="N507" t="s">
        <v>2161</v>
      </c>
      <c r="O507" s="31" t="s">
        <v>2162</v>
      </c>
      <c r="P507">
        <v>220</v>
      </c>
      <c r="R507">
        <v>6</v>
      </c>
      <c r="S507" s="31">
        <v>450000</v>
      </c>
      <c r="T507" s="39">
        <v>480000</v>
      </c>
      <c r="U507">
        <v>75000</v>
      </c>
      <c r="V507">
        <v>48000</v>
      </c>
      <c r="W507">
        <v>0</v>
      </c>
      <c r="X507" s="39">
        <v>146401.01999999999</v>
      </c>
      <c r="Y507">
        <v>0</v>
      </c>
      <c r="Z507" s="31">
        <v>357000</v>
      </c>
      <c r="AA507">
        <v>8</v>
      </c>
      <c r="AB507" s="3">
        <f t="shared" si="23"/>
        <v>357000</v>
      </c>
      <c r="AC507" t="str">
        <f>IF(AB507-S507&lt;0,"YES","NO")</f>
        <v>YES</v>
      </c>
      <c r="AD507">
        <f>IF(AC507="NO",0,AB507-S507)</f>
        <v>-93000</v>
      </c>
      <c r="AE507" s="43">
        <v>0.08</v>
      </c>
      <c r="AF507" s="3">
        <f t="shared" si="24"/>
        <v>-86111.111111111109</v>
      </c>
      <c r="AG507" s="45">
        <f t="shared" si="25"/>
        <v>-94722.222222222234</v>
      </c>
      <c r="AH507" s="55"/>
    </row>
    <row r="508" spans="1:34" x14ac:dyDescent="0.25">
      <c r="A508" t="s">
        <v>2163</v>
      </c>
      <c r="B508" t="s">
        <v>2164</v>
      </c>
      <c r="C508" t="s">
        <v>2165</v>
      </c>
      <c r="D508" t="s">
        <v>2166</v>
      </c>
      <c r="E508" t="s">
        <v>2167</v>
      </c>
      <c r="F508" t="s">
        <v>2168</v>
      </c>
      <c r="G508" t="s">
        <v>5</v>
      </c>
      <c r="H508" t="s">
        <v>65</v>
      </c>
      <c r="I508" t="s">
        <v>78</v>
      </c>
      <c r="J508" t="s">
        <v>79</v>
      </c>
      <c r="K508" t="s">
        <v>3</v>
      </c>
      <c r="L508" t="s">
        <v>4</v>
      </c>
      <c r="M508" t="s">
        <v>49</v>
      </c>
      <c r="N508" t="s">
        <v>2169</v>
      </c>
      <c r="O508" s="31" t="s">
        <v>2170</v>
      </c>
      <c r="P508">
        <v>220</v>
      </c>
      <c r="R508">
        <v>6</v>
      </c>
      <c r="S508" s="31">
        <v>450000</v>
      </c>
      <c r="T508" s="39">
        <v>480000</v>
      </c>
      <c r="U508">
        <v>79999.98</v>
      </c>
      <c r="V508">
        <v>48000</v>
      </c>
      <c r="W508">
        <v>0</v>
      </c>
      <c r="X508" s="39">
        <v>143359.98000000001</v>
      </c>
      <c r="Y508">
        <v>0</v>
      </c>
      <c r="Z508" s="31">
        <v>352000.02</v>
      </c>
      <c r="AA508">
        <v>8</v>
      </c>
      <c r="AB508" s="3">
        <f t="shared" si="23"/>
        <v>352000.02</v>
      </c>
      <c r="AC508" t="str">
        <f>IF(AB508-S508&lt;0,"YES","NO")</f>
        <v>YES</v>
      </c>
      <c r="AD508">
        <f>IF(AC508="NO",0,AB508-S508)</f>
        <v>-97999.979999999981</v>
      </c>
      <c r="AE508" s="43">
        <v>0.08</v>
      </c>
      <c r="AF508" s="3">
        <f t="shared" si="24"/>
        <v>-90740.722222222204</v>
      </c>
      <c r="AG508" s="45">
        <f t="shared" si="25"/>
        <v>-99814.794444444429</v>
      </c>
      <c r="AH508" s="55"/>
    </row>
    <row r="509" spans="1:34" x14ac:dyDescent="0.25">
      <c r="A509" t="s">
        <v>2171</v>
      </c>
      <c r="B509" t="s">
        <v>2172</v>
      </c>
      <c r="C509" t="s">
        <v>2173</v>
      </c>
      <c r="D509" t="s">
        <v>2174</v>
      </c>
      <c r="E509" t="s">
        <v>2175</v>
      </c>
      <c r="F509" t="s">
        <v>2176</v>
      </c>
      <c r="G509" t="s">
        <v>5</v>
      </c>
      <c r="H509" t="s">
        <v>65</v>
      </c>
      <c r="I509" t="s">
        <v>68</v>
      </c>
      <c r="J509" t="s">
        <v>69</v>
      </c>
      <c r="K509" t="s">
        <v>3</v>
      </c>
      <c r="L509" t="s">
        <v>4</v>
      </c>
      <c r="M509" t="s">
        <v>49</v>
      </c>
      <c r="N509" t="s">
        <v>2177</v>
      </c>
      <c r="O509" s="31" t="s">
        <v>2178</v>
      </c>
      <c r="P509">
        <v>220</v>
      </c>
      <c r="Q509" t="s">
        <v>70</v>
      </c>
      <c r="R509">
        <v>1</v>
      </c>
      <c r="S509" s="31">
        <v>59000</v>
      </c>
      <c r="T509" s="39">
        <v>65000</v>
      </c>
      <c r="U509">
        <v>11666.67</v>
      </c>
      <c r="V509">
        <v>6500</v>
      </c>
      <c r="W509">
        <v>0</v>
      </c>
      <c r="X509" s="39">
        <v>21033.33</v>
      </c>
      <c r="Y509">
        <v>0</v>
      </c>
      <c r="Z509" s="31">
        <v>46833.33</v>
      </c>
      <c r="AA509">
        <v>8</v>
      </c>
      <c r="AB509" s="3">
        <f t="shared" si="23"/>
        <v>46833.33</v>
      </c>
      <c r="AC509" t="str">
        <f>IF(AB509-S509&lt;0,"YES","NO")</f>
        <v>YES</v>
      </c>
      <c r="AD509">
        <f>IF(AC509="NO",0,AB509-S509)</f>
        <v>-12166.669999999998</v>
      </c>
      <c r="AE509" s="43">
        <v>0.08</v>
      </c>
      <c r="AF509" s="3">
        <f t="shared" si="24"/>
        <v>-11265.435185185182</v>
      </c>
      <c r="AG509" s="45">
        <f t="shared" si="25"/>
        <v>-12391.978703703702</v>
      </c>
      <c r="AH509" s="55"/>
    </row>
    <row r="510" spans="1:34" x14ac:dyDescent="0.25">
      <c r="A510" t="s">
        <v>2171</v>
      </c>
      <c r="B510" t="s">
        <v>2172</v>
      </c>
      <c r="C510" t="s">
        <v>2173</v>
      </c>
      <c r="D510" t="s">
        <v>2174</v>
      </c>
      <c r="E510" t="s">
        <v>2175</v>
      </c>
      <c r="F510" t="s">
        <v>2176</v>
      </c>
      <c r="G510" t="s">
        <v>5</v>
      </c>
      <c r="H510" t="s">
        <v>65</v>
      </c>
      <c r="I510" t="s">
        <v>71</v>
      </c>
      <c r="J510" t="s">
        <v>72</v>
      </c>
      <c r="K510" t="s">
        <v>3</v>
      </c>
      <c r="L510" t="s">
        <v>4</v>
      </c>
      <c r="M510" t="s">
        <v>49</v>
      </c>
      <c r="N510" t="s">
        <v>2177</v>
      </c>
      <c r="O510" s="31" t="s">
        <v>2178</v>
      </c>
      <c r="P510">
        <v>220</v>
      </c>
      <c r="Q510" t="s">
        <v>70</v>
      </c>
      <c r="R510">
        <v>1</v>
      </c>
      <c r="S510" s="31">
        <v>59000</v>
      </c>
      <c r="T510" s="39">
        <v>65000</v>
      </c>
      <c r="U510">
        <v>11666.67</v>
      </c>
      <c r="V510">
        <v>6500</v>
      </c>
      <c r="W510">
        <v>0</v>
      </c>
      <c r="X510" s="39">
        <v>21033.33</v>
      </c>
      <c r="Y510">
        <v>0</v>
      </c>
      <c r="Z510" s="31">
        <v>46833.33</v>
      </c>
      <c r="AA510">
        <v>8</v>
      </c>
      <c r="AB510" s="3">
        <f t="shared" si="23"/>
        <v>46833.33</v>
      </c>
      <c r="AC510" t="str">
        <f>IF(AB510-S510&lt;0,"YES","NO")</f>
        <v>YES</v>
      </c>
      <c r="AD510">
        <f>IF(AC510="NO",0,AB510-S510)</f>
        <v>-12166.669999999998</v>
      </c>
      <c r="AE510" s="43">
        <v>0.08</v>
      </c>
      <c r="AF510" s="3">
        <f t="shared" si="24"/>
        <v>-11265.435185185182</v>
      </c>
      <c r="AG510" s="45">
        <f t="shared" si="25"/>
        <v>-12391.978703703702</v>
      </c>
      <c r="AH510" s="55"/>
    </row>
    <row r="511" spans="1:34" x14ac:dyDescent="0.25">
      <c r="A511" t="s">
        <v>2171</v>
      </c>
      <c r="B511" t="s">
        <v>2172</v>
      </c>
      <c r="C511" t="s">
        <v>2173</v>
      </c>
      <c r="D511" t="s">
        <v>2174</v>
      </c>
      <c r="E511" t="s">
        <v>2175</v>
      </c>
      <c r="F511" t="s">
        <v>2176</v>
      </c>
      <c r="G511" t="s">
        <v>5</v>
      </c>
      <c r="H511" t="s">
        <v>65</v>
      </c>
      <c r="I511" t="s">
        <v>73</v>
      </c>
      <c r="J511" t="s">
        <v>74</v>
      </c>
      <c r="K511" t="s">
        <v>3</v>
      </c>
      <c r="L511" t="s">
        <v>4</v>
      </c>
      <c r="M511" t="s">
        <v>49</v>
      </c>
      <c r="N511" t="s">
        <v>2177</v>
      </c>
      <c r="O511" s="31" t="s">
        <v>2178</v>
      </c>
      <c r="P511">
        <v>220</v>
      </c>
      <c r="Q511" t="s">
        <v>70</v>
      </c>
      <c r="R511">
        <v>1</v>
      </c>
      <c r="S511" s="31">
        <v>59000</v>
      </c>
      <c r="T511" s="39">
        <v>65000</v>
      </c>
      <c r="U511">
        <v>11666.67</v>
      </c>
      <c r="V511">
        <v>6500</v>
      </c>
      <c r="W511">
        <v>0</v>
      </c>
      <c r="X511" s="39">
        <v>21033.33</v>
      </c>
      <c r="Y511">
        <v>0</v>
      </c>
      <c r="Z511" s="31">
        <v>46833.33</v>
      </c>
      <c r="AA511">
        <v>8</v>
      </c>
      <c r="AB511" s="3">
        <f t="shared" si="23"/>
        <v>46833.33</v>
      </c>
      <c r="AC511" t="str">
        <f>IF(AB511-S511&lt;0,"YES","NO")</f>
        <v>YES</v>
      </c>
      <c r="AD511">
        <f>IF(AC511="NO",0,AB511-S511)</f>
        <v>-12166.669999999998</v>
      </c>
      <c r="AE511" s="43">
        <v>0.08</v>
      </c>
      <c r="AF511" s="3">
        <f t="shared" si="24"/>
        <v>-11265.435185185182</v>
      </c>
      <c r="AG511" s="45">
        <f t="shared" si="25"/>
        <v>-12391.978703703702</v>
      </c>
      <c r="AH511" s="55"/>
    </row>
    <row r="512" spans="1:34" x14ac:dyDescent="0.25">
      <c r="A512" t="s">
        <v>2179</v>
      </c>
      <c r="B512" t="s">
        <v>2180</v>
      </c>
      <c r="C512" t="s">
        <v>2181</v>
      </c>
      <c r="D512" t="s">
        <v>2182</v>
      </c>
      <c r="E512" t="s">
        <v>2183</v>
      </c>
      <c r="F512" t="s">
        <v>2184</v>
      </c>
      <c r="G512" t="s">
        <v>5</v>
      </c>
      <c r="H512" t="s">
        <v>61</v>
      </c>
      <c r="I512" t="s">
        <v>62</v>
      </c>
      <c r="J512" t="s">
        <v>63</v>
      </c>
      <c r="K512" t="s">
        <v>3</v>
      </c>
      <c r="L512" t="s">
        <v>4</v>
      </c>
      <c r="M512" t="s">
        <v>49</v>
      </c>
      <c r="N512" t="s">
        <v>2185</v>
      </c>
      <c r="O512" s="31" t="s">
        <v>2186</v>
      </c>
      <c r="P512">
        <v>20000</v>
      </c>
      <c r="Q512" t="s">
        <v>64</v>
      </c>
      <c r="R512">
        <v>1</v>
      </c>
      <c r="S512" s="31">
        <v>0</v>
      </c>
      <c r="T512" s="39">
        <v>0</v>
      </c>
      <c r="U512">
        <v>0</v>
      </c>
      <c r="V512">
        <v>0</v>
      </c>
      <c r="W512">
        <v>0</v>
      </c>
      <c r="X512" s="39">
        <v>0</v>
      </c>
      <c r="Y512">
        <v>0</v>
      </c>
      <c r="Z512" s="31">
        <v>0</v>
      </c>
      <c r="AA512">
        <v>8</v>
      </c>
      <c r="AB512" s="3">
        <f t="shared" si="23"/>
        <v>0</v>
      </c>
      <c r="AC512" t="str">
        <f>IF(AB512-S512&lt;0,"YES","NO")</f>
        <v>NO</v>
      </c>
      <c r="AD512">
        <f>IF(AC512="NO",0,AB512-S512)</f>
        <v>0</v>
      </c>
      <c r="AE512" s="43">
        <v>0.08</v>
      </c>
      <c r="AF512" s="3">
        <f t="shared" si="24"/>
        <v>0</v>
      </c>
      <c r="AG512" s="45">
        <f t="shared" si="25"/>
        <v>0</v>
      </c>
      <c r="AH512" s="55"/>
    </row>
    <row r="513" spans="1:34" x14ac:dyDescent="0.25">
      <c r="A513" t="s">
        <v>2179</v>
      </c>
      <c r="B513" t="s">
        <v>2180</v>
      </c>
      <c r="C513" t="s">
        <v>2181</v>
      </c>
      <c r="D513" t="s">
        <v>2182</v>
      </c>
      <c r="E513" t="s">
        <v>2183</v>
      </c>
      <c r="F513" t="s">
        <v>2184</v>
      </c>
      <c r="G513" t="s">
        <v>5</v>
      </c>
      <c r="H513" t="s">
        <v>65</v>
      </c>
      <c r="I513" t="s">
        <v>66</v>
      </c>
      <c r="J513" t="s">
        <v>67</v>
      </c>
      <c r="K513" t="s">
        <v>3</v>
      </c>
      <c r="L513" t="s">
        <v>4</v>
      </c>
      <c r="M513" t="s">
        <v>49</v>
      </c>
      <c r="N513" t="s">
        <v>2185</v>
      </c>
      <c r="O513" s="31" t="s">
        <v>2186</v>
      </c>
      <c r="P513">
        <v>220</v>
      </c>
      <c r="R513">
        <v>1</v>
      </c>
      <c r="S513" s="31">
        <v>75000</v>
      </c>
      <c r="T513" s="39">
        <v>80000</v>
      </c>
      <c r="U513">
        <v>11666.67</v>
      </c>
      <c r="V513">
        <v>8000</v>
      </c>
      <c r="W513">
        <v>0</v>
      </c>
      <c r="X513" s="39">
        <v>32783.33</v>
      </c>
      <c r="Y513">
        <v>0</v>
      </c>
      <c r="Z513" s="31">
        <v>60333.33</v>
      </c>
      <c r="AA513">
        <v>8</v>
      </c>
      <c r="AB513" s="3">
        <f t="shared" si="23"/>
        <v>60333.33</v>
      </c>
      <c r="AC513" t="str">
        <f>IF(AB513-S513&lt;0,"YES","NO")</f>
        <v>YES</v>
      </c>
      <c r="AD513">
        <f>IF(AC513="NO",0,AB513-S513)</f>
        <v>-14666.669999999998</v>
      </c>
      <c r="AE513" s="43">
        <v>0.08</v>
      </c>
      <c r="AF513" s="3">
        <f t="shared" si="24"/>
        <v>-13580.249999999998</v>
      </c>
      <c r="AG513" s="45">
        <f t="shared" si="25"/>
        <v>-14938.275</v>
      </c>
      <c r="AH513" s="55"/>
    </row>
    <row r="514" spans="1:34" x14ac:dyDescent="0.25">
      <c r="A514" t="s">
        <v>2179</v>
      </c>
      <c r="B514" t="s">
        <v>2180</v>
      </c>
      <c r="C514" t="s">
        <v>2181</v>
      </c>
      <c r="D514" t="s">
        <v>2182</v>
      </c>
      <c r="E514" t="s">
        <v>2183</v>
      </c>
      <c r="F514" t="s">
        <v>2184</v>
      </c>
      <c r="G514" t="s">
        <v>5</v>
      </c>
      <c r="H514" t="s">
        <v>65</v>
      </c>
      <c r="I514" t="s">
        <v>78</v>
      </c>
      <c r="J514" t="s">
        <v>79</v>
      </c>
      <c r="K514" t="s">
        <v>3</v>
      </c>
      <c r="L514" t="s">
        <v>4</v>
      </c>
      <c r="M514" t="s">
        <v>49</v>
      </c>
      <c r="N514" t="s">
        <v>2185</v>
      </c>
      <c r="O514" s="31" t="s">
        <v>2186</v>
      </c>
      <c r="P514">
        <v>220</v>
      </c>
      <c r="R514">
        <v>1</v>
      </c>
      <c r="S514" s="31">
        <v>75000</v>
      </c>
      <c r="T514" s="39">
        <v>80000</v>
      </c>
      <c r="U514">
        <v>11666.67</v>
      </c>
      <c r="V514">
        <v>8000</v>
      </c>
      <c r="W514">
        <v>0</v>
      </c>
      <c r="X514" s="39">
        <v>32783.33</v>
      </c>
      <c r="Y514">
        <v>0</v>
      </c>
      <c r="Z514" s="31">
        <v>60333.33</v>
      </c>
      <c r="AA514">
        <v>8</v>
      </c>
      <c r="AB514" s="3">
        <f t="shared" si="23"/>
        <v>60333.33</v>
      </c>
      <c r="AC514" t="str">
        <f>IF(AB514-S514&lt;0,"YES","NO")</f>
        <v>YES</v>
      </c>
      <c r="AD514">
        <f>IF(AC514="NO",0,AB514-S514)</f>
        <v>-14666.669999999998</v>
      </c>
      <c r="AE514" s="43">
        <v>0.08</v>
      </c>
      <c r="AF514" s="3">
        <f t="shared" si="24"/>
        <v>-13580.249999999998</v>
      </c>
      <c r="AG514" s="45">
        <f t="shared" si="25"/>
        <v>-14938.275</v>
      </c>
      <c r="AH514" s="55"/>
    </row>
    <row r="515" spans="1:34" x14ac:dyDescent="0.25">
      <c r="A515" t="s">
        <v>2179</v>
      </c>
      <c r="B515" t="s">
        <v>2180</v>
      </c>
      <c r="C515" t="s">
        <v>2181</v>
      </c>
      <c r="D515" t="s">
        <v>2182</v>
      </c>
      <c r="E515" t="s">
        <v>2183</v>
      </c>
      <c r="F515" t="s">
        <v>2184</v>
      </c>
      <c r="G515" t="s">
        <v>5</v>
      </c>
      <c r="H515" t="s">
        <v>65</v>
      </c>
      <c r="I515" t="s">
        <v>80</v>
      </c>
      <c r="J515" t="s">
        <v>81</v>
      </c>
      <c r="K515" t="s">
        <v>3</v>
      </c>
      <c r="L515" t="s">
        <v>4</v>
      </c>
      <c r="M515" t="s">
        <v>49</v>
      </c>
      <c r="N515" t="s">
        <v>2185</v>
      </c>
      <c r="O515" s="31" t="s">
        <v>2186</v>
      </c>
      <c r="P515">
        <v>220</v>
      </c>
      <c r="R515">
        <v>1</v>
      </c>
      <c r="S515" s="31">
        <v>75000</v>
      </c>
      <c r="T515" s="39">
        <v>80000</v>
      </c>
      <c r="U515">
        <v>11666.67</v>
      </c>
      <c r="V515">
        <v>8000</v>
      </c>
      <c r="W515">
        <v>0</v>
      </c>
      <c r="X515" s="39">
        <v>32783.33</v>
      </c>
      <c r="Y515">
        <v>0</v>
      </c>
      <c r="Z515" s="31">
        <v>60333.33</v>
      </c>
      <c r="AA515">
        <v>8</v>
      </c>
      <c r="AB515" s="3">
        <f t="shared" si="23"/>
        <v>60333.33</v>
      </c>
      <c r="AC515" t="str">
        <f>IF(AB515-S515&lt;0,"YES","NO")</f>
        <v>YES</v>
      </c>
      <c r="AD515">
        <f>IF(AC515="NO",0,AB515-S515)</f>
        <v>-14666.669999999998</v>
      </c>
      <c r="AE515" s="43">
        <v>0.08</v>
      </c>
      <c r="AF515" s="3">
        <f t="shared" si="24"/>
        <v>-13580.249999999998</v>
      </c>
      <c r="AG515" s="45">
        <f t="shared" si="25"/>
        <v>-14938.275</v>
      </c>
      <c r="AH515" s="55"/>
    </row>
    <row r="516" spans="1:34" x14ac:dyDescent="0.25">
      <c r="A516" t="s">
        <v>2187</v>
      </c>
      <c r="B516" t="s">
        <v>2188</v>
      </c>
      <c r="C516" t="s">
        <v>2189</v>
      </c>
      <c r="D516" t="s">
        <v>2190</v>
      </c>
      <c r="E516" t="s">
        <v>1923</v>
      </c>
      <c r="F516" t="s">
        <v>2191</v>
      </c>
      <c r="G516" t="s">
        <v>5</v>
      </c>
      <c r="H516" t="s">
        <v>65</v>
      </c>
      <c r="I516" t="s">
        <v>73</v>
      </c>
      <c r="J516" t="s">
        <v>74</v>
      </c>
      <c r="K516" t="s">
        <v>3</v>
      </c>
      <c r="L516" t="s">
        <v>4</v>
      </c>
      <c r="M516" t="s">
        <v>49</v>
      </c>
      <c r="N516" t="s">
        <v>2192</v>
      </c>
      <c r="O516" s="31" t="s">
        <v>2193</v>
      </c>
      <c r="P516">
        <v>220</v>
      </c>
      <c r="Q516" t="s">
        <v>70</v>
      </c>
      <c r="R516">
        <v>3</v>
      </c>
      <c r="S516" s="31">
        <v>177000</v>
      </c>
      <c r="T516" s="39">
        <v>195000</v>
      </c>
      <c r="U516">
        <v>35000.01</v>
      </c>
      <c r="V516">
        <v>19500</v>
      </c>
      <c r="W516">
        <v>0</v>
      </c>
      <c r="X516" s="39">
        <v>54669.99</v>
      </c>
      <c r="Y516">
        <v>0</v>
      </c>
      <c r="Z516" s="31">
        <v>140499.99</v>
      </c>
      <c r="AA516">
        <v>8</v>
      </c>
      <c r="AB516" s="3">
        <f t="shared" si="23"/>
        <v>140499.99</v>
      </c>
      <c r="AC516" t="str">
        <f>IF(AB516-S516&lt;0,"YES","NO")</f>
        <v>YES</v>
      </c>
      <c r="AD516">
        <f>IF(AC516="NO",0,AB516-S516)</f>
        <v>-36500.010000000009</v>
      </c>
      <c r="AE516" s="43">
        <v>0.08</v>
      </c>
      <c r="AF516" s="3">
        <f t="shared" si="24"/>
        <v>-33796.305555555562</v>
      </c>
      <c r="AG516" s="45">
        <f t="shared" si="25"/>
        <v>-37175.936111111121</v>
      </c>
      <c r="AH516" s="55"/>
    </row>
    <row r="517" spans="1:34" x14ac:dyDescent="0.25">
      <c r="A517" t="s">
        <v>2194</v>
      </c>
      <c r="B517" t="s">
        <v>2195</v>
      </c>
      <c r="C517" t="s">
        <v>2196</v>
      </c>
      <c r="D517" t="s">
        <v>2197</v>
      </c>
      <c r="E517" t="s">
        <v>2198</v>
      </c>
      <c r="F517" t="s">
        <v>2199</v>
      </c>
      <c r="G517" t="s">
        <v>5</v>
      </c>
      <c r="H517" t="s">
        <v>65</v>
      </c>
      <c r="I517" t="s">
        <v>66</v>
      </c>
      <c r="J517" t="s">
        <v>67</v>
      </c>
      <c r="K517" t="s">
        <v>3</v>
      </c>
      <c r="L517" t="s">
        <v>4</v>
      </c>
      <c r="M517" t="s">
        <v>49</v>
      </c>
      <c r="N517" t="s">
        <v>2200</v>
      </c>
      <c r="O517" s="31" t="s">
        <v>2201</v>
      </c>
      <c r="P517">
        <v>220</v>
      </c>
      <c r="R517">
        <v>3</v>
      </c>
      <c r="S517" s="31">
        <v>225000</v>
      </c>
      <c r="T517" s="39">
        <v>240000</v>
      </c>
      <c r="U517">
        <v>35000.01</v>
      </c>
      <c r="V517">
        <v>24000</v>
      </c>
      <c r="W517">
        <v>0</v>
      </c>
      <c r="X517" s="39">
        <v>71199.990000000005</v>
      </c>
      <c r="Y517">
        <v>0</v>
      </c>
      <c r="Z517" s="31">
        <v>180999.99</v>
      </c>
      <c r="AA517">
        <v>8</v>
      </c>
      <c r="AB517" s="3">
        <f t="shared" si="23"/>
        <v>180999.99</v>
      </c>
      <c r="AC517" t="str">
        <f>IF(AB517-S517&lt;0,"YES","NO")</f>
        <v>YES</v>
      </c>
      <c r="AD517">
        <f>IF(AC517="NO",0,AB517-S517)</f>
        <v>-44000.010000000009</v>
      </c>
      <c r="AE517" s="43">
        <v>0.08</v>
      </c>
      <c r="AF517" s="3">
        <f t="shared" si="24"/>
        <v>-40740.750000000007</v>
      </c>
      <c r="AG517" s="45">
        <f t="shared" si="25"/>
        <v>-44814.825000000012</v>
      </c>
      <c r="AH517" s="55"/>
    </row>
    <row r="518" spans="1:34" x14ac:dyDescent="0.25">
      <c r="A518" t="s">
        <v>2202</v>
      </c>
      <c r="B518" t="s">
        <v>2203</v>
      </c>
      <c r="C518" t="s">
        <v>2204</v>
      </c>
      <c r="D518" t="s">
        <v>2205</v>
      </c>
      <c r="E518" t="s">
        <v>2206</v>
      </c>
      <c r="F518" t="s">
        <v>2207</v>
      </c>
      <c r="G518" t="s">
        <v>5</v>
      </c>
      <c r="H518" t="s">
        <v>61</v>
      </c>
      <c r="I518" t="s">
        <v>93</v>
      </c>
      <c r="J518" t="s">
        <v>94</v>
      </c>
      <c r="K518" t="s">
        <v>3</v>
      </c>
      <c r="L518" t="s">
        <v>4</v>
      </c>
      <c r="M518" t="s">
        <v>49</v>
      </c>
      <c r="N518" t="s">
        <v>2208</v>
      </c>
      <c r="O518" s="31" t="s">
        <v>2209</v>
      </c>
      <c r="P518">
        <v>20</v>
      </c>
      <c r="Q518" t="s">
        <v>86</v>
      </c>
      <c r="R518">
        <v>1</v>
      </c>
      <c r="S518" s="31">
        <v>0</v>
      </c>
      <c r="T518" s="39">
        <v>0</v>
      </c>
      <c r="U518">
        <v>0</v>
      </c>
      <c r="V518">
        <v>0</v>
      </c>
      <c r="W518">
        <v>0</v>
      </c>
      <c r="X518" s="39">
        <v>0</v>
      </c>
      <c r="Y518">
        <v>0</v>
      </c>
      <c r="Z518" s="31">
        <v>0</v>
      </c>
      <c r="AA518">
        <v>8</v>
      </c>
      <c r="AB518" s="3">
        <f t="shared" ref="AB518:AB581" si="26">Z518</f>
        <v>0</v>
      </c>
      <c r="AC518" t="str">
        <f>IF(AB518-S518&lt;0,"YES","NO")</f>
        <v>NO</v>
      </c>
      <c r="AD518">
        <f>IF(AC518="NO",0,AB518-S518)</f>
        <v>0</v>
      </c>
      <c r="AE518" s="43">
        <v>0.08</v>
      </c>
      <c r="AF518" s="3">
        <f t="shared" ref="AF518:AF581" si="27">AD518/(1+AE518)</f>
        <v>0</v>
      </c>
      <c r="AG518" s="45">
        <f t="shared" ref="AG518:AG581" si="28">AF518*1.1</f>
        <v>0</v>
      </c>
      <c r="AH518" s="55"/>
    </row>
    <row r="519" spans="1:34" x14ac:dyDescent="0.25">
      <c r="A519" t="s">
        <v>2202</v>
      </c>
      <c r="B519" t="s">
        <v>2203</v>
      </c>
      <c r="C519" t="s">
        <v>2204</v>
      </c>
      <c r="D519" t="s">
        <v>2205</v>
      </c>
      <c r="E519" t="s">
        <v>2206</v>
      </c>
      <c r="F519" t="s">
        <v>2207</v>
      </c>
      <c r="G519" t="s">
        <v>5</v>
      </c>
      <c r="H519" t="s">
        <v>65</v>
      </c>
      <c r="I519" t="s">
        <v>95</v>
      </c>
      <c r="J519" t="s">
        <v>96</v>
      </c>
      <c r="K519" t="s">
        <v>3</v>
      </c>
      <c r="L519" t="s">
        <v>4</v>
      </c>
      <c r="M519" t="s">
        <v>49</v>
      </c>
      <c r="N519" t="s">
        <v>2208</v>
      </c>
      <c r="O519" s="31" t="s">
        <v>2209</v>
      </c>
      <c r="P519">
        <v>200</v>
      </c>
      <c r="R519">
        <v>6</v>
      </c>
      <c r="S519" s="31">
        <v>432000</v>
      </c>
      <c r="T519" s="39">
        <v>480000</v>
      </c>
      <c r="U519">
        <v>75000</v>
      </c>
      <c r="V519">
        <v>48000</v>
      </c>
      <c r="W519">
        <v>0</v>
      </c>
      <c r="X519" s="39">
        <v>146400</v>
      </c>
      <c r="Y519">
        <v>0</v>
      </c>
      <c r="Z519" s="31">
        <v>357000</v>
      </c>
      <c r="AA519">
        <v>8</v>
      </c>
      <c r="AB519" s="3">
        <f t="shared" si="26"/>
        <v>357000</v>
      </c>
      <c r="AC519" t="str">
        <f>IF(AB519-S519&lt;0,"YES","NO")</f>
        <v>YES</v>
      </c>
      <c r="AD519">
        <f>IF(AC519="NO",0,AB519-S519)</f>
        <v>-75000</v>
      </c>
      <c r="AE519" s="43">
        <v>0.08</v>
      </c>
      <c r="AF519" s="3">
        <f t="shared" si="27"/>
        <v>-69444.444444444438</v>
      </c>
      <c r="AG519" s="45">
        <f t="shared" si="28"/>
        <v>-76388.888888888891</v>
      </c>
      <c r="AH519" s="55"/>
    </row>
    <row r="520" spans="1:34" x14ac:dyDescent="0.25">
      <c r="A520" t="s">
        <v>2210</v>
      </c>
      <c r="B520" t="s">
        <v>2211</v>
      </c>
      <c r="C520" t="s">
        <v>2212</v>
      </c>
      <c r="D520" t="s">
        <v>2213</v>
      </c>
      <c r="E520" t="s">
        <v>2214</v>
      </c>
      <c r="F520" t="s">
        <v>2215</v>
      </c>
      <c r="G520" t="s">
        <v>5</v>
      </c>
      <c r="H520" t="s">
        <v>65</v>
      </c>
      <c r="I520" t="s">
        <v>82</v>
      </c>
      <c r="J520" t="s">
        <v>83</v>
      </c>
      <c r="K520" t="s">
        <v>3</v>
      </c>
      <c r="L520" t="s">
        <v>4</v>
      </c>
      <c r="M520" t="s">
        <v>49</v>
      </c>
      <c r="N520" t="s">
        <v>2216</v>
      </c>
      <c r="O520" s="31" t="s">
        <v>2217</v>
      </c>
      <c r="P520">
        <v>220</v>
      </c>
      <c r="R520">
        <v>2</v>
      </c>
      <c r="S520" s="31">
        <v>150000</v>
      </c>
      <c r="T520" s="39">
        <v>160000</v>
      </c>
      <c r="U520">
        <v>20000</v>
      </c>
      <c r="V520">
        <v>17000</v>
      </c>
      <c r="W520">
        <v>0</v>
      </c>
      <c r="X520" s="39">
        <v>37220</v>
      </c>
      <c r="Y520">
        <v>0</v>
      </c>
      <c r="Z520" s="31">
        <v>123000</v>
      </c>
      <c r="AA520">
        <v>8</v>
      </c>
      <c r="AB520" s="3">
        <f t="shared" si="26"/>
        <v>123000</v>
      </c>
      <c r="AC520" t="str">
        <f>IF(AB520-S520&lt;0,"YES","NO")</f>
        <v>YES</v>
      </c>
      <c r="AD520">
        <f>IF(AC520="NO",0,AB520-S520)</f>
        <v>-27000</v>
      </c>
      <c r="AE520" s="43">
        <v>0.08</v>
      </c>
      <c r="AF520" s="3">
        <f t="shared" si="27"/>
        <v>-25000</v>
      </c>
      <c r="AG520" s="45">
        <f t="shared" si="28"/>
        <v>-27500.000000000004</v>
      </c>
      <c r="AH520" s="55"/>
    </row>
    <row r="521" spans="1:34" x14ac:dyDescent="0.25">
      <c r="A521" t="s">
        <v>2218</v>
      </c>
      <c r="B521" t="s">
        <v>2219</v>
      </c>
      <c r="C521" t="s">
        <v>2220</v>
      </c>
      <c r="D521" t="s">
        <v>2221</v>
      </c>
      <c r="E521" t="s">
        <v>2222</v>
      </c>
      <c r="F521" t="s">
        <v>2223</v>
      </c>
      <c r="G521" t="s">
        <v>5</v>
      </c>
      <c r="H521" t="s">
        <v>65</v>
      </c>
      <c r="I521" t="s">
        <v>66</v>
      </c>
      <c r="J521" t="s">
        <v>67</v>
      </c>
      <c r="K521" t="s">
        <v>3</v>
      </c>
      <c r="L521" t="s">
        <v>4</v>
      </c>
      <c r="M521" t="s">
        <v>49</v>
      </c>
      <c r="N521" t="s">
        <v>2224</v>
      </c>
      <c r="O521" s="31" t="s">
        <v>2225</v>
      </c>
      <c r="P521">
        <v>220</v>
      </c>
      <c r="R521">
        <v>3</v>
      </c>
      <c r="S521" s="31">
        <v>225000</v>
      </c>
      <c r="T521" s="39">
        <v>240000</v>
      </c>
      <c r="U521">
        <v>35000.01</v>
      </c>
      <c r="V521">
        <v>24000</v>
      </c>
      <c r="W521">
        <v>0</v>
      </c>
      <c r="X521" s="39">
        <v>62150.01</v>
      </c>
      <c r="Y521">
        <v>0</v>
      </c>
      <c r="Z521" s="31">
        <v>180999.99</v>
      </c>
      <c r="AA521">
        <v>8</v>
      </c>
      <c r="AB521" s="3">
        <f t="shared" si="26"/>
        <v>180999.99</v>
      </c>
      <c r="AC521" t="str">
        <f>IF(AB521-S521&lt;0,"YES","NO")</f>
        <v>YES</v>
      </c>
      <c r="AD521">
        <f>IF(AC521="NO",0,AB521-S521)</f>
        <v>-44000.010000000009</v>
      </c>
      <c r="AE521" s="43">
        <v>0.08</v>
      </c>
      <c r="AF521" s="3">
        <f t="shared" si="27"/>
        <v>-40740.750000000007</v>
      </c>
      <c r="AG521" s="45">
        <f t="shared" si="28"/>
        <v>-44814.825000000012</v>
      </c>
      <c r="AH521" s="55"/>
    </row>
    <row r="522" spans="1:34" x14ac:dyDescent="0.25">
      <c r="A522" t="s">
        <v>2226</v>
      </c>
      <c r="B522" t="s">
        <v>2227</v>
      </c>
      <c r="C522" t="s">
        <v>2228</v>
      </c>
      <c r="D522" t="s">
        <v>2229</v>
      </c>
      <c r="E522" t="s">
        <v>2230</v>
      </c>
      <c r="F522" t="s">
        <v>2231</v>
      </c>
      <c r="G522" t="s">
        <v>5</v>
      </c>
      <c r="H522" t="s">
        <v>65</v>
      </c>
      <c r="I522" t="s">
        <v>68</v>
      </c>
      <c r="J522" t="s">
        <v>69</v>
      </c>
      <c r="K522" t="s">
        <v>3</v>
      </c>
      <c r="L522" t="s">
        <v>4</v>
      </c>
      <c r="M522" t="s">
        <v>49</v>
      </c>
      <c r="N522" t="s">
        <v>2232</v>
      </c>
      <c r="O522" s="31" t="s">
        <v>2233</v>
      </c>
      <c r="P522">
        <v>220</v>
      </c>
      <c r="Q522" t="s">
        <v>70</v>
      </c>
      <c r="R522">
        <v>1</v>
      </c>
      <c r="S522" s="31">
        <v>59000</v>
      </c>
      <c r="T522" s="39">
        <v>65000</v>
      </c>
      <c r="U522">
        <v>11666.67</v>
      </c>
      <c r="V522">
        <v>6500</v>
      </c>
      <c r="W522">
        <v>0</v>
      </c>
      <c r="X522" s="39">
        <v>22906.67</v>
      </c>
      <c r="Y522">
        <v>0</v>
      </c>
      <c r="Z522" s="31">
        <v>46833.33</v>
      </c>
      <c r="AA522">
        <v>8</v>
      </c>
      <c r="AB522" s="3">
        <f t="shared" si="26"/>
        <v>46833.33</v>
      </c>
      <c r="AC522" t="str">
        <f>IF(AB522-S522&lt;0,"YES","NO")</f>
        <v>YES</v>
      </c>
      <c r="AD522">
        <f>IF(AC522="NO",0,AB522-S522)</f>
        <v>-12166.669999999998</v>
      </c>
      <c r="AE522" s="43">
        <v>0.08</v>
      </c>
      <c r="AF522" s="3">
        <f t="shared" si="27"/>
        <v>-11265.435185185182</v>
      </c>
      <c r="AG522" s="45">
        <f t="shared" si="28"/>
        <v>-12391.978703703702</v>
      </c>
      <c r="AH522" s="55"/>
    </row>
    <row r="523" spans="1:34" x14ac:dyDescent="0.25">
      <c r="A523" t="s">
        <v>2226</v>
      </c>
      <c r="B523" t="s">
        <v>2227</v>
      </c>
      <c r="C523" t="s">
        <v>2228</v>
      </c>
      <c r="D523" t="s">
        <v>2229</v>
      </c>
      <c r="E523" t="s">
        <v>2230</v>
      </c>
      <c r="F523" t="s">
        <v>2231</v>
      </c>
      <c r="G523" t="s">
        <v>5</v>
      </c>
      <c r="H523" t="s">
        <v>65</v>
      </c>
      <c r="I523" t="s">
        <v>71</v>
      </c>
      <c r="J523" t="s">
        <v>72</v>
      </c>
      <c r="K523" t="s">
        <v>3</v>
      </c>
      <c r="L523" t="s">
        <v>4</v>
      </c>
      <c r="M523" t="s">
        <v>49</v>
      </c>
      <c r="N523" t="s">
        <v>2232</v>
      </c>
      <c r="O523" s="31" t="s">
        <v>2233</v>
      </c>
      <c r="P523">
        <v>220</v>
      </c>
      <c r="Q523" t="s">
        <v>70</v>
      </c>
      <c r="R523">
        <v>1</v>
      </c>
      <c r="S523" s="31">
        <v>59000</v>
      </c>
      <c r="T523" s="39">
        <v>65000</v>
      </c>
      <c r="U523">
        <v>11666.67</v>
      </c>
      <c r="V523">
        <v>6500</v>
      </c>
      <c r="W523">
        <v>0</v>
      </c>
      <c r="X523" s="39">
        <v>22906.67</v>
      </c>
      <c r="Y523">
        <v>0</v>
      </c>
      <c r="Z523" s="31">
        <v>46833.33</v>
      </c>
      <c r="AA523">
        <v>8</v>
      </c>
      <c r="AB523" s="3">
        <f t="shared" si="26"/>
        <v>46833.33</v>
      </c>
      <c r="AC523" t="str">
        <f>IF(AB523-S523&lt;0,"YES","NO")</f>
        <v>YES</v>
      </c>
      <c r="AD523">
        <f>IF(AC523="NO",0,AB523-S523)</f>
        <v>-12166.669999999998</v>
      </c>
      <c r="AE523" s="43">
        <v>0.08</v>
      </c>
      <c r="AF523" s="3">
        <f t="shared" si="27"/>
        <v>-11265.435185185182</v>
      </c>
      <c r="AG523" s="45">
        <f t="shared" si="28"/>
        <v>-12391.978703703702</v>
      </c>
      <c r="AH523" s="55"/>
    </row>
    <row r="524" spans="1:34" x14ac:dyDescent="0.25">
      <c r="A524" t="s">
        <v>2226</v>
      </c>
      <c r="B524" t="s">
        <v>2227</v>
      </c>
      <c r="C524" t="s">
        <v>2228</v>
      </c>
      <c r="D524" t="s">
        <v>2229</v>
      </c>
      <c r="E524" t="s">
        <v>2230</v>
      </c>
      <c r="F524" t="s">
        <v>2231</v>
      </c>
      <c r="G524" t="s">
        <v>5</v>
      </c>
      <c r="H524" t="s">
        <v>65</v>
      </c>
      <c r="I524" t="s">
        <v>73</v>
      </c>
      <c r="J524" t="s">
        <v>74</v>
      </c>
      <c r="K524" t="s">
        <v>3</v>
      </c>
      <c r="L524" t="s">
        <v>4</v>
      </c>
      <c r="M524" t="s">
        <v>49</v>
      </c>
      <c r="N524" t="s">
        <v>2232</v>
      </c>
      <c r="O524" s="31" t="s">
        <v>2233</v>
      </c>
      <c r="P524">
        <v>220</v>
      </c>
      <c r="Q524" t="s">
        <v>70</v>
      </c>
      <c r="R524">
        <v>1</v>
      </c>
      <c r="S524" s="31">
        <v>59000</v>
      </c>
      <c r="T524" s="39">
        <v>65000</v>
      </c>
      <c r="U524">
        <v>11666.67</v>
      </c>
      <c r="V524">
        <v>6500</v>
      </c>
      <c r="W524">
        <v>0</v>
      </c>
      <c r="X524" s="39">
        <v>22906.67</v>
      </c>
      <c r="Y524">
        <v>0</v>
      </c>
      <c r="Z524" s="31">
        <v>46833.33</v>
      </c>
      <c r="AA524">
        <v>8</v>
      </c>
      <c r="AB524" s="3">
        <f t="shared" si="26"/>
        <v>46833.33</v>
      </c>
      <c r="AC524" t="str">
        <f>IF(AB524-S524&lt;0,"YES","NO")</f>
        <v>YES</v>
      </c>
      <c r="AD524">
        <f>IF(AC524="NO",0,AB524-S524)</f>
        <v>-12166.669999999998</v>
      </c>
      <c r="AE524" s="43">
        <v>0.08</v>
      </c>
      <c r="AF524" s="3">
        <f t="shared" si="27"/>
        <v>-11265.435185185182</v>
      </c>
      <c r="AG524" s="45">
        <f t="shared" si="28"/>
        <v>-12391.978703703702</v>
      </c>
      <c r="AH524" s="55"/>
    </row>
    <row r="525" spans="1:34" x14ac:dyDescent="0.25">
      <c r="A525" t="s">
        <v>2234</v>
      </c>
      <c r="B525" t="s">
        <v>2235</v>
      </c>
      <c r="C525" t="s">
        <v>2236</v>
      </c>
      <c r="D525" t="s">
        <v>2237</v>
      </c>
      <c r="E525" t="s">
        <v>2238</v>
      </c>
      <c r="F525" t="s">
        <v>2239</v>
      </c>
      <c r="G525" t="s">
        <v>5</v>
      </c>
      <c r="H525" t="s">
        <v>65</v>
      </c>
      <c r="I525" t="s">
        <v>68</v>
      </c>
      <c r="J525" t="s">
        <v>69</v>
      </c>
      <c r="K525" t="s">
        <v>3</v>
      </c>
      <c r="L525" t="s">
        <v>4</v>
      </c>
      <c r="M525" t="s">
        <v>49</v>
      </c>
      <c r="N525" t="s">
        <v>2240</v>
      </c>
      <c r="O525" s="31" t="s">
        <v>2241</v>
      </c>
      <c r="P525">
        <v>220</v>
      </c>
      <c r="Q525" t="s">
        <v>70</v>
      </c>
      <c r="R525">
        <v>6</v>
      </c>
      <c r="S525" s="31">
        <v>354000</v>
      </c>
      <c r="T525" s="39">
        <v>390000</v>
      </c>
      <c r="U525">
        <v>75000</v>
      </c>
      <c r="V525">
        <v>39000</v>
      </c>
      <c r="W525">
        <v>0</v>
      </c>
      <c r="X525" s="39">
        <v>130198.98</v>
      </c>
      <c r="Y525">
        <v>0</v>
      </c>
      <c r="Z525" s="31">
        <v>276000</v>
      </c>
      <c r="AA525">
        <v>8</v>
      </c>
      <c r="AB525" s="3">
        <f t="shared" si="26"/>
        <v>276000</v>
      </c>
      <c r="AC525" t="str">
        <f>IF(AB525-S525&lt;0,"YES","NO")</f>
        <v>YES</v>
      </c>
      <c r="AD525">
        <f>IF(AC525="NO",0,AB525-S525)</f>
        <v>-78000</v>
      </c>
      <c r="AE525" s="43">
        <v>0.08</v>
      </c>
      <c r="AF525" s="3">
        <f t="shared" si="27"/>
        <v>-72222.222222222219</v>
      </c>
      <c r="AG525" s="45">
        <f t="shared" si="28"/>
        <v>-79444.444444444453</v>
      </c>
      <c r="AH525" s="55"/>
    </row>
    <row r="526" spans="1:34" x14ac:dyDescent="0.25">
      <c r="A526" t="s">
        <v>2242</v>
      </c>
      <c r="B526" t="s">
        <v>2243</v>
      </c>
      <c r="C526" t="s">
        <v>2244</v>
      </c>
      <c r="D526" t="s">
        <v>2245</v>
      </c>
      <c r="E526" t="s">
        <v>2246</v>
      </c>
      <c r="F526" t="s">
        <v>2247</v>
      </c>
      <c r="G526" t="s">
        <v>5</v>
      </c>
      <c r="H526" t="s">
        <v>65</v>
      </c>
      <c r="I526" t="s">
        <v>68</v>
      </c>
      <c r="J526" t="s">
        <v>69</v>
      </c>
      <c r="K526" t="s">
        <v>3</v>
      </c>
      <c r="L526" t="s">
        <v>4</v>
      </c>
      <c r="M526" t="s">
        <v>49</v>
      </c>
      <c r="N526" t="s">
        <v>2248</v>
      </c>
      <c r="O526" s="31" t="s">
        <v>2249</v>
      </c>
      <c r="P526">
        <v>220</v>
      </c>
      <c r="Q526" t="s">
        <v>70</v>
      </c>
      <c r="R526">
        <v>1</v>
      </c>
      <c r="S526" s="31">
        <v>59000</v>
      </c>
      <c r="T526" s="39">
        <v>65000</v>
      </c>
      <c r="U526">
        <v>11666.67</v>
      </c>
      <c r="V526">
        <v>6500</v>
      </c>
      <c r="W526">
        <v>0</v>
      </c>
      <c r="X526" s="39">
        <v>21033.33</v>
      </c>
      <c r="Y526">
        <v>0</v>
      </c>
      <c r="Z526" s="31">
        <v>46833.33</v>
      </c>
      <c r="AA526">
        <v>8</v>
      </c>
      <c r="AB526" s="3">
        <f t="shared" si="26"/>
        <v>46833.33</v>
      </c>
      <c r="AC526" t="str">
        <f>IF(AB526-S526&lt;0,"YES","NO")</f>
        <v>YES</v>
      </c>
      <c r="AD526">
        <f>IF(AC526="NO",0,AB526-S526)</f>
        <v>-12166.669999999998</v>
      </c>
      <c r="AE526" s="43">
        <v>0.08</v>
      </c>
      <c r="AF526" s="3">
        <f t="shared" si="27"/>
        <v>-11265.435185185182</v>
      </c>
      <c r="AG526" s="45">
        <f t="shared" si="28"/>
        <v>-12391.978703703702</v>
      </c>
      <c r="AH526" s="55"/>
    </row>
    <row r="527" spans="1:34" x14ac:dyDescent="0.25">
      <c r="A527" t="s">
        <v>2242</v>
      </c>
      <c r="B527" t="s">
        <v>2243</v>
      </c>
      <c r="C527" t="s">
        <v>2244</v>
      </c>
      <c r="D527" t="s">
        <v>2245</v>
      </c>
      <c r="E527" t="s">
        <v>2246</v>
      </c>
      <c r="F527" t="s">
        <v>2247</v>
      </c>
      <c r="G527" t="s">
        <v>5</v>
      </c>
      <c r="H527" t="s">
        <v>65</v>
      </c>
      <c r="I527" t="s">
        <v>71</v>
      </c>
      <c r="J527" t="s">
        <v>72</v>
      </c>
      <c r="K527" t="s">
        <v>3</v>
      </c>
      <c r="L527" t="s">
        <v>4</v>
      </c>
      <c r="M527" t="s">
        <v>49</v>
      </c>
      <c r="N527" t="s">
        <v>2248</v>
      </c>
      <c r="O527" s="31" t="s">
        <v>2249</v>
      </c>
      <c r="P527">
        <v>220</v>
      </c>
      <c r="Q527" t="s">
        <v>70</v>
      </c>
      <c r="R527">
        <v>1</v>
      </c>
      <c r="S527" s="31">
        <v>59000</v>
      </c>
      <c r="T527" s="39">
        <v>65000</v>
      </c>
      <c r="U527">
        <v>11666.67</v>
      </c>
      <c r="V527">
        <v>6500</v>
      </c>
      <c r="W527">
        <v>0</v>
      </c>
      <c r="X527" s="39">
        <v>21033.33</v>
      </c>
      <c r="Y527">
        <v>0</v>
      </c>
      <c r="Z527" s="31">
        <v>46833.33</v>
      </c>
      <c r="AA527">
        <v>8</v>
      </c>
      <c r="AB527" s="3">
        <f t="shared" si="26"/>
        <v>46833.33</v>
      </c>
      <c r="AC527" t="str">
        <f>IF(AB527-S527&lt;0,"YES","NO")</f>
        <v>YES</v>
      </c>
      <c r="AD527">
        <f>IF(AC527="NO",0,AB527-S527)</f>
        <v>-12166.669999999998</v>
      </c>
      <c r="AE527" s="43">
        <v>0.08</v>
      </c>
      <c r="AF527" s="3">
        <f t="shared" si="27"/>
        <v>-11265.435185185182</v>
      </c>
      <c r="AG527" s="45">
        <f t="shared" si="28"/>
        <v>-12391.978703703702</v>
      </c>
      <c r="AH527" s="55"/>
    </row>
    <row r="528" spans="1:34" x14ac:dyDescent="0.25">
      <c r="A528" t="s">
        <v>2242</v>
      </c>
      <c r="B528" t="s">
        <v>2243</v>
      </c>
      <c r="C528" t="s">
        <v>2244</v>
      </c>
      <c r="D528" t="s">
        <v>2245</v>
      </c>
      <c r="E528" t="s">
        <v>2246</v>
      </c>
      <c r="F528" t="s">
        <v>2247</v>
      </c>
      <c r="G528" t="s">
        <v>5</v>
      </c>
      <c r="H528" t="s">
        <v>65</v>
      </c>
      <c r="I528" t="s">
        <v>73</v>
      </c>
      <c r="J528" t="s">
        <v>74</v>
      </c>
      <c r="K528" t="s">
        <v>3</v>
      </c>
      <c r="L528" t="s">
        <v>4</v>
      </c>
      <c r="M528" t="s">
        <v>49</v>
      </c>
      <c r="N528" t="s">
        <v>2248</v>
      </c>
      <c r="O528" s="31" t="s">
        <v>2249</v>
      </c>
      <c r="P528">
        <v>220</v>
      </c>
      <c r="Q528" t="s">
        <v>70</v>
      </c>
      <c r="R528">
        <v>1</v>
      </c>
      <c r="S528" s="31">
        <v>59000</v>
      </c>
      <c r="T528" s="39">
        <v>65000</v>
      </c>
      <c r="U528">
        <v>11666.67</v>
      </c>
      <c r="V528">
        <v>6500</v>
      </c>
      <c r="W528">
        <v>0</v>
      </c>
      <c r="X528" s="39">
        <v>21033.33</v>
      </c>
      <c r="Y528">
        <v>0</v>
      </c>
      <c r="Z528" s="31">
        <v>46833.33</v>
      </c>
      <c r="AA528">
        <v>8</v>
      </c>
      <c r="AB528" s="3">
        <f t="shared" si="26"/>
        <v>46833.33</v>
      </c>
      <c r="AC528" t="str">
        <f>IF(AB528-S528&lt;0,"YES","NO")</f>
        <v>YES</v>
      </c>
      <c r="AD528">
        <f>IF(AC528="NO",0,AB528-S528)</f>
        <v>-12166.669999999998</v>
      </c>
      <c r="AE528" s="43">
        <v>0.08</v>
      </c>
      <c r="AF528" s="3">
        <f t="shared" si="27"/>
        <v>-11265.435185185182</v>
      </c>
      <c r="AG528" s="45">
        <f t="shared" si="28"/>
        <v>-12391.978703703702</v>
      </c>
      <c r="AH528" s="55"/>
    </row>
    <row r="529" spans="1:34" x14ac:dyDescent="0.25">
      <c r="A529" t="s">
        <v>2250</v>
      </c>
      <c r="B529" t="s">
        <v>2251</v>
      </c>
      <c r="C529" t="s">
        <v>2252</v>
      </c>
      <c r="D529" t="s">
        <v>2253</v>
      </c>
      <c r="E529" t="s">
        <v>2254</v>
      </c>
      <c r="F529" t="s">
        <v>2255</v>
      </c>
      <c r="G529" t="s">
        <v>5</v>
      </c>
      <c r="H529" t="s">
        <v>65</v>
      </c>
      <c r="I529" t="s">
        <v>68</v>
      </c>
      <c r="J529" t="s">
        <v>69</v>
      </c>
      <c r="K529" t="s">
        <v>3</v>
      </c>
      <c r="L529" t="s">
        <v>4</v>
      </c>
      <c r="M529" t="s">
        <v>49</v>
      </c>
      <c r="N529" t="s">
        <v>2256</v>
      </c>
      <c r="O529" s="31" t="s">
        <v>2257</v>
      </c>
      <c r="P529">
        <v>220</v>
      </c>
      <c r="Q529" t="s">
        <v>70</v>
      </c>
      <c r="R529">
        <v>1</v>
      </c>
      <c r="S529" s="31">
        <v>59000</v>
      </c>
      <c r="T529" s="39">
        <v>65000</v>
      </c>
      <c r="U529">
        <v>11666.67</v>
      </c>
      <c r="V529">
        <v>6500</v>
      </c>
      <c r="W529">
        <v>0</v>
      </c>
      <c r="X529" s="39">
        <v>16666.669999999998</v>
      </c>
      <c r="Y529">
        <v>0</v>
      </c>
      <c r="Z529" s="31">
        <v>46833.33</v>
      </c>
      <c r="AA529">
        <v>8</v>
      </c>
      <c r="AB529" s="3">
        <f t="shared" si="26"/>
        <v>46833.33</v>
      </c>
      <c r="AC529" t="str">
        <f>IF(AB529-S529&lt;0,"YES","NO")</f>
        <v>YES</v>
      </c>
      <c r="AD529">
        <f>IF(AC529="NO",0,AB529-S529)</f>
        <v>-12166.669999999998</v>
      </c>
      <c r="AE529" s="43">
        <v>0.08</v>
      </c>
      <c r="AF529" s="3">
        <f t="shared" si="27"/>
        <v>-11265.435185185182</v>
      </c>
      <c r="AG529" s="45">
        <f t="shared" si="28"/>
        <v>-12391.978703703702</v>
      </c>
      <c r="AH529" s="55"/>
    </row>
    <row r="530" spans="1:34" x14ac:dyDescent="0.25">
      <c r="A530" t="s">
        <v>2250</v>
      </c>
      <c r="B530" t="s">
        <v>2251</v>
      </c>
      <c r="C530" t="s">
        <v>2252</v>
      </c>
      <c r="D530" t="s">
        <v>2253</v>
      </c>
      <c r="E530" t="s">
        <v>2254</v>
      </c>
      <c r="F530" t="s">
        <v>2255</v>
      </c>
      <c r="G530" t="s">
        <v>5</v>
      </c>
      <c r="H530" t="s">
        <v>65</v>
      </c>
      <c r="I530" t="s">
        <v>71</v>
      </c>
      <c r="J530" t="s">
        <v>72</v>
      </c>
      <c r="K530" t="s">
        <v>3</v>
      </c>
      <c r="L530" t="s">
        <v>4</v>
      </c>
      <c r="M530" t="s">
        <v>49</v>
      </c>
      <c r="N530" t="s">
        <v>2256</v>
      </c>
      <c r="O530" s="31" t="s">
        <v>2257</v>
      </c>
      <c r="P530">
        <v>220</v>
      </c>
      <c r="Q530" t="s">
        <v>70</v>
      </c>
      <c r="R530">
        <v>1</v>
      </c>
      <c r="S530" s="31">
        <v>59000</v>
      </c>
      <c r="T530" s="39">
        <v>65000</v>
      </c>
      <c r="U530">
        <v>11666.67</v>
      </c>
      <c r="V530">
        <v>6500</v>
      </c>
      <c r="W530">
        <v>0</v>
      </c>
      <c r="X530" s="39">
        <v>16666.669999999998</v>
      </c>
      <c r="Y530">
        <v>0</v>
      </c>
      <c r="Z530" s="31">
        <v>46833.33</v>
      </c>
      <c r="AA530">
        <v>8</v>
      </c>
      <c r="AB530" s="3">
        <f t="shared" si="26"/>
        <v>46833.33</v>
      </c>
      <c r="AC530" t="str">
        <f>IF(AB530-S530&lt;0,"YES","NO")</f>
        <v>YES</v>
      </c>
      <c r="AD530">
        <f>IF(AC530="NO",0,AB530-S530)</f>
        <v>-12166.669999999998</v>
      </c>
      <c r="AE530" s="43">
        <v>0.08</v>
      </c>
      <c r="AF530" s="3">
        <f t="shared" si="27"/>
        <v>-11265.435185185182</v>
      </c>
      <c r="AG530" s="45">
        <f t="shared" si="28"/>
        <v>-12391.978703703702</v>
      </c>
      <c r="AH530" s="55"/>
    </row>
    <row r="531" spans="1:34" x14ac:dyDescent="0.25">
      <c r="A531" t="s">
        <v>2250</v>
      </c>
      <c r="B531" t="s">
        <v>2251</v>
      </c>
      <c r="C531" t="s">
        <v>2252</v>
      </c>
      <c r="D531" t="s">
        <v>2253</v>
      </c>
      <c r="E531" t="s">
        <v>2254</v>
      </c>
      <c r="F531" t="s">
        <v>2255</v>
      </c>
      <c r="G531" t="s">
        <v>5</v>
      </c>
      <c r="H531" t="s">
        <v>65</v>
      </c>
      <c r="I531" t="s">
        <v>73</v>
      </c>
      <c r="J531" t="s">
        <v>74</v>
      </c>
      <c r="K531" t="s">
        <v>3</v>
      </c>
      <c r="L531" t="s">
        <v>4</v>
      </c>
      <c r="M531" t="s">
        <v>49</v>
      </c>
      <c r="N531" t="s">
        <v>2256</v>
      </c>
      <c r="O531" s="31" t="s">
        <v>2257</v>
      </c>
      <c r="P531">
        <v>220</v>
      </c>
      <c r="Q531" t="s">
        <v>70</v>
      </c>
      <c r="R531">
        <v>1</v>
      </c>
      <c r="S531" s="31">
        <v>59000</v>
      </c>
      <c r="T531" s="39">
        <v>65000</v>
      </c>
      <c r="U531">
        <v>11666.67</v>
      </c>
      <c r="V531">
        <v>6500</v>
      </c>
      <c r="W531">
        <v>0</v>
      </c>
      <c r="X531" s="39">
        <v>16666.669999999998</v>
      </c>
      <c r="Y531">
        <v>0</v>
      </c>
      <c r="Z531" s="31">
        <v>46833.33</v>
      </c>
      <c r="AA531">
        <v>8</v>
      </c>
      <c r="AB531" s="3">
        <f t="shared" si="26"/>
        <v>46833.33</v>
      </c>
      <c r="AC531" t="str">
        <f>IF(AB531-S531&lt;0,"YES","NO")</f>
        <v>YES</v>
      </c>
      <c r="AD531">
        <f>IF(AC531="NO",0,AB531-S531)</f>
        <v>-12166.669999999998</v>
      </c>
      <c r="AE531" s="43">
        <v>0.08</v>
      </c>
      <c r="AF531" s="3">
        <f t="shared" si="27"/>
        <v>-11265.435185185182</v>
      </c>
      <c r="AG531" s="45">
        <f t="shared" si="28"/>
        <v>-12391.978703703702</v>
      </c>
      <c r="AH531" s="55"/>
    </row>
    <row r="532" spans="1:34" x14ac:dyDescent="0.25">
      <c r="A532" t="s">
        <v>2258</v>
      </c>
      <c r="B532" t="s">
        <v>2259</v>
      </c>
      <c r="C532" t="s">
        <v>2260</v>
      </c>
      <c r="D532" t="s">
        <v>2261</v>
      </c>
      <c r="E532" t="s">
        <v>2262</v>
      </c>
      <c r="F532" t="s">
        <v>2263</v>
      </c>
      <c r="G532" t="s">
        <v>5</v>
      </c>
      <c r="H532" t="s">
        <v>65</v>
      </c>
      <c r="I532" t="s">
        <v>71</v>
      </c>
      <c r="J532" t="s">
        <v>72</v>
      </c>
      <c r="K532" t="s">
        <v>3</v>
      </c>
      <c r="L532" t="s">
        <v>4</v>
      </c>
      <c r="M532" t="s">
        <v>49</v>
      </c>
      <c r="N532" t="s">
        <v>2264</v>
      </c>
      <c r="O532" s="31" t="s">
        <v>2265</v>
      </c>
      <c r="P532">
        <v>220</v>
      </c>
      <c r="Q532" t="s">
        <v>70</v>
      </c>
      <c r="R532">
        <v>2</v>
      </c>
      <c r="S532" s="31">
        <v>118000</v>
      </c>
      <c r="T532" s="39">
        <v>130000</v>
      </c>
      <c r="U532">
        <v>5776</v>
      </c>
      <c r="V532">
        <v>13000</v>
      </c>
      <c r="W532">
        <v>0</v>
      </c>
      <c r="X532" s="39">
        <v>28020</v>
      </c>
      <c r="Y532">
        <v>0</v>
      </c>
      <c r="Z532" s="31">
        <v>111224</v>
      </c>
      <c r="AA532">
        <v>8</v>
      </c>
      <c r="AB532" s="3">
        <f t="shared" si="26"/>
        <v>111224</v>
      </c>
      <c r="AC532" t="str">
        <f>IF(AB532-S532&lt;0,"YES","NO")</f>
        <v>YES</v>
      </c>
      <c r="AD532">
        <f>IF(AC532="NO",0,AB532-S532)</f>
        <v>-6776</v>
      </c>
      <c r="AE532" s="43">
        <v>0.08</v>
      </c>
      <c r="AF532" s="3">
        <f t="shared" si="27"/>
        <v>-6274.0740740740739</v>
      </c>
      <c r="AG532" s="45">
        <f t="shared" si="28"/>
        <v>-6901.4814814814818</v>
      </c>
      <c r="AH532" s="55"/>
    </row>
    <row r="533" spans="1:34" x14ac:dyDescent="0.25">
      <c r="A533" t="s">
        <v>2258</v>
      </c>
      <c r="B533" t="s">
        <v>2259</v>
      </c>
      <c r="C533" t="s">
        <v>2260</v>
      </c>
      <c r="D533" t="s">
        <v>2261</v>
      </c>
      <c r="E533" t="s">
        <v>2262</v>
      </c>
      <c r="F533" t="s">
        <v>2263</v>
      </c>
      <c r="G533" t="s">
        <v>5</v>
      </c>
      <c r="H533" t="s">
        <v>65</v>
      </c>
      <c r="I533" t="s">
        <v>66</v>
      </c>
      <c r="J533" t="s">
        <v>67</v>
      </c>
      <c r="K533" t="s">
        <v>3</v>
      </c>
      <c r="L533" t="s">
        <v>4</v>
      </c>
      <c r="M533" t="s">
        <v>49</v>
      </c>
      <c r="N533" t="s">
        <v>2264</v>
      </c>
      <c r="O533" s="31" t="s">
        <v>2265</v>
      </c>
      <c r="P533">
        <v>220</v>
      </c>
      <c r="R533">
        <v>2</v>
      </c>
      <c r="S533" s="31">
        <v>150000</v>
      </c>
      <c r="T533" s="39">
        <v>160000</v>
      </c>
      <c r="U533">
        <v>7112</v>
      </c>
      <c r="V533">
        <v>16000</v>
      </c>
      <c r="W533">
        <v>0</v>
      </c>
      <c r="X533" s="39">
        <v>34490</v>
      </c>
      <c r="Y533">
        <v>0</v>
      </c>
      <c r="Z533" s="31">
        <v>136888</v>
      </c>
      <c r="AA533">
        <v>8</v>
      </c>
      <c r="AB533" s="3">
        <f t="shared" si="26"/>
        <v>136888</v>
      </c>
      <c r="AC533" t="str">
        <f>IF(AB533-S533&lt;0,"YES","NO")</f>
        <v>YES</v>
      </c>
      <c r="AD533">
        <f>IF(AC533="NO",0,AB533-S533)</f>
        <v>-13112</v>
      </c>
      <c r="AE533" s="43">
        <v>0.08</v>
      </c>
      <c r="AF533" s="3">
        <f t="shared" si="27"/>
        <v>-12140.740740740739</v>
      </c>
      <c r="AG533" s="45">
        <f t="shared" si="28"/>
        <v>-13354.814814814814</v>
      </c>
      <c r="AH533" s="55"/>
    </row>
    <row r="534" spans="1:34" x14ac:dyDescent="0.25">
      <c r="A534" t="s">
        <v>2258</v>
      </c>
      <c r="B534" t="s">
        <v>2259</v>
      </c>
      <c r="C534" t="s">
        <v>2260</v>
      </c>
      <c r="D534" t="s">
        <v>2261</v>
      </c>
      <c r="E534" t="s">
        <v>2262</v>
      </c>
      <c r="F534" t="s">
        <v>2263</v>
      </c>
      <c r="G534" t="s">
        <v>5</v>
      </c>
      <c r="H534" t="s">
        <v>65</v>
      </c>
      <c r="I534" t="s">
        <v>82</v>
      </c>
      <c r="J534" t="s">
        <v>83</v>
      </c>
      <c r="K534" t="s">
        <v>3</v>
      </c>
      <c r="L534" t="s">
        <v>4</v>
      </c>
      <c r="M534" t="s">
        <v>49</v>
      </c>
      <c r="N534" t="s">
        <v>2264</v>
      </c>
      <c r="O534" s="31" t="s">
        <v>2265</v>
      </c>
      <c r="P534">
        <v>220</v>
      </c>
      <c r="R534">
        <v>2</v>
      </c>
      <c r="S534" s="31">
        <v>150000</v>
      </c>
      <c r="T534" s="39">
        <v>160000</v>
      </c>
      <c r="U534">
        <v>7112</v>
      </c>
      <c r="V534">
        <v>16000</v>
      </c>
      <c r="W534">
        <v>0</v>
      </c>
      <c r="X534" s="39">
        <v>34490</v>
      </c>
      <c r="Y534">
        <v>0</v>
      </c>
      <c r="Z534" s="31">
        <v>136888</v>
      </c>
      <c r="AA534">
        <v>8</v>
      </c>
      <c r="AB534" s="3">
        <f t="shared" si="26"/>
        <v>136888</v>
      </c>
      <c r="AC534" t="str">
        <f>IF(AB534-S534&lt;0,"YES","NO")</f>
        <v>YES</v>
      </c>
      <c r="AD534">
        <f>IF(AC534="NO",0,AB534-S534)</f>
        <v>-13112</v>
      </c>
      <c r="AE534" s="43">
        <v>0.08</v>
      </c>
      <c r="AF534" s="3">
        <f t="shared" si="27"/>
        <v>-12140.740740740739</v>
      </c>
      <c r="AG534" s="45">
        <f t="shared" si="28"/>
        <v>-13354.814814814814</v>
      </c>
      <c r="AH534" s="55"/>
    </row>
    <row r="535" spans="1:34" x14ac:dyDescent="0.25">
      <c r="A535" t="s">
        <v>2266</v>
      </c>
      <c r="B535" t="s">
        <v>2267</v>
      </c>
      <c r="C535" t="s">
        <v>2268</v>
      </c>
      <c r="D535" t="s">
        <v>2269</v>
      </c>
      <c r="E535" t="s">
        <v>2270</v>
      </c>
      <c r="F535" t="s">
        <v>2271</v>
      </c>
      <c r="G535" t="s">
        <v>5</v>
      </c>
      <c r="H535" t="s">
        <v>65</v>
      </c>
      <c r="I535" t="s">
        <v>66</v>
      </c>
      <c r="J535" t="s">
        <v>67</v>
      </c>
      <c r="K535" t="s">
        <v>3</v>
      </c>
      <c r="L535" t="s">
        <v>4</v>
      </c>
      <c r="M535" t="s">
        <v>49</v>
      </c>
      <c r="N535" t="s">
        <v>2272</v>
      </c>
      <c r="O535" s="31" t="s">
        <v>2273</v>
      </c>
      <c r="P535">
        <v>220</v>
      </c>
      <c r="R535">
        <v>6</v>
      </c>
      <c r="S535" s="31">
        <v>450000</v>
      </c>
      <c r="T535" s="39">
        <v>480000</v>
      </c>
      <c r="U535">
        <v>75000</v>
      </c>
      <c r="V535">
        <v>48000</v>
      </c>
      <c r="W535">
        <v>0</v>
      </c>
      <c r="X535" s="39">
        <v>132120</v>
      </c>
      <c r="Y535">
        <v>0</v>
      </c>
      <c r="Z535" s="31">
        <v>357000</v>
      </c>
      <c r="AA535">
        <v>8</v>
      </c>
      <c r="AB535" s="3">
        <f t="shared" si="26"/>
        <v>357000</v>
      </c>
      <c r="AC535" t="str">
        <f>IF(AB535-S535&lt;0,"YES","NO")</f>
        <v>YES</v>
      </c>
      <c r="AD535">
        <f>IF(AC535="NO",0,AB535-S535)</f>
        <v>-93000</v>
      </c>
      <c r="AE535" s="43">
        <v>0.08</v>
      </c>
      <c r="AF535" s="3">
        <f t="shared" si="27"/>
        <v>-86111.111111111109</v>
      </c>
      <c r="AG535" s="45">
        <f t="shared" si="28"/>
        <v>-94722.222222222234</v>
      </c>
      <c r="AH535" s="55"/>
    </row>
    <row r="536" spans="1:34" x14ac:dyDescent="0.25">
      <c r="A536" t="s">
        <v>2274</v>
      </c>
      <c r="B536" t="s">
        <v>2275</v>
      </c>
      <c r="C536" t="s">
        <v>2276</v>
      </c>
      <c r="D536" t="s">
        <v>2277</v>
      </c>
      <c r="E536" t="s">
        <v>2278</v>
      </c>
      <c r="F536" t="s">
        <v>2279</v>
      </c>
      <c r="G536" t="s">
        <v>5</v>
      </c>
      <c r="H536" t="s">
        <v>65</v>
      </c>
      <c r="I536" t="s">
        <v>66</v>
      </c>
      <c r="J536" t="s">
        <v>67</v>
      </c>
      <c r="K536" t="s">
        <v>3</v>
      </c>
      <c r="L536" t="s">
        <v>4</v>
      </c>
      <c r="M536" t="s">
        <v>49</v>
      </c>
      <c r="N536" t="s">
        <v>2280</v>
      </c>
      <c r="O536" s="31" t="s">
        <v>2281</v>
      </c>
      <c r="P536">
        <v>220</v>
      </c>
      <c r="R536">
        <v>2</v>
      </c>
      <c r="S536" s="31">
        <v>150000</v>
      </c>
      <c r="T536" s="39">
        <v>160000</v>
      </c>
      <c r="U536">
        <v>20000</v>
      </c>
      <c r="V536">
        <v>16000</v>
      </c>
      <c r="W536">
        <v>0</v>
      </c>
      <c r="X536" s="39">
        <v>51000</v>
      </c>
      <c r="Y536">
        <v>0</v>
      </c>
      <c r="Z536" s="31">
        <v>124000</v>
      </c>
      <c r="AA536">
        <v>8</v>
      </c>
      <c r="AB536" s="3">
        <f t="shared" si="26"/>
        <v>124000</v>
      </c>
      <c r="AC536" t="str">
        <f>IF(AB536-S536&lt;0,"YES","NO")</f>
        <v>YES</v>
      </c>
      <c r="AD536">
        <f>IF(AC536="NO",0,AB536-S536)</f>
        <v>-26000</v>
      </c>
      <c r="AE536" s="43">
        <v>0.08</v>
      </c>
      <c r="AF536" s="3">
        <f t="shared" si="27"/>
        <v>-24074.074074074073</v>
      </c>
      <c r="AG536" s="45">
        <f t="shared" si="28"/>
        <v>-26481.481481481482</v>
      </c>
      <c r="AH536" s="55"/>
    </row>
    <row r="537" spans="1:34" x14ac:dyDescent="0.25">
      <c r="A537" t="s">
        <v>2282</v>
      </c>
      <c r="B537" t="s">
        <v>2283</v>
      </c>
      <c r="C537" t="s">
        <v>2284</v>
      </c>
      <c r="D537" t="s">
        <v>2285</v>
      </c>
      <c r="E537" t="s">
        <v>2286</v>
      </c>
      <c r="F537" t="s">
        <v>2287</v>
      </c>
      <c r="G537" t="s">
        <v>5</v>
      </c>
      <c r="H537" t="s">
        <v>65</v>
      </c>
      <c r="I537" t="s">
        <v>71</v>
      </c>
      <c r="J537" t="s">
        <v>72</v>
      </c>
      <c r="K537" t="s">
        <v>3</v>
      </c>
      <c r="L537" t="s">
        <v>4</v>
      </c>
      <c r="M537" t="s">
        <v>49</v>
      </c>
      <c r="N537" t="s">
        <v>2288</v>
      </c>
      <c r="O537" s="31" t="s">
        <v>2289</v>
      </c>
      <c r="P537">
        <v>220</v>
      </c>
      <c r="Q537" t="s">
        <v>70</v>
      </c>
      <c r="R537">
        <v>6</v>
      </c>
      <c r="S537" s="31">
        <v>354000</v>
      </c>
      <c r="T537" s="39">
        <v>390000</v>
      </c>
      <c r="U537">
        <v>75000</v>
      </c>
      <c r="V537">
        <v>25000.02</v>
      </c>
      <c r="W537">
        <v>0</v>
      </c>
      <c r="X537" s="39">
        <v>124999.98</v>
      </c>
      <c r="Y537">
        <v>0</v>
      </c>
      <c r="Z537" s="31">
        <v>289999.98</v>
      </c>
      <c r="AA537">
        <v>8</v>
      </c>
      <c r="AB537" s="3">
        <f t="shared" si="26"/>
        <v>289999.98</v>
      </c>
      <c r="AC537" t="str">
        <f>IF(AB537-S537&lt;0,"YES","NO")</f>
        <v>YES</v>
      </c>
      <c r="AD537">
        <f>IF(AC537="NO",0,AB537-S537)</f>
        <v>-64000.020000000019</v>
      </c>
      <c r="AE537" s="43">
        <v>0.08</v>
      </c>
      <c r="AF537" s="3">
        <f t="shared" si="27"/>
        <v>-59259.277777777788</v>
      </c>
      <c r="AG537" s="45">
        <f t="shared" si="28"/>
        <v>-65185.205555555571</v>
      </c>
      <c r="AH537" s="55"/>
    </row>
    <row r="538" spans="1:34" x14ac:dyDescent="0.25">
      <c r="A538" t="s">
        <v>2290</v>
      </c>
      <c r="B538" t="s">
        <v>2291</v>
      </c>
      <c r="C538" t="s">
        <v>2292</v>
      </c>
      <c r="D538" t="s">
        <v>2293</v>
      </c>
      <c r="E538" t="s">
        <v>2294</v>
      </c>
      <c r="F538" t="s">
        <v>2295</v>
      </c>
      <c r="G538" t="s">
        <v>5</v>
      </c>
      <c r="H538" t="s">
        <v>65</v>
      </c>
      <c r="I538" t="s">
        <v>66</v>
      </c>
      <c r="J538" t="s">
        <v>67</v>
      </c>
      <c r="K538" t="s">
        <v>3</v>
      </c>
      <c r="L538" t="s">
        <v>4</v>
      </c>
      <c r="M538" t="s">
        <v>49</v>
      </c>
      <c r="N538" t="s">
        <v>2296</v>
      </c>
      <c r="O538" s="31" t="s">
        <v>2297</v>
      </c>
      <c r="P538">
        <v>220</v>
      </c>
      <c r="R538">
        <v>6</v>
      </c>
      <c r="S538" s="31">
        <v>450000</v>
      </c>
      <c r="T538" s="39">
        <v>480000</v>
      </c>
      <c r="U538">
        <v>75000</v>
      </c>
      <c r="V538">
        <v>48000</v>
      </c>
      <c r="W538">
        <v>0</v>
      </c>
      <c r="X538" s="39">
        <v>128550</v>
      </c>
      <c r="Y538">
        <v>0</v>
      </c>
      <c r="Z538" s="31">
        <v>357000</v>
      </c>
      <c r="AA538">
        <v>8</v>
      </c>
      <c r="AB538" s="3">
        <f t="shared" si="26"/>
        <v>357000</v>
      </c>
      <c r="AC538" t="str">
        <f>IF(AB538-S538&lt;0,"YES","NO")</f>
        <v>YES</v>
      </c>
      <c r="AD538">
        <f>IF(AC538="NO",0,AB538-S538)</f>
        <v>-93000</v>
      </c>
      <c r="AE538" s="43">
        <v>0.08</v>
      </c>
      <c r="AF538" s="3">
        <f t="shared" si="27"/>
        <v>-86111.111111111109</v>
      </c>
      <c r="AG538" s="45">
        <f t="shared" si="28"/>
        <v>-94722.222222222234</v>
      </c>
      <c r="AH538" s="55"/>
    </row>
    <row r="539" spans="1:34" x14ac:dyDescent="0.25">
      <c r="A539" t="s">
        <v>2298</v>
      </c>
      <c r="B539" t="s">
        <v>2299</v>
      </c>
      <c r="C539" t="s">
        <v>2300</v>
      </c>
      <c r="D539" t="s">
        <v>2301</v>
      </c>
      <c r="E539" t="s">
        <v>2302</v>
      </c>
      <c r="F539" t="s">
        <v>2303</v>
      </c>
      <c r="G539" t="s">
        <v>5</v>
      </c>
      <c r="H539" t="s">
        <v>65</v>
      </c>
      <c r="I539" t="s">
        <v>109</v>
      </c>
      <c r="J539" t="s">
        <v>110</v>
      </c>
      <c r="K539" t="s">
        <v>3</v>
      </c>
      <c r="L539" t="s">
        <v>4</v>
      </c>
      <c r="M539" t="s">
        <v>49</v>
      </c>
      <c r="N539" t="s">
        <v>2304</v>
      </c>
      <c r="O539" s="31" t="s">
        <v>2305</v>
      </c>
      <c r="P539">
        <v>380</v>
      </c>
      <c r="R539">
        <v>6</v>
      </c>
      <c r="S539" s="31">
        <v>396000</v>
      </c>
      <c r="T539" s="39">
        <v>420000</v>
      </c>
      <c r="U539">
        <v>79999.98</v>
      </c>
      <c r="V539">
        <v>18000</v>
      </c>
      <c r="W539">
        <v>0</v>
      </c>
      <c r="X539" s="39">
        <v>144400.01999999999</v>
      </c>
      <c r="Y539">
        <v>0</v>
      </c>
      <c r="Z539" s="31">
        <v>322000.02</v>
      </c>
      <c r="AA539">
        <v>8</v>
      </c>
      <c r="AB539" s="3">
        <f t="shared" si="26"/>
        <v>322000.02</v>
      </c>
      <c r="AC539" t="str">
        <f>IF(AB539-S539&lt;0,"YES","NO")</f>
        <v>YES</v>
      </c>
      <c r="AD539">
        <f>IF(AC539="NO",0,AB539-S539)</f>
        <v>-73999.979999999981</v>
      </c>
      <c r="AE539" s="43">
        <v>0.08</v>
      </c>
      <c r="AF539" s="3">
        <f t="shared" si="27"/>
        <v>-68518.499999999985</v>
      </c>
      <c r="AG539" s="45">
        <f t="shared" si="28"/>
        <v>-75370.349999999991</v>
      </c>
      <c r="AH539" s="55"/>
    </row>
    <row r="540" spans="1:34" x14ac:dyDescent="0.25">
      <c r="A540" t="s">
        <v>2306</v>
      </c>
      <c r="B540" t="s">
        <v>2307</v>
      </c>
      <c r="C540" t="s">
        <v>2308</v>
      </c>
      <c r="D540" t="s">
        <v>2309</v>
      </c>
      <c r="E540" t="s">
        <v>2310</v>
      </c>
      <c r="F540" t="s">
        <v>2311</v>
      </c>
      <c r="G540" t="s">
        <v>5</v>
      </c>
      <c r="H540" t="s">
        <v>61</v>
      </c>
      <c r="I540" t="s">
        <v>75</v>
      </c>
      <c r="J540" t="s">
        <v>76</v>
      </c>
      <c r="K540" t="s">
        <v>3</v>
      </c>
      <c r="L540" t="s">
        <v>4</v>
      </c>
      <c r="M540" t="s">
        <v>49</v>
      </c>
      <c r="N540" t="s">
        <v>2312</v>
      </c>
      <c r="O540" s="31" t="s">
        <v>2313</v>
      </c>
      <c r="P540">
        <v>20</v>
      </c>
      <c r="Q540" t="s">
        <v>77</v>
      </c>
      <c r="R540">
        <v>1</v>
      </c>
      <c r="S540" s="31">
        <v>0</v>
      </c>
      <c r="T540" s="39">
        <v>0</v>
      </c>
      <c r="U540">
        <v>0</v>
      </c>
      <c r="V540">
        <v>0</v>
      </c>
      <c r="W540">
        <v>0</v>
      </c>
      <c r="X540" s="39">
        <v>0</v>
      </c>
      <c r="Y540">
        <v>0</v>
      </c>
      <c r="Z540" s="31">
        <v>0</v>
      </c>
      <c r="AA540">
        <v>8</v>
      </c>
      <c r="AB540" s="3">
        <f t="shared" si="26"/>
        <v>0</v>
      </c>
      <c r="AC540" t="str">
        <f>IF(AB540-S540&lt;0,"YES","NO")</f>
        <v>NO</v>
      </c>
      <c r="AD540">
        <f>IF(AC540="NO",0,AB540-S540)</f>
        <v>0</v>
      </c>
      <c r="AE540" s="43">
        <v>0.08</v>
      </c>
      <c r="AF540" s="3">
        <f t="shared" si="27"/>
        <v>0</v>
      </c>
      <c r="AG540" s="45">
        <f t="shared" si="28"/>
        <v>0</v>
      </c>
      <c r="AH540" s="55"/>
    </row>
    <row r="541" spans="1:34" x14ac:dyDescent="0.25">
      <c r="A541" t="s">
        <v>2306</v>
      </c>
      <c r="B541" t="s">
        <v>2307</v>
      </c>
      <c r="C541" t="s">
        <v>2308</v>
      </c>
      <c r="D541" t="s">
        <v>2309</v>
      </c>
      <c r="E541" t="s">
        <v>2310</v>
      </c>
      <c r="F541" t="s">
        <v>2311</v>
      </c>
      <c r="G541" t="s">
        <v>5</v>
      </c>
      <c r="H541" t="s">
        <v>65</v>
      </c>
      <c r="I541" t="s">
        <v>66</v>
      </c>
      <c r="J541" t="s">
        <v>67</v>
      </c>
      <c r="K541" t="s">
        <v>3</v>
      </c>
      <c r="L541" t="s">
        <v>4</v>
      </c>
      <c r="M541" t="s">
        <v>49</v>
      </c>
      <c r="N541" t="s">
        <v>2312</v>
      </c>
      <c r="O541" s="31" t="s">
        <v>2313</v>
      </c>
      <c r="P541">
        <v>220</v>
      </c>
      <c r="R541">
        <v>3</v>
      </c>
      <c r="S541" s="31">
        <v>225000</v>
      </c>
      <c r="T541" s="39">
        <v>240000</v>
      </c>
      <c r="U541">
        <v>35000.01</v>
      </c>
      <c r="V541">
        <v>24000</v>
      </c>
      <c r="W541">
        <v>0</v>
      </c>
      <c r="X541" s="39">
        <v>71199.990000000005</v>
      </c>
      <c r="Y541">
        <v>0</v>
      </c>
      <c r="Z541" s="31">
        <v>180999.99</v>
      </c>
      <c r="AA541">
        <v>8</v>
      </c>
      <c r="AB541" s="3">
        <f t="shared" si="26"/>
        <v>180999.99</v>
      </c>
      <c r="AC541" t="str">
        <f>IF(AB541-S541&lt;0,"YES","NO")</f>
        <v>YES</v>
      </c>
      <c r="AD541">
        <f>IF(AC541="NO",0,AB541-S541)</f>
        <v>-44000.010000000009</v>
      </c>
      <c r="AE541" s="43">
        <v>0.08</v>
      </c>
      <c r="AF541" s="3">
        <f t="shared" si="27"/>
        <v>-40740.750000000007</v>
      </c>
      <c r="AG541" s="45">
        <f t="shared" si="28"/>
        <v>-44814.825000000012</v>
      </c>
      <c r="AH541" s="55"/>
    </row>
    <row r="542" spans="1:34" x14ac:dyDescent="0.25">
      <c r="A542" t="s">
        <v>2314</v>
      </c>
      <c r="B542" t="s">
        <v>2315</v>
      </c>
      <c r="C542" t="s">
        <v>2316</v>
      </c>
      <c r="D542" t="s">
        <v>2317</v>
      </c>
      <c r="E542" t="s">
        <v>2318</v>
      </c>
      <c r="F542" t="s">
        <v>2319</v>
      </c>
      <c r="G542" t="s">
        <v>5</v>
      </c>
      <c r="H542" t="s">
        <v>61</v>
      </c>
      <c r="I542" t="s">
        <v>62</v>
      </c>
      <c r="J542" t="s">
        <v>63</v>
      </c>
      <c r="K542" t="s">
        <v>3</v>
      </c>
      <c r="L542" t="s">
        <v>4</v>
      </c>
      <c r="M542" t="s">
        <v>49</v>
      </c>
      <c r="N542" t="s">
        <v>2320</v>
      </c>
      <c r="O542" s="31" t="s">
        <v>2321</v>
      </c>
      <c r="P542">
        <v>20000</v>
      </c>
      <c r="Q542" t="s">
        <v>64</v>
      </c>
      <c r="R542">
        <v>1</v>
      </c>
      <c r="S542" s="31">
        <v>0</v>
      </c>
      <c r="T542" s="39">
        <v>0</v>
      </c>
      <c r="U542">
        <v>0</v>
      </c>
      <c r="V542">
        <v>0</v>
      </c>
      <c r="W542">
        <v>0</v>
      </c>
      <c r="X542" s="39">
        <v>0</v>
      </c>
      <c r="Y542">
        <v>0</v>
      </c>
      <c r="Z542" s="31">
        <v>0</v>
      </c>
      <c r="AA542">
        <v>8</v>
      </c>
      <c r="AB542" s="3">
        <f t="shared" si="26"/>
        <v>0</v>
      </c>
      <c r="AC542" t="str">
        <f>IF(AB542-S542&lt;0,"YES","NO")</f>
        <v>NO</v>
      </c>
      <c r="AD542">
        <f>IF(AC542="NO",0,AB542-S542)</f>
        <v>0</v>
      </c>
      <c r="AE542" s="43">
        <v>0.08</v>
      </c>
      <c r="AF542" s="3">
        <f t="shared" si="27"/>
        <v>0</v>
      </c>
      <c r="AG542" s="45">
        <f t="shared" si="28"/>
        <v>0</v>
      </c>
      <c r="AH542" s="55"/>
    </row>
    <row r="543" spans="1:34" x14ac:dyDescent="0.25">
      <c r="A543" t="s">
        <v>2314</v>
      </c>
      <c r="B543" t="s">
        <v>2315</v>
      </c>
      <c r="C543" t="s">
        <v>2316</v>
      </c>
      <c r="D543" t="s">
        <v>2317</v>
      </c>
      <c r="E543" t="s">
        <v>2318</v>
      </c>
      <c r="F543" t="s">
        <v>2319</v>
      </c>
      <c r="G543" t="s">
        <v>5</v>
      </c>
      <c r="H543" t="s">
        <v>65</v>
      </c>
      <c r="I543" t="s">
        <v>82</v>
      </c>
      <c r="J543" t="s">
        <v>83</v>
      </c>
      <c r="K543" t="s">
        <v>3</v>
      </c>
      <c r="L543" t="s">
        <v>4</v>
      </c>
      <c r="M543" t="s">
        <v>49</v>
      </c>
      <c r="N543" t="s">
        <v>2320</v>
      </c>
      <c r="O543" s="31" t="s">
        <v>2321</v>
      </c>
      <c r="P543">
        <v>220</v>
      </c>
      <c r="R543">
        <v>2</v>
      </c>
      <c r="S543" s="31">
        <v>150000</v>
      </c>
      <c r="T543" s="39">
        <v>160000</v>
      </c>
      <c r="U543">
        <v>20000</v>
      </c>
      <c r="V543">
        <v>10000</v>
      </c>
      <c r="W543">
        <v>0</v>
      </c>
      <c r="X543" s="39">
        <v>46000</v>
      </c>
      <c r="Y543">
        <v>0</v>
      </c>
      <c r="Z543" s="31">
        <v>130000</v>
      </c>
      <c r="AA543">
        <v>8</v>
      </c>
      <c r="AB543" s="3">
        <f t="shared" si="26"/>
        <v>130000</v>
      </c>
      <c r="AC543" t="str">
        <f>IF(AB543-S543&lt;0,"YES","NO")</f>
        <v>YES</v>
      </c>
      <c r="AD543">
        <f>IF(AC543="NO",0,AB543-S543)</f>
        <v>-20000</v>
      </c>
      <c r="AE543" s="43">
        <v>0.08</v>
      </c>
      <c r="AF543" s="3">
        <f t="shared" si="27"/>
        <v>-18518.518518518518</v>
      </c>
      <c r="AG543" s="45">
        <f t="shared" si="28"/>
        <v>-20370.370370370372</v>
      </c>
      <c r="AH543" s="55"/>
    </row>
    <row r="544" spans="1:34" x14ac:dyDescent="0.25">
      <c r="A544" t="s">
        <v>2322</v>
      </c>
      <c r="B544" t="s">
        <v>2323</v>
      </c>
      <c r="C544" t="s">
        <v>2324</v>
      </c>
      <c r="D544" t="s">
        <v>2325</v>
      </c>
      <c r="E544" t="s">
        <v>2326</v>
      </c>
      <c r="F544" t="s">
        <v>2327</v>
      </c>
      <c r="G544" t="s">
        <v>5</v>
      </c>
      <c r="H544" t="s">
        <v>61</v>
      </c>
      <c r="I544" t="s">
        <v>84</v>
      </c>
      <c r="J544" t="s">
        <v>85</v>
      </c>
      <c r="K544" t="s">
        <v>3</v>
      </c>
      <c r="L544" t="s">
        <v>4</v>
      </c>
      <c r="M544" t="s">
        <v>49</v>
      </c>
      <c r="N544" t="s">
        <v>2328</v>
      </c>
      <c r="O544" s="31" t="s">
        <v>2329</v>
      </c>
      <c r="P544">
        <v>100</v>
      </c>
      <c r="Q544" t="s">
        <v>86</v>
      </c>
      <c r="R544">
        <v>1</v>
      </c>
      <c r="S544" s="31">
        <v>0</v>
      </c>
      <c r="T544" s="39">
        <v>0</v>
      </c>
      <c r="U544">
        <v>0</v>
      </c>
      <c r="V544">
        <v>0</v>
      </c>
      <c r="W544">
        <v>0</v>
      </c>
      <c r="X544" s="39">
        <v>0</v>
      </c>
      <c r="Y544">
        <v>0</v>
      </c>
      <c r="Z544" s="31">
        <v>0</v>
      </c>
      <c r="AA544">
        <v>8</v>
      </c>
      <c r="AB544" s="3">
        <f t="shared" si="26"/>
        <v>0</v>
      </c>
      <c r="AC544" t="str">
        <f>IF(AB544-S544&lt;0,"YES","NO")</f>
        <v>NO</v>
      </c>
      <c r="AD544">
        <f>IF(AC544="NO",0,AB544-S544)</f>
        <v>0</v>
      </c>
      <c r="AE544" s="43">
        <v>0.08</v>
      </c>
      <c r="AF544" s="3">
        <f t="shared" si="27"/>
        <v>0</v>
      </c>
      <c r="AG544" s="45">
        <f t="shared" si="28"/>
        <v>0</v>
      </c>
      <c r="AH544" s="55"/>
    </row>
    <row r="545" spans="1:34" x14ac:dyDescent="0.25">
      <c r="A545" t="s">
        <v>2322</v>
      </c>
      <c r="B545" t="s">
        <v>2323</v>
      </c>
      <c r="C545" t="s">
        <v>2324</v>
      </c>
      <c r="D545" t="s">
        <v>2325</v>
      </c>
      <c r="E545" t="s">
        <v>2326</v>
      </c>
      <c r="F545" t="s">
        <v>2327</v>
      </c>
      <c r="G545" t="s">
        <v>5</v>
      </c>
      <c r="H545" t="s">
        <v>65</v>
      </c>
      <c r="I545" t="s">
        <v>66</v>
      </c>
      <c r="J545" t="s">
        <v>67</v>
      </c>
      <c r="K545" t="s">
        <v>3</v>
      </c>
      <c r="L545" t="s">
        <v>4</v>
      </c>
      <c r="M545" t="s">
        <v>49</v>
      </c>
      <c r="N545" t="s">
        <v>2328</v>
      </c>
      <c r="O545" s="31" t="s">
        <v>2329</v>
      </c>
      <c r="P545">
        <v>220</v>
      </c>
      <c r="R545">
        <v>4</v>
      </c>
      <c r="S545" s="31">
        <v>300000</v>
      </c>
      <c r="T545" s="39">
        <v>320000</v>
      </c>
      <c r="U545">
        <v>20000</v>
      </c>
      <c r="V545">
        <v>32000</v>
      </c>
      <c r="W545">
        <v>0</v>
      </c>
      <c r="X545" s="39">
        <v>70000</v>
      </c>
      <c r="Y545">
        <v>0</v>
      </c>
      <c r="Z545" s="31">
        <v>268000</v>
      </c>
      <c r="AA545">
        <v>8</v>
      </c>
      <c r="AB545" s="3">
        <f t="shared" si="26"/>
        <v>268000</v>
      </c>
      <c r="AC545" t="str">
        <f>IF(AB545-S545&lt;0,"YES","NO")</f>
        <v>YES</v>
      </c>
      <c r="AD545">
        <f>IF(AC545="NO",0,AB545-S545)</f>
        <v>-32000</v>
      </c>
      <c r="AE545" s="43">
        <v>0.08</v>
      </c>
      <c r="AF545" s="3">
        <f t="shared" si="27"/>
        <v>-29629.629629629628</v>
      </c>
      <c r="AG545" s="45">
        <f t="shared" si="28"/>
        <v>-32592.592592592595</v>
      </c>
      <c r="AH545" s="55"/>
    </row>
    <row r="546" spans="1:34" x14ac:dyDescent="0.25">
      <c r="A546" t="s">
        <v>2330</v>
      </c>
      <c r="B546" t="s">
        <v>2331</v>
      </c>
      <c r="C546" t="s">
        <v>2332</v>
      </c>
      <c r="D546" t="s">
        <v>2333</v>
      </c>
      <c r="E546" t="s">
        <v>2334</v>
      </c>
      <c r="F546" t="s">
        <v>2335</v>
      </c>
      <c r="G546" t="s">
        <v>5</v>
      </c>
      <c r="H546" t="s">
        <v>65</v>
      </c>
      <c r="I546" t="s">
        <v>68</v>
      </c>
      <c r="J546" t="s">
        <v>69</v>
      </c>
      <c r="K546" t="s">
        <v>3</v>
      </c>
      <c r="L546" t="s">
        <v>4</v>
      </c>
      <c r="M546" t="s">
        <v>49</v>
      </c>
      <c r="N546" t="s">
        <v>2336</v>
      </c>
      <c r="O546" s="31" t="s">
        <v>2337</v>
      </c>
      <c r="P546">
        <v>220</v>
      </c>
      <c r="Q546" t="s">
        <v>70</v>
      </c>
      <c r="R546">
        <v>1</v>
      </c>
      <c r="S546" s="31">
        <v>59000</v>
      </c>
      <c r="T546" s="39">
        <v>65000</v>
      </c>
      <c r="U546">
        <v>11666.67</v>
      </c>
      <c r="V546">
        <v>5000</v>
      </c>
      <c r="W546">
        <v>0</v>
      </c>
      <c r="X546" s="39">
        <v>21333.33</v>
      </c>
      <c r="Y546">
        <v>0</v>
      </c>
      <c r="Z546" s="31">
        <v>48333.33</v>
      </c>
      <c r="AA546">
        <v>8</v>
      </c>
      <c r="AB546" s="3">
        <f t="shared" si="26"/>
        <v>48333.33</v>
      </c>
      <c r="AC546" t="str">
        <f>IF(AB546-S546&lt;0,"YES","NO")</f>
        <v>YES</v>
      </c>
      <c r="AD546">
        <f>IF(AC546="NO",0,AB546-S546)</f>
        <v>-10666.669999999998</v>
      </c>
      <c r="AE546" s="43">
        <v>0.08</v>
      </c>
      <c r="AF546" s="3">
        <f t="shared" si="27"/>
        <v>-9876.5462962962938</v>
      </c>
      <c r="AG546" s="45">
        <f t="shared" si="28"/>
        <v>-10864.200925925925</v>
      </c>
      <c r="AH546" s="55"/>
    </row>
    <row r="547" spans="1:34" x14ac:dyDescent="0.25">
      <c r="A547" t="s">
        <v>2330</v>
      </c>
      <c r="B547" t="s">
        <v>2331</v>
      </c>
      <c r="C547" t="s">
        <v>2332</v>
      </c>
      <c r="D547" t="s">
        <v>2333</v>
      </c>
      <c r="E547" t="s">
        <v>2334</v>
      </c>
      <c r="F547" t="s">
        <v>2335</v>
      </c>
      <c r="G547" t="s">
        <v>5</v>
      </c>
      <c r="H547" t="s">
        <v>65</v>
      </c>
      <c r="I547" t="s">
        <v>71</v>
      </c>
      <c r="J547" t="s">
        <v>72</v>
      </c>
      <c r="K547" t="s">
        <v>3</v>
      </c>
      <c r="L547" t="s">
        <v>4</v>
      </c>
      <c r="M547" t="s">
        <v>49</v>
      </c>
      <c r="N547" t="s">
        <v>2336</v>
      </c>
      <c r="O547" s="31" t="s">
        <v>2337</v>
      </c>
      <c r="P547">
        <v>220</v>
      </c>
      <c r="Q547" t="s">
        <v>70</v>
      </c>
      <c r="R547">
        <v>1</v>
      </c>
      <c r="S547" s="31">
        <v>59000</v>
      </c>
      <c r="T547" s="39">
        <v>65000</v>
      </c>
      <c r="U547">
        <v>11666.67</v>
      </c>
      <c r="V547">
        <v>5000</v>
      </c>
      <c r="W547">
        <v>0</v>
      </c>
      <c r="X547" s="39">
        <v>21333.33</v>
      </c>
      <c r="Y547">
        <v>0</v>
      </c>
      <c r="Z547" s="31">
        <v>48333.33</v>
      </c>
      <c r="AA547">
        <v>8</v>
      </c>
      <c r="AB547" s="3">
        <f t="shared" si="26"/>
        <v>48333.33</v>
      </c>
      <c r="AC547" t="str">
        <f>IF(AB547-S547&lt;0,"YES","NO")</f>
        <v>YES</v>
      </c>
      <c r="AD547">
        <f>IF(AC547="NO",0,AB547-S547)</f>
        <v>-10666.669999999998</v>
      </c>
      <c r="AE547" s="43">
        <v>0.08</v>
      </c>
      <c r="AF547" s="3">
        <f t="shared" si="27"/>
        <v>-9876.5462962962938</v>
      </c>
      <c r="AG547" s="45">
        <f t="shared" si="28"/>
        <v>-10864.200925925925</v>
      </c>
      <c r="AH547" s="55"/>
    </row>
    <row r="548" spans="1:34" x14ac:dyDescent="0.25">
      <c r="A548" t="s">
        <v>2330</v>
      </c>
      <c r="B548" t="s">
        <v>2331</v>
      </c>
      <c r="C548" t="s">
        <v>2332</v>
      </c>
      <c r="D548" t="s">
        <v>2333</v>
      </c>
      <c r="E548" t="s">
        <v>2334</v>
      </c>
      <c r="F548" t="s">
        <v>2335</v>
      </c>
      <c r="G548" t="s">
        <v>5</v>
      </c>
      <c r="H548" t="s">
        <v>65</v>
      </c>
      <c r="I548" t="s">
        <v>73</v>
      </c>
      <c r="J548" t="s">
        <v>74</v>
      </c>
      <c r="K548" t="s">
        <v>3</v>
      </c>
      <c r="L548" t="s">
        <v>4</v>
      </c>
      <c r="M548" t="s">
        <v>49</v>
      </c>
      <c r="N548" t="s">
        <v>2336</v>
      </c>
      <c r="O548" s="31" t="s">
        <v>2337</v>
      </c>
      <c r="P548">
        <v>220</v>
      </c>
      <c r="Q548" t="s">
        <v>70</v>
      </c>
      <c r="R548">
        <v>1</v>
      </c>
      <c r="S548" s="31">
        <v>59000</v>
      </c>
      <c r="T548" s="39">
        <v>65000</v>
      </c>
      <c r="U548">
        <v>11666.67</v>
      </c>
      <c r="V548">
        <v>5000</v>
      </c>
      <c r="W548">
        <v>0</v>
      </c>
      <c r="X548" s="39">
        <v>21333.33</v>
      </c>
      <c r="Y548">
        <v>0</v>
      </c>
      <c r="Z548" s="31">
        <v>48333.33</v>
      </c>
      <c r="AA548">
        <v>8</v>
      </c>
      <c r="AB548" s="3">
        <f t="shared" si="26"/>
        <v>48333.33</v>
      </c>
      <c r="AC548" t="str">
        <f>IF(AB548-S548&lt;0,"YES","NO")</f>
        <v>YES</v>
      </c>
      <c r="AD548">
        <f>IF(AC548="NO",0,AB548-S548)</f>
        <v>-10666.669999999998</v>
      </c>
      <c r="AE548" s="43">
        <v>0.08</v>
      </c>
      <c r="AF548" s="3">
        <f t="shared" si="27"/>
        <v>-9876.5462962962938</v>
      </c>
      <c r="AG548" s="45">
        <f t="shared" si="28"/>
        <v>-10864.200925925925</v>
      </c>
      <c r="AH548" s="55"/>
    </row>
    <row r="549" spans="1:34" x14ac:dyDescent="0.25">
      <c r="A549" t="s">
        <v>2338</v>
      </c>
      <c r="B549" t="s">
        <v>2339</v>
      </c>
      <c r="C549" t="s">
        <v>2340</v>
      </c>
      <c r="D549" t="s">
        <v>2341</v>
      </c>
      <c r="E549" t="s">
        <v>2342</v>
      </c>
      <c r="F549" t="s">
        <v>2343</v>
      </c>
      <c r="G549" t="s">
        <v>5</v>
      </c>
      <c r="H549" t="s">
        <v>65</v>
      </c>
      <c r="I549" t="s">
        <v>82</v>
      </c>
      <c r="J549" t="s">
        <v>83</v>
      </c>
      <c r="K549" t="s">
        <v>3</v>
      </c>
      <c r="L549" t="s">
        <v>4</v>
      </c>
      <c r="M549" t="s">
        <v>49</v>
      </c>
      <c r="N549" t="s">
        <v>2344</v>
      </c>
      <c r="O549" s="31" t="s">
        <v>2345</v>
      </c>
      <c r="P549">
        <v>220</v>
      </c>
      <c r="R549">
        <v>2</v>
      </c>
      <c r="S549" s="31">
        <v>150000</v>
      </c>
      <c r="T549" s="39">
        <v>160000</v>
      </c>
      <c r="U549">
        <v>0</v>
      </c>
      <c r="V549">
        <v>10000</v>
      </c>
      <c r="W549">
        <v>0</v>
      </c>
      <c r="X549" s="39">
        <v>45317</v>
      </c>
      <c r="Y549">
        <v>0</v>
      </c>
      <c r="Z549" s="31">
        <v>150000</v>
      </c>
      <c r="AA549">
        <v>8</v>
      </c>
      <c r="AB549" s="3">
        <f t="shared" si="26"/>
        <v>150000</v>
      </c>
      <c r="AC549" t="str">
        <f>IF(AB549-S549&lt;0,"YES","NO")</f>
        <v>NO</v>
      </c>
      <c r="AD549">
        <f>IF(AC549="NO",0,AB549-S549)</f>
        <v>0</v>
      </c>
      <c r="AE549" s="43">
        <v>0.08</v>
      </c>
      <c r="AF549" s="3">
        <f t="shared" si="27"/>
        <v>0</v>
      </c>
      <c r="AG549" s="45">
        <f t="shared" si="28"/>
        <v>0</v>
      </c>
      <c r="AH549" s="55"/>
    </row>
    <row r="550" spans="1:34" x14ac:dyDescent="0.25">
      <c r="A550" t="s">
        <v>2338</v>
      </c>
      <c r="B550" t="s">
        <v>2339</v>
      </c>
      <c r="C550" t="s">
        <v>2340</v>
      </c>
      <c r="D550" t="s">
        <v>2341</v>
      </c>
      <c r="E550" t="s">
        <v>2342</v>
      </c>
      <c r="F550" t="s">
        <v>2343</v>
      </c>
      <c r="G550" t="s">
        <v>5</v>
      </c>
      <c r="H550" t="s">
        <v>65</v>
      </c>
      <c r="I550" t="s">
        <v>66</v>
      </c>
      <c r="J550" t="s">
        <v>67</v>
      </c>
      <c r="K550" t="s">
        <v>3</v>
      </c>
      <c r="L550" t="s">
        <v>4</v>
      </c>
      <c r="M550" t="s">
        <v>49</v>
      </c>
      <c r="N550" t="s">
        <v>2344</v>
      </c>
      <c r="O550" s="31" t="s">
        <v>2345</v>
      </c>
      <c r="P550">
        <v>220</v>
      </c>
      <c r="R550">
        <v>3</v>
      </c>
      <c r="S550" s="31">
        <v>225000</v>
      </c>
      <c r="T550" s="39">
        <v>240000</v>
      </c>
      <c r="U550">
        <v>35000.01</v>
      </c>
      <c r="V550">
        <v>24000</v>
      </c>
      <c r="W550">
        <v>0</v>
      </c>
      <c r="X550" s="39">
        <v>89682.99</v>
      </c>
      <c r="Y550">
        <v>0</v>
      </c>
      <c r="Z550" s="31">
        <v>180999.99</v>
      </c>
      <c r="AA550">
        <v>8</v>
      </c>
      <c r="AB550" s="3">
        <f t="shared" si="26"/>
        <v>180999.99</v>
      </c>
      <c r="AC550" t="str">
        <f>IF(AB550-S550&lt;0,"YES","NO")</f>
        <v>YES</v>
      </c>
      <c r="AD550">
        <f>IF(AC550="NO",0,AB550-S550)</f>
        <v>-44000.010000000009</v>
      </c>
      <c r="AE550" s="43">
        <v>0.08</v>
      </c>
      <c r="AF550" s="3">
        <f t="shared" si="27"/>
        <v>-40740.750000000007</v>
      </c>
      <c r="AG550" s="45">
        <f t="shared" si="28"/>
        <v>-44814.825000000012</v>
      </c>
      <c r="AH550" s="55"/>
    </row>
    <row r="551" spans="1:34" x14ac:dyDescent="0.25">
      <c r="A551" t="s">
        <v>2346</v>
      </c>
      <c r="B551" t="s">
        <v>2347</v>
      </c>
      <c r="C551" t="s">
        <v>2348</v>
      </c>
      <c r="D551" t="s">
        <v>2349</v>
      </c>
      <c r="E551" t="s">
        <v>2350</v>
      </c>
      <c r="F551" t="s">
        <v>2351</v>
      </c>
      <c r="G551" t="s">
        <v>5</v>
      </c>
      <c r="H551" t="s">
        <v>61</v>
      </c>
      <c r="I551" t="s">
        <v>75</v>
      </c>
      <c r="J551" t="s">
        <v>76</v>
      </c>
      <c r="K551" t="s">
        <v>3</v>
      </c>
      <c r="L551" t="s">
        <v>4</v>
      </c>
      <c r="M551" t="s">
        <v>49</v>
      </c>
      <c r="N551" t="s">
        <v>2352</v>
      </c>
      <c r="O551" s="31" t="s">
        <v>2353</v>
      </c>
      <c r="P551">
        <v>20</v>
      </c>
      <c r="Q551" t="s">
        <v>77</v>
      </c>
      <c r="R551">
        <v>1</v>
      </c>
      <c r="S551" s="31">
        <v>0</v>
      </c>
      <c r="T551" s="39">
        <v>0</v>
      </c>
      <c r="U551">
        <v>0</v>
      </c>
      <c r="V551">
        <v>0</v>
      </c>
      <c r="W551">
        <v>0</v>
      </c>
      <c r="X551" s="39">
        <v>0</v>
      </c>
      <c r="Y551">
        <v>0</v>
      </c>
      <c r="Z551" s="31">
        <v>0</v>
      </c>
      <c r="AA551">
        <v>8</v>
      </c>
      <c r="AB551" s="3">
        <f t="shared" si="26"/>
        <v>0</v>
      </c>
      <c r="AC551" t="str">
        <f>IF(AB551-S551&lt;0,"YES","NO")</f>
        <v>NO</v>
      </c>
      <c r="AD551">
        <f>IF(AC551="NO",0,AB551-S551)</f>
        <v>0</v>
      </c>
      <c r="AE551" s="43">
        <v>0.08</v>
      </c>
      <c r="AF551" s="3">
        <f t="shared" si="27"/>
        <v>0</v>
      </c>
      <c r="AG551" s="45">
        <f t="shared" si="28"/>
        <v>0</v>
      </c>
      <c r="AH551" s="55"/>
    </row>
    <row r="552" spans="1:34" x14ac:dyDescent="0.25">
      <c r="A552" t="s">
        <v>2346</v>
      </c>
      <c r="B552" t="s">
        <v>2347</v>
      </c>
      <c r="C552" t="s">
        <v>2348</v>
      </c>
      <c r="D552" t="s">
        <v>2349</v>
      </c>
      <c r="E552" t="s">
        <v>2350</v>
      </c>
      <c r="F552" t="s">
        <v>2351</v>
      </c>
      <c r="G552" t="s">
        <v>5</v>
      </c>
      <c r="H552" t="s">
        <v>65</v>
      </c>
      <c r="I552" t="s">
        <v>82</v>
      </c>
      <c r="J552" t="s">
        <v>83</v>
      </c>
      <c r="K552" t="s">
        <v>3</v>
      </c>
      <c r="L552" t="s">
        <v>4</v>
      </c>
      <c r="M552" t="s">
        <v>49</v>
      </c>
      <c r="N552" t="s">
        <v>2352</v>
      </c>
      <c r="O552" s="31" t="s">
        <v>2353</v>
      </c>
      <c r="P552">
        <v>220</v>
      </c>
      <c r="R552">
        <v>3</v>
      </c>
      <c r="S552" s="31">
        <v>225000</v>
      </c>
      <c r="T552" s="39">
        <v>240000</v>
      </c>
      <c r="U552">
        <v>35000.01</v>
      </c>
      <c r="V552">
        <v>12999.99</v>
      </c>
      <c r="W552">
        <v>0</v>
      </c>
      <c r="X552" s="39">
        <v>73400.009999999995</v>
      </c>
      <c r="Y552">
        <v>0</v>
      </c>
      <c r="Z552" s="31">
        <v>192000</v>
      </c>
      <c r="AA552">
        <v>8</v>
      </c>
      <c r="AB552" s="3">
        <f t="shared" si="26"/>
        <v>192000</v>
      </c>
      <c r="AC552" t="str">
        <f>IF(AB552-S552&lt;0,"YES","NO")</f>
        <v>YES</v>
      </c>
      <c r="AD552">
        <f>IF(AC552="NO",0,AB552-S552)</f>
        <v>-33000</v>
      </c>
      <c r="AE552" s="43">
        <v>0.08</v>
      </c>
      <c r="AF552" s="3">
        <f t="shared" si="27"/>
        <v>-30555.555555555555</v>
      </c>
      <c r="AG552" s="45">
        <f t="shared" si="28"/>
        <v>-33611.111111111109</v>
      </c>
      <c r="AH552" s="55"/>
    </row>
    <row r="553" spans="1:34" x14ac:dyDescent="0.25">
      <c r="A553" t="s">
        <v>2354</v>
      </c>
      <c r="B553" t="s">
        <v>2355</v>
      </c>
      <c r="C553" t="s">
        <v>2356</v>
      </c>
      <c r="D553" t="s">
        <v>2357</v>
      </c>
      <c r="E553" t="s">
        <v>2358</v>
      </c>
      <c r="F553" t="s">
        <v>2359</v>
      </c>
      <c r="G553" t="s">
        <v>5</v>
      </c>
      <c r="H553" t="s">
        <v>61</v>
      </c>
      <c r="I553" t="s">
        <v>93</v>
      </c>
      <c r="J553" t="s">
        <v>94</v>
      </c>
      <c r="K553" t="s">
        <v>3</v>
      </c>
      <c r="L553" t="s">
        <v>4</v>
      </c>
      <c r="M553" t="s">
        <v>49</v>
      </c>
      <c r="N553" t="s">
        <v>2360</v>
      </c>
      <c r="O553" s="31" t="s">
        <v>2361</v>
      </c>
      <c r="P553">
        <v>20</v>
      </c>
      <c r="Q553" t="s">
        <v>86</v>
      </c>
      <c r="R553">
        <v>1</v>
      </c>
      <c r="S553" s="31">
        <v>0</v>
      </c>
      <c r="T553" s="39">
        <v>0</v>
      </c>
      <c r="U553">
        <v>0</v>
      </c>
      <c r="V553">
        <v>0</v>
      </c>
      <c r="W553">
        <v>0</v>
      </c>
      <c r="X553" s="39">
        <v>0</v>
      </c>
      <c r="Y553">
        <v>0</v>
      </c>
      <c r="Z553" s="31">
        <v>0</v>
      </c>
      <c r="AA553">
        <v>8</v>
      </c>
      <c r="AB553" s="3">
        <f t="shared" si="26"/>
        <v>0</v>
      </c>
      <c r="AC553" t="str">
        <f>IF(AB553-S553&lt;0,"YES","NO")</f>
        <v>NO</v>
      </c>
      <c r="AD553">
        <f>IF(AC553="NO",0,AB553-S553)</f>
        <v>0</v>
      </c>
      <c r="AE553" s="43">
        <v>0.08</v>
      </c>
      <c r="AF553" s="3">
        <f t="shared" si="27"/>
        <v>0</v>
      </c>
      <c r="AG553" s="45">
        <f t="shared" si="28"/>
        <v>0</v>
      </c>
      <c r="AH553" s="55"/>
    </row>
    <row r="554" spans="1:34" x14ac:dyDescent="0.25">
      <c r="A554" t="s">
        <v>2354</v>
      </c>
      <c r="B554" t="s">
        <v>2355</v>
      </c>
      <c r="C554" t="s">
        <v>2356</v>
      </c>
      <c r="D554" t="s">
        <v>2357</v>
      </c>
      <c r="E554" t="s">
        <v>2358</v>
      </c>
      <c r="F554" t="s">
        <v>2359</v>
      </c>
      <c r="G554" t="s">
        <v>5</v>
      </c>
      <c r="H554" t="s">
        <v>65</v>
      </c>
      <c r="I554" t="s">
        <v>100</v>
      </c>
      <c r="J554" t="s">
        <v>101</v>
      </c>
      <c r="K554" t="s">
        <v>3</v>
      </c>
      <c r="L554" t="s">
        <v>4</v>
      </c>
      <c r="M554" t="s">
        <v>49</v>
      </c>
      <c r="N554" t="s">
        <v>2360</v>
      </c>
      <c r="O554" s="31" t="s">
        <v>2361</v>
      </c>
      <c r="P554">
        <v>200</v>
      </c>
      <c r="R554">
        <v>6</v>
      </c>
      <c r="S554" s="31">
        <v>432000</v>
      </c>
      <c r="T554" s="39">
        <v>480000</v>
      </c>
      <c r="U554">
        <v>79999.98</v>
      </c>
      <c r="V554">
        <v>48000</v>
      </c>
      <c r="W554">
        <v>0</v>
      </c>
      <c r="X554" s="39">
        <v>115200</v>
      </c>
      <c r="Y554">
        <v>0</v>
      </c>
      <c r="Z554" s="31">
        <v>352000.02</v>
      </c>
      <c r="AA554">
        <v>8</v>
      </c>
      <c r="AB554" s="3">
        <f t="shared" si="26"/>
        <v>352000.02</v>
      </c>
      <c r="AC554" t="str">
        <f>IF(AB554-S554&lt;0,"YES","NO")</f>
        <v>YES</v>
      </c>
      <c r="AD554">
        <f>IF(AC554="NO",0,AB554-S554)</f>
        <v>-79999.979999999981</v>
      </c>
      <c r="AE554" s="43">
        <v>0.08</v>
      </c>
      <c r="AF554" s="3">
        <f t="shared" si="27"/>
        <v>-74074.055555555533</v>
      </c>
      <c r="AG554" s="45">
        <f t="shared" si="28"/>
        <v>-81481.461111111086</v>
      </c>
      <c r="AH554" s="55"/>
    </row>
    <row r="555" spans="1:34" x14ac:dyDescent="0.25">
      <c r="A555" t="s">
        <v>2362</v>
      </c>
      <c r="B555" t="s">
        <v>2363</v>
      </c>
      <c r="C555" t="s">
        <v>2364</v>
      </c>
      <c r="D555" t="s">
        <v>2365</v>
      </c>
      <c r="E555" t="s">
        <v>2366</v>
      </c>
      <c r="F555" t="s">
        <v>2367</v>
      </c>
      <c r="G555" t="s">
        <v>5</v>
      </c>
      <c r="H555" t="s">
        <v>61</v>
      </c>
      <c r="I555" t="s">
        <v>75</v>
      </c>
      <c r="J555" t="s">
        <v>76</v>
      </c>
      <c r="K555" t="s">
        <v>3</v>
      </c>
      <c r="L555" t="s">
        <v>4</v>
      </c>
      <c r="M555" t="s">
        <v>49</v>
      </c>
      <c r="N555" t="s">
        <v>2368</v>
      </c>
      <c r="O555" s="31" t="s">
        <v>2369</v>
      </c>
      <c r="P555">
        <v>20</v>
      </c>
      <c r="Q555" t="s">
        <v>77</v>
      </c>
      <c r="R555">
        <v>1</v>
      </c>
      <c r="S555" s="31">
        <v>0</v>
      </c>
      <c r="T555" s="39">
        <v>0</v>
      </c>
      <c r="U555">
        <v>0</v>
      </c>
      <c r="V555">
        <v>0</v>
      </c>
      <c r="W555">
        <v>0</v>
      </c>
      <c r="X555" s="39">
        <v>0</v>
      </c>
      <c r="Y555">
        <v>0</v>
      </c>
      <c r="Z555" s="31">
        <v>0</v>
      </c>
      <c r="AA555">
        <v>8</v>
      </c>
      <c r="AB555" s="3">
        <f t="shared" si="26"/>
        <v>0</v>
      </c>
      <c r="AC555" t="str">
        <f>IF(AB555-S555&lt;0,"YES","NO")</f>
        <v>NO</v>
      </c>
      <c r="AD555">
        <f>IF(AC555="NO",0,AB555-S555)</f>
        <v>0</v>
      </c>
      <c r="AE555" s="43">
        <v>0.08</v>
      </c>
      <c r="AF555" s="3">
        <f t="shared" si="27"/>
        <v>0</v>
      </c>
      <c r="AG555" s="45">
        <f t="shared" si="28"/>
        <v>0</v>
      </c>
      <c r="AH555" s="55"/>
    </row>
    <row r="556" spans="1:34" x14ac:dyDescent="0.25">
      <c r="A556" t="s">
        <v>2362</v>
      </c>
      <c r="B556" t="s">
        <v>2363</v>
      </c>
      <c r="C556" t="s">
        <v>2364</v>
      </c>
      <c r="D556" t="s">
        <v>2365</v>
      </c>
      <c r="E556" t="s">
        <v>2366</v>
      </c>
      <c r="F556" t="s">
        <v>2367</v>
      </c>
      <c r="G556" t="s">
        <v>5</v>
      </c>
      <c r="H556" t="s">
        <v>65</v>
      </c>
      <c r="I556" t="s">
        <v>90</v>
      </c>
      <c r="J556" t="s">
        <v>91</v>
      </c>
      <c r="K556" t="s">
        <v>3</v>
      </c>
      <c r="L556" t="s">
        <v>4</v>
      </c>
      <c r="M556" t="s">
        <v>49</v>
      </c>
      <c r="N556" t="s">
        <v>2368</v>
      </c>
      <c r="O556" s="31" t="s">
        <v>2369</v>
      </c>
      <c r="P556">
        <v>220</v>
      </c>
      <c r="Q556" t="s">
        <v>92</v>
      </c>
      <c r="R556">
        <v>6</v>
      </c>
      <c r="S556" s="31">
        <v>354000</v>
      </c>
      <c r="T556" s="39">
        <v>420000</v>
      </c>
      <c r="U556">
        <v>75000</v>
      </c>
      <c r="V556">
        <v>37000.019999999997</v>
      </c>
      <c r="W556">
        <v>0</v>
      </c>
      <c r="X556" s="39">
        <v>124999.98</v>
      </c>
      <c r="Y556">
        <v>0</v>
      </c>
      <c r="Z556" s="31">
        <v>307999.98</v>
      </c>
      <c r="AA556">
        <v>8</v>
      </c>
      <c r="AB556" s="3">
        <f t="shared" si="26"/>
        <v>307999.98</v>
      </c>
      <c r="AC556" t="str">
        <f>IF(AB556-S556&lt;0,"YES","NO")</f>
        <v>YES</v>
      </c>
      <c r="AD556">
        <f>IF(AC556="NO",0,AB556-S556)</f>
        <v>-46000.020000000019</v>
      </c>
      <c r="AE556" s="43">
        <v>0.08</v>
      </c>
      <c r="AF556" s="3">
        <f t="shared" si="27"/>
        <v>-42592.611111111124</v>
      </c>
      <c r="AG556" s="45">
        <f t="shared" si="28"/>
        <v>-46851.872222222242</v>
      </c>
      <c r="AH556" s="55"/>
    </row>
    <row r="557" spans="1:34" x14ac:dyDescent="0.25">
      <c r="A557" t="s">
        <v>2370</v>
      </c>
      <c r="B557" t="s">
        <v>2371</v>
      </c>
      <c r="C557" t="s">
        <v>2372</v>
      </c>
      <c r="D557" t="s">
        <v>2373</v>
      </c>
      <c r="E557" t="s">
        <v>2374</v>
      </c>
      <c r="F557" t="s">
        <v>2375</v>
      </c>
      <c r="G557" t="s">
        <v>5</v>
      </c>
      <c r="H557" t="s">
        <v>65</v>
      </c>
      <c r="I557" t="s">
        <v>66</v>
      </c>
      <c r="J557" t="s">
        <v>67</v>
      </c>
      <c r="K557" t="s">
        <v>3</v>
      </c>
      <c r="L557" t="s">
        <v>4</v>
      </c>
      <c r="M557" t="s">
        <v>49</v>
      </c>
      <c r="N557" t="s">
        <v>2376</v>
      </c>
      <c r="O557" s="31" t="s">
        <v>2377</v>
      </c>
      <c r="P557">
        <v>220</v>
      </c>
      <c r="R557">
        <v>6</v>
      </c>
      <c r="S557" s="31">
        <v>450000</v>
      </c>
      <c r="T557" s="39">
        <v>480000</v>
      </c>
      <c r="U557">
        <v>79999.98</v>
      </c>
      <c r="V557">
        <v>48000</v>
      </c>
      <c r="W557">
        <v>0</v>
      </c>
      <c r="X557" s="39">
        <v>132799.98000000001</v>
      </c>
      <c r="Y557">
        <v>0</v>
      </c>
      <c r="Z557" s="31">
        <v>352000.02</v>
      </c>
      <c r="AA557">
        <v>8</v>
      </c>
      <c r="AB557" s="3">
        <f t="shared" si="26"/>
        <v>352000.02</v>
      </c>
      <c r="AC557" t="str">
        <f>IF(AB557-S557&lt;0,"YES","NO")</f>
        <v>YES</v>
      </c>
      <c r="AD557">
        <f>IF(AC557="NO",0,AB557-S557)</f>
        <v>-97999.979999999981</v>
      </c>
      <c r="AE557" s="43">
        <v>0.08</v>
      </c>
      <c r="AF557" s="3">
        <f t="shared" si="27"/>
        <v>-90740.722222222204</v>
      </c>
      <c r="AG557" s="45">
        <f t="shared" si="28"/>
        <v>-99814.794444444429</v>
      </c>
      <c r="AH557" s="55"/>
    </row>
    <row r="558" spans="1:34" x14ac:dyDescent="0.25">
      <c r="A558" t="s">
        <v>2378</v>
      </c>
      <c r="B558" t="s">
        <v>2379</v>
      </c>
      <c r="C558" t="s">
        <v>2380</v>
      </c>
      <c r="D558" t="s">
        <v>2381</v>
      </c>
      <c r="E558" t="s">
        <v>2382</v>
      </c>
      <c r="F558" t="s">
        <v>2383</v>
      </c>
      <c r="G558" t="s">
        <v>5</v>
      </c>
      <c r="H558" t="s">
        <v>65</v>
      </c>
      <c r="I558" t="s">
        <v>66</v>
      </c>
      <c r="J558" t="s">
        <v>67</v>
      </c>
      <c r="K558" t="s">
        <v>3</v>
      </c>
      <c r="L558" t="s">
        <v>4</v>
      </c>
      <c r="M558" t="s">
        <v>49</v>
      </c>
      <c r="N558" t="s">
        <v>2384</v>
      </c>
      <c r="O558" s="31" t="s">
        <v>2385</v>
      </c>
      <c r="P558">
        <v>220</v>
      </c>
      <c r="R558">
        <v>6</v>
      </c>
      <c r="S558" s="31">
        <v>450000</v>
      </c>
      <c r="T558" s="39">
        <v>480000</v>
      </c>
      <c r="U558">
        <v>75000</v>
      </c>
      <c r="V558">
        <v>48000</v>
      </c>
      <c r="W558">
        <v>0</v>
      </c>
      <c r="X558" s="39">
        <v>124980</v>
      </c>
      <c r="Y558">
        <v>0</v>
      </c>
      <c r="Z558" s="31">
        <v>357000</v>
      </c>
      <c r="AA558">
        <v>8</v>
      </c>
      <c r="AB558" s="3">
        <f t="shared" si="26"/>
        <v>357000</v>
      </c>
      <c r="AC558" t="str">
        <f>IF(AB558-S558&lt;0,"YES","NO")</f>
        <v>YES</v>
      </c>
      <c r="AD558">
        <f>IF(AC558="NO",0,AB558-S558)</f>
        <v>-93000</v>
      </c>
      <c r="AE558" s="43">
        <v>0.08</v>
      </c>
      <c r="AF558" s="3">
        <f t="shared" si="27"/>
        <v>-86111.111111111109</v>
      </c>
      <c r="AG558" s="45">
        <f t="shared" si="28"/>
        <v>-94722.222222222234</v>
      </c>
      <c r="AH558" s="55"/>
    </row>
    <row r="559" spans="1:34" x14ac:dyDescent="0.25">
      <c r="A559" t="s">
        <v>2386</v>
      </c>
      <c r="B559" t="s">
        <v>2387</v>
      </c>
      <c r="C559" t="s">
        <v>2388</v>
      </c>
      <c r="D559" t="s">
        <v>2389</v>
      </c>
      <c r="E559" t="s">
        <v>2390</v>
      </c>
      <c r="F559" t="s">
        <v>2391</v>
      </c>
      <c r="G559" t="s">
        <v>5</v>
      </c>
      <c r="H559" t="s">
        <v>65</v>
      </c>
      <c r="I559" t="s">
        <v>106</v>
      </c>
      <c r="J559" t="s">
        <v>107</v>
      </c>
      <c r="K559" t="s">
        <v>3</v>
      </c>
      <c r="L559" t="s">
        <v>4</v>
      </c>
      <c r="M559" t="s">
        <v>49</v>
      </c>
      <c r="N559" t="s">
        <v>2392</v>
      </c>
      <c r="O559" s="31" t="s">
        <v>2393</v>
      </c>
      <c r="P559">
        <v>20</v>
      </c>
      <c r="Q559" t="s">
        <v>108</v>
      </c>
      <c r="R559">
        <v>1</v>
      </c>
      <c r="S559" s="31">
        <v>0</v>
      </c>
      <c r="T559" s="39">
        <v>0</v>
      </c>
      <c r="U559">
        <v>0</v>
      </c>
      <c r="V559">
        <v>0</v>
      </c>
      <c r="W559">
        <v>0</v>
      </c>
      <c r="X559" s="39">
        <v>0</v>
      </c>
      <c r="Y559">
        <v>0</v>
      </c>
      <c r="Z559" s="31">
        <v>0</v>
      </c>
      <c r="AA559">
        <v>8</v>
      </c>
      <c r="AB559" s="3">
        <f t="shared" si="26"/>
        <v>0</v>
      </c>
      <c r="AC559" t="str">
        <f>IF(AB559-S559&lt;0,"YES","NO")</f>
        <v>NO</v>
      </c>
      <c r="AD559">
        <f>IF(AC559="NO",0,AB559-S559)</f>
        <v>0</v>
      </c>
      <c r="AE559" s="43">
        <v>0.08</v>
      </c>
      <c r="AF559" s="3">
        <f t="shared" si="27"/>
        <v>0</v>
      </c>
      <c r="AG559" s="45">
        <f t="shared" si="28"/>
        <v>0</v>
      </c>
      <c r="AH559" s="55"/>
    </row>
    <row r="560" spans="1:34" x14ac:dyDescent="0.25">
      <c r="A560" t="s">
        <v>2386</v>
      </c>
      <c r="B560" t="s">
        <v>2387</v>
      </c>
      <c r="C560" t="s">
        <v>2388</v>
      </c>
      <c r="D560" t="s">
        <v>2389</v>
      </c>
      <c r="E560" t="s">
        <v>2390</v>
      </c>
      <c r="F560" t="s">
        <v>2391</v>
      </c>
      <c r="G560" t="s">
        <v>5</v>
      </c>
      <c r="H560" t="s">
        <v>65</v>
      </c>
      <c r="I560" t="s">
        <v>68</v>
      </c>
      <c r="J560" t="s">
        <v>69</v>
      </c>
      <c r="K560" t="s">
        <v>3</v>
      </c>
      <c r="L560" t="s">
        <v>4</v>
      </c>
      <c r="M560" t="s">
        <v>49</v>
      </c>
      <c r="N560" t="s">
        <v>2392</v>
      </c>
      <c r="O560" s="31" t="s">
        <v>2393</v>
      </c>
      <c r="P560">
        <v>220</v>
      </c>
      <c r="Q560" t="s">
        <v>70</v>
      </c>
      <c r="R560">
        <v>1</v>
      </c>
      <c r="S560" s="31">
        <v>59000</v>
      </c>
      <c r="T560" s="39">
        <v>65000</v>
      </c>
      <c r="U560">
        <v>11666.67</v>
      </c>
      <c r="V560">
        <v>5000</v>
      </c>
      <c r="W560">
        <v>0</v>
      </c>
      <c r="X560" s="39">
        <v>19400</v>
      </c>
      <c r="Y560">
        <v>0</v>
      </c>
      <c r="Z560" s="31">
        <v>48333.33</v>
      </c>
      <c r="AA560">
        <v>8</v>
      </c>
      <c r="AB560" s="3">
        <f t="shared" si="26"/>
        <v>48333.33</v>
      </c>
      <c r="AC560" t="str">
        <f>IF(AB560-S560&lt;0,"YES","NO")</f>
        <v>YES</v>
      </c>
      <c r="AD560">
        <f>IF(AC560="NO",0,AB560-S560)</f>
        <v>-10666.669999999998</v>
      </c>
      <c r="AE560" s="43">
        <v>0.08</v>
      </c>
      <c r="AF560" s="3">
        <f t="shared" si="27"/>
        <v>-9876.5462962962938</v>
      </c>
      <c r="AG560" s="45">
        <f t="shared" si="28"/>
        <v>-10864.200925925925</v>
      </c>
      <c r="AH560" s="55"/>
    </row>
    <row r="561" spans="1:34" x14ac:dyDescent="0.25">
      <c r="A561" t="s">
        <v>2386</v>
      </c>
      <c r="B561" t="s">
        <v>2387</v>
      </c>
      <c r="C561" t="s">
        <v>2388</v>
      </c>
      <c r="D561" t="s">
        <v>2389</v>
      </c>
      <c r="E561" t="s">
        <v>2390</v>
      </c>
      <c r="F561" t="s">
        <v>2391</v>
      </c>
      <c r="G561" t="s">
        <v>5</v>
      </c>
      <c r="H561" t="s">
        <v>65</v>
      </c>
      <c r="I561" t="s">
        <v>71</v>
      </c>
      <c r="J561" t="s">
        <v>72</v>
      </c>
      <c r="K561" t="s">
        <v>3</v>
      </c>
      <c r="L561" t="s">
        <v>4</v>
      </c>
      <c r="M561" t="s">
        <v>49</v>
      </c>
      <c r="N561" t="s">
        <v>2392</v>
      </c>
      <c r="O561" s="31" t="s">
        <v>2393</v>
      </c>
      <c r="P561">
        <v>220</v>
      </c>
      <c r="Q561" t="s">
        <v>70</v>
      </c>
      <c r="R561">
        <v>1</v>
      </c>
      <c r="S561" s="31">
        <v>59000</v>
      </c>
      <c r="T561" s="39">
        <v>65000</v>
      </c>
      <c r="U561">
        <v>11666.67</v>
      </c>
      <c r="V561">
        <v>5000</v>
      </c>
      <c r="W561">
        <v>0</v>
      </c>
      <c r="X561" s="39">
        <v>19400</v>
      </c>
      <c r="Y561">
        <v>0</v>
      </c>
      <c r="Z561" s="31">
        <v>48333.33</v>
      </c>
      <c r="AA561">
        <v>8</v>
      </c>
      <c r="AB561" s="3">
        <f t="shared" si="26"/>
        <v>48333.33</v>
      </c>
      <c r="AC561" t="str">
        <f>IF(AB561-S561&lt;0,"YES","NO")</f>
        <v>YES</v>
      </c>
      <c r="AD561">
        <f>IF(AC561="NO",0,AB561-S561)</f>
        <v>-10666.669999999998</v>
      </c>
      <c r="AE561" s="43">
        <v>0.08</v>
      </c>
      <c r="AF561" s="3">
        <f t="shared" si="27"/>
        <v>-9876.5462962962938</v>
      </c>
      <c r="AG561" s="45">
        <f t="shared" si="28"/>
        <v>-10864.200925925925</v>
      </c>
      <c r="AH561" s="55"/>
    </row>
    <row r="562" spans="1:34" x14ac:dyDescent="0.25">
      <c r="A562" t="s">
        <v>2386</v>
      </c>
      <c r="B562" t="s">
        <v>2387</v>
      </c>
      <c r="C562" t="s">
        <v>2388</v>
      </c>
      <c r="D562" t="s">
        <v>2389</v>
      </c>
      <c r="E562" t="s">
        <v>2390</v>
      </c>
      <c r="F562" t="s">
        <v>2391</v>
      </c>
      <c r="G562" t="s">
        <v>5</v>
      </c>
      <c r="H562" t="s">
        <v>65</v>
      </c>
      <c r="I562" t="s">
        <v>73</v>
      </c>
      <c r="J562" t="s">
        <v>74</v>
      </c>
      <c r="K562" t="s">
        <v>3</v>
      </c>
      <c r="L562" t="s">
        <v>4</v>
      </c>
      <c r="M562" t="s">
        <v>49</v>
      </c>
      <c r="N562" t="s">
        <v>2392</v>
      </c>
      <c r="O562" s="31" t="s">
        <v>2393</v>
      </c>
      <c r="P562">
        <v>220</v>
      </c>
      <c r="Q562" t="s">
        <v>70</v>
      </c>
      <c r="R562">
        <v>1</v>
      </c>
      <c r="S562" s="31">
        <v>59000</v>
      </c>
      <c r="T562" s="39">
        <v>65000</v>
      </c>
      <c r="U562">
        <v>11666.67</v>
      </c>
      <c r="V562">
        <v>5000</v>
      </c>
      <c r="W562">
        <v>0</v>
      </c>
      <c r="X562" s="39">
        <v>19400</v>
      </c>
      <c r="Y562">
        <v>0</v>
      </c>
      <c r="Z562" s="31">
        <v>48333.33</v>
      </c>
      <c r="AA562">
        <v>8</v>
      </c>
      <c r="AB562" s="3">
        <f t="shared" si="26"/>
        <v>48333.33</v>
      </c>
      <c r="AC562" t="str">
        <f>IF(AB562-S562&lt;0,"YES","NO")</f>
        <v>YES</v>
      </c>
      <c r="AD562">
        <f>IF(AC562="NO",0,AB562-S562)</f>
        <v>-10666.669999999998</v>
      </c>
      <c r="AE562" s="43">
        <v>0.08</v>
      </c>
      <c r="AF562" s="3">
        <f t="shared" si="27"/>
        <v>-9876.5462962962938</v>
      </c>
      <c r="AG562" s="45">
        <f t="shared" si="28"/>
        <v>-10864.200925925925</v>
      </c>
      <c r="AH562" s="55"/>
    </row>
    <row r="563" spans="1:34" x14ac:dyDescent="0.25">
      <c r="A563" t="s">
        <v>2386</v>
      </c>
      <c r="B563" t="s">
        <v>2387</v>
      </c>
      <c r="C563" t="s">
        <v>2388</v>
      </c>
      <c r="D563" t="s">
        <v>2389</v>
      </c>
      <c r="E563" t="s">
        <v>2390</v>
      </c>
      <c r="F563" t="s">
        <v>2391</v>
      </c>
      <c r="G563" t="s">
        <v>5</v>
      </c>
      <c r="H563" t="s">
        <v>65</v>
      </c>
      <c r="I563" t="s">
        <v>78</v>
      </c>
      <c r="J563" t="s">
        <v>79</v>
      </c>
      <c r="K563" t="s">
        <v>3</v>
      </c>
      <c r="L563" t="s">
        <v>4</v>
      </c>
      <c r="M563" t="s">
        <v>49</v>
      </c>
      <c r="N563" t="s">
        <v>2392</v>
      </c>
      <c r="O563" s="31" t="s">
        <v>2393</v>
      </c>
      <c r="P563">
        <v>220</v>
      </c>
      <c r="R563">
        <v>2</v>
      </c>
      <c r="S563" s="31">
        <v>150000</v>
      </c>
      <c r="T563" s="39">
        <v>160000</v>
      </c>
      <c r="U563">
        <v>0</v>
      </c>
      <c r="V563">
        <v>10000</v>
      </c>
      <c r="W563">
        <v>0</v>
      </c>
      <c r="X563" s="39">
        <v>24000</v>
      </c>
      <c r="Y563">
        <v>0</v>
      </c>
      <c r="Z563" s="31">
        <v>150000</v>
      </c>
      <c r="AA563">
        <v>8</v>
      </c>
      <c r="AB563" s="3">
        <f t="shared" si="26"/>
        <v>150000</v>
      </c>
      <c r="AC563" t="str">
        <f>IF(AB563-S563&lt;0,"YES","NO")</f>
        <v>NO</v>
      </c>
      <c r="AD563">
        <f>IF(AC563="NO",0,AB563-S563)</f>
        <v>0</v>
      </c>
      <c r="AE563" s="43">
        <v>0.08</v>
      </c>
      <c r="AF563" s="3">
        <f t="shared" si="27"/>
        <v>0</v>
      </c>
      <c r="AG563" s="45">
        <f t="shared" si="28"/>
        <v>0</v>
      </c>
      <c r="AH563" s="55"/>
    </row>
    <row r="564" spans="1:34" x14ac:dyDescent="0.25">
      <c r="A564" t="s">
        <v>2394</v>
      </c>
      <c r="B564" t="s">
        <v>2395</v>
      </c>
      <c r="C564" t="s">
        <v>2396</v>
      </c>
      <c r="D564" t="s">
        <v>2397</v>
      </c>
      <c r="E564" t="s">
        <v>2398</v>
      </c>
      <c r="F564" t="s">
        <v>2399</v>
      </c>
      <c r="G564" t="s">
        <v>54</v>
      </c>
      <c r="H564" t="s">
        <v>65</v>
      </c>
      <c r="I564" t="s">
        <v>109</v>
      </c>
      <c r="J564" t="s">
        <v>110</v>
      </c>
      <c r="K564" t="s">
        <v>3</v>
      </c>
      <c r="L564" t="s">
        <v>4</v>
      </c>
      <c r="M564" t="s">
        <v>49</v>
      </c>
      <c r="N564" t="s">
        <v>2400</v>
      </c>
      <c r="O564" s="31" t="s">
        <v>2401</v>
      </c>
      <c r="P564">
        <v>380</v>
      </c>
      <c r="R564">
        <v>3</v>
      </c>
      <c r="S564" s="31">
        <v>198000</v>
      </c>
      <c r="T564" s="39">
        <v>210000</v>
      </c>
      <c r="U564">
        <v>0</v>
      </c>
      <c r="V564">
        <v>18000</v>
      </c>
      <c r="W564">
        <v>0</v>
      </c>
      <c r="X564" s="39">
        <v>0</v>
      </c>
      <c r="Y564">
        <v>0</v>
      </c>
      <c r="Z564" s="31">
        <v>192000</v>
      </c>
      <c r="AA564">
        <v>8</v>
      </c>
      <c r="AB564" s="3">
        <f t="shared" si="26"/>
        <v>192000</v>
      </c>
      <c r="AC564" t="str">
        <f>IF(AB564-S564&lt;0,"YES","NO")</f>
        <v>YES</v>
      </c>
      <c r="AD564">
        <f>IF(AC564="NO",0,AB564-S564)</f>
        <v>-6000</v>
      </c>
      <c r="AE564" s="43">
        <v>0.08</v>
      </c>
      <c r="AF564" s="3">
        <f t="shared" si="27"/>
        <v>-5555.5555555555547</v>
      </c>
      <c r="AG564" s="45">
        <f t="shared" si="28"/>
        <v>-6111.1111111111104</v>
      </c>
      <c r="AH564" s="55"/>
    </row>
    <row r="565" spans="1:34" x14ac:dyDescent="0.25">
      <c r="A565" t="s">
        <v>2394</v>
      </c>
      <c r="B565" t="s">
        <v>2395</v>
      </c>
      <c r="C565" t="s">
        <v>2396</v>
      </c>
      <c r="D565" t="s">
        <v>2397</v>
      </c>
      <c r="E565" t="s">
        <v>2398</v>
      </c>
      <c r="F565" t="s">
        <v>2399</v>
      </c>
      <c r="G565" t="s">
        <v>54</v>
      </c>
      <c r="H565" t="s">
        <v>65</v>
      </c>
      <c r="I565" t="s">
        <v>104</v>
      </c>
      <c r="J565" t="s">
        <v>105</v>
      </c>
      <c r="K565" t="s">
        <v>3</v>
      </c>
      <c r="L565" t="s">
        <v>4</v>
      </c>
      <c r="M565" t="s">
        <v>49</v>
      </c>
      <c r="N565" t="s">
        <v>2400</v>
      </c>
      <c r="O565" s="31" t="s">
        <v>2401</v>
      </c>
      <c r="P565">
        <v>380</v>
      </c>
      <c r="R565">
        <v>3</v>
      </c>
      <c r="S565" s="31">
        <v>198000</v>
      </c>
      <c r="T565" s="39">
        <v>210000</v>
      </c>
      <c r="U565">
        <v>0</v>
      </c>
      <c r="V565">
        <v>18000</v>
      </c>
      <c r="W565">
        <v>0</v>
      </c>
      <c r="X565" s="39">
        <v>0</v>
      </c>
      <c r="Y565">
        <v>0</v>
      </c>
      <c r="Z565" s="31">
        <v>192000</v>
      </c>
      <c r="AA565">
        <v>8</v>
      </c>
      <c r="AB565" s="3">
        <f t="shared" si="26"/>
        <v>192000</v>
      </c>
      <c r="AC565" t="str">
        <f>IF(AB565-S565&lt;0,"YES","NO")</f>
        <v>YES</v>
      </c>
      <c r="AD565">
        <f>IF(AC565="NO",0,AB565-S565)</f>
        <v>-6000</v>
      </c>
      <c r="AE565" s="43">
        <v>0.08</v>
      </c>
      <c r="AF565" s="3">
        <f t="shared" si="27"/>
        <v>-5555.5555555555547</v>
      </c>
      <c r="AG565" s="45">
        <f t="shared" si="28"/>
        <v>-6111.1111111111104</v>
      </c>
      <c r="AH565" s="55"/>
    </row>
    <row r="566" spans="1:34" x14ac:dyDescent="0.25">
      <c r="A566" t="s">
        <v>2402</v>
      </c>
      <c r="B566" t="s">
        <v>2403</v>
      </c>
      <c r="C566" t="s">
        <v>2404</v>
      </c>
      <c r="D566" t="s">
        <v>2405</v>
      </c>
      <c r="E566" t="s">
        <v>2406</v>
      </c>
      <c r="F566" t="s">
        <v>2407</v>
      </c>
      <c r="G566" t="s">
        <v>5</v>
      </c>
      <c r="H566" t="s">
        <v>65</v>
      </c>
      <c r="I566" t="s">
        <v>68</v>
      </c>
      <c r="J566" t="s">
        <v>69</v>
      </c>
      <c r="K566" t="s">
        <v>3</v>
      </c>
      <c r="L566" t="s">
        <v>4</v>
      </c>
      <c r="M566" t="s">
        <v>49</v>
      </c>
      <c r="N566" t="s">
        <v>2408</v>
      </c>
      <c r="O566" s="31" t="s">
        <v>2409</v>
      </c>
      <c r="P566">
        <v>220</v>
      </c>
      <c r="Q566" t="s">
        <v>70</v>
      </c>
      <c r="R566">
        <v>1</v>
      </c>
      <c r="S566" s="31">
        <v>59000</v>
      </c>
      <c r="T566" s="39">
        <v>65000</v>
      </c>
      <c r="U566">
        <v>11666.67</v>
      </c>
      <c r="V566">
        <v>5000</v>
      </c>
      <c r="W566">
        <v>0</v>
      </c>
      <c r="X566" s="39">
        <v>21333.33</v>
      </c>
      <c r="Y566">
        <v>0</v>
      </c>
      <c r="Z566" s="31">
        <v>48333.33</v>
      </c>
      <c r="AA566">
        <v>8</v>
      </c>
      <c r="AB566" s="3">
        <f t="shared" si="26"/>
        <v>48333.33</v>
      </c>
      <c r="AC566" t="str">
        <f>IF(AB566-S566&lt;0,"YES","NO")</f>
        <v>YES</v>
      </c>
      <c r="AD566">
        <f>IF(AC566="NO",0,AB566-S566)</f>
        <v>-10666.669999999998</v>
      </c>
      <c r="AE566" s="43">
        <v>0.08</v>
      </c>
      <c r="AF566" s="3">
        <f t="shared" si="27"/>
        <v>-9876.5462962962938</v>
      </c>
      <c r="AG566" s="45">
        <f t="shared" si="28"/>
        <v>-10864.200925925925</v>
      </c>
      <c r="AH566" s="55"/>
    </row>
    <row r="567" spans="1:34" x14ac:dyDescent="0.25">
      <c r="A567" t="s">
        <v>2402</v>
      </c>
      <c r="B567" t="s">
        <v>2403</v>
      </c>
      <c r="C567" t="s">
        <v>2404</v>
      </c>
      <c r="D567" t="s">
        <v>2405</v>
      </c>
      <c r="E567" t="s">
        <v>2406</v>
      </c>
      <c r="F567" t="s">
        <v>2407</v>
      </c>
      <c r="G567" t="s">
        <v>5</v>
      </c>
      <c r="H567" t="s">
        <v>65</v>
      </c>
      <c r="I567" t="s">
        <v>71</v>
      </c>
      <c r="J567" t="s">
        <v>72</v>
      </c>
      <c r="K567" t="s">
        <v>3</v>
      </c>
      <c r="L567" t="s">
        <v>4</v>
      </c>
      <c r="M567" t="s">
        <v>49</v>
      </c>
      <c r="N567" t="s">
        <v>2408</v>
      </c>
      <c r="O567" s="31" t="s">
        <v>2409</v>
      </c>
      <c r="P567">
        <v>220</v>
      </c>
      <c r="Q567" t="s">
        <v>70</v>
      </c>
      <c r="R567">
        <v>1</v>
      </c>
      <c r="S567" s="31">
        <v>59000</v>
      </c>
      <c r="T567" s="39">
        <v>65000</v>
      </c>
      <c r="U567">
        <v>11666.67</v>
      </c>
      <c r="V567">
        <v>5000</v>
      </c>
      <c r="W567">
        <v>0</v>
      </c>
      <c r="X567" s="39">
        <v>21333.33</v>
      </c>
      <c r="Y567">
        <v>0</v>
      </c>
      <c r="Z567" s="31">
        <v>48333.33</v>
      </c>
      <c r="AA567">
        <v>8</v>
      </c>
      <c r="AB567" s="3">
        <f t="shared" si="26"/>
        <v>48333.33</v>
      </c>
      <c r="AC567" t="str">
        <f>IF(AB567-S567&lt;0,"YES","NO")</f>
        <v>YES</v>
      </c>
      <c r="AD567">
        <f>IF(AC567="NO",0,AB567-S567)</f>
        <v>-10666.669999999998</v>
      </c>
      <c r="AE567" s="43">
        <v>0.08</v>
      </c>
      <c r="AF567" s="3">
        <f t="shared" si="27"/>
        <v>-9876.5462962962938</v>
      </c>
      <c r="AG567" s="45">
        <f t="shared" si="28"/>
        <v>-10864.200925925925</v>
      </c>
      <c r="AH567" s="55"/>
    </row>
    <row r="568" spans="1:34" x14ac:dyDescent="0.25">
      <c r="A568" t="s">
        <v>2402</v>
      </c>
      <c r="B568" t="s">
        <v>2403</v>
      </c>
      <c r="C568" t="s">
        <v>2404</v>
      </c>
      <c r="D568" t="s">
        <v>2405</v>
      </c>
      <c r="E568" t="s">
        <v>2406</v>
      </c>
      <c r="F568" t="s">
        <v>2407</v>
      </c>
      <c r="G568" t="s">
        <v>5</v>
      </c>
      <c r="H568" t="s">
        <v>65</v>
      </c>
      <c r="I568" t="s">
        <v>73</v>
      </c>
      <c r="J568" t="s">
        <v>74</v>
      </c>
      <c r="K568" t="s">
        <v>3</v>
      </c>
      <c r="L568" t="s">
        <v>4</v>
      </c>
      <c r="M568" t="s">
        <v>49</v>
      </c>
      <c r="N568" t="s">
        <v>2408</v>
      </c>
      <c r="O568" s="31" t="s">
        <v>2409</v>
      </c>
      <c r="P568">
        <v>220</v>
      </c>
      <c r="Q568" t="s">
        <v>70</v>
      </c>
      <c r="R568">
        <v>1</v>
      </c>
      <c r="S568" s="31">
        <v>59000</v>
      </c>
      <c r="T568" s="39">
        <v>65000</v>
      </c>
      <c r="U568">
        <v>11666.67</v>
      </c>
      <c r="V568">
        <v>5000</v>
      </c>
      <c r="W568">
        <v>0</v>
      </c>
      <c r="X568" s="39">
        <v>21333.33</v>
      </c>
      <c r="Y568">
        <v>0</v>
      </c>
      <c r="Z568" s="31">
        <v>48333.33</v>
      </c>
      <c r="AA568">
        <v>8</v>
      </c>
      <c r="AB568" s="3">
        <f t="shared" si="26"/>
        <v>48333.33</v>
      </c>
      <c r="AC568" t="str">
        <f>IF(AB568-S568&lt;0,"YES","NO")</f>
        <v>YES</v>
      </c>
      <c r="AD568">
        <f>IF(AC568="NO",0,AB568-S568)</f>
        <v>-10666.669999999998</v>
      </c>
      <c r="AE568" s="43">
        <v>0.08</v>
      </c>
      <c r="AF568" s="3">
        <f t="shared" si="27"/>
        <v>-9876.5462962962938</v>
      </c>
      <c r="AG568" s="45">
        <f t="shared" si="28"/>
        <v>-10864.200925925925</v>
      </c>
      <c r="AH568" s="55"/>
    </row>
    <row r="569" spans="1:34" x14ac:dyDescent="0.25">
      <c r="A569" t="s">
        <v>2410</v>
      </c>
      <c r="B569" t="s">
        <v>2411</v>
      </c>
      <c r="C569" t="s">
        <v>2412</v>
      </c>
      <c r="D569" t="s">
        <v>2413</v>
      </c>
      <c r="E569" t="s">
        <v>2414</v>
      </c>
      <c r="F569" t="s">
        <v>2415</v>
      </c>
      <c r="G569" t="s">
        <v>5</v>
      </c>
      <c r="H569" t="s">
        <v>65</v>
      </c>
      <c r="I569" t="s">
        <v>109</v>
      </c>
      <c r="J569" t="s">
        <v>110</v>
      </c>
      <c r="K569" t="s">
        <v>3</v>
      </c>
      <c r="L569" t="s">
        <v>4</v>
      </c>
      <c r="M569" t="s">
        <v>49</v>
      </c>
      <c r="N569" t="s">
        <v>2416</v>
      </c>
      <c r="O569" s="31" t="s">
        <v>2417</v>
      </c>
      <c r="P569">
        <v>380</v>
      </c>
      <c r="R569">
        <v>2</v>
      </c>
      <c r="S569" s="31">
        <v>132000</v>
      </c>
      <c r="T569" s="39">
        <v>140000</v>
      </c>
      <c r="U569">
        <v>9565</v>
      </c>
      <c r="V569">
        <v>8000</v>
      </c>
      <c r="W569">
        <v>0</v>
      </c>
      <c r="X569" s="39">
        <v>33478</v>
      </c>
      <c r="Y569">
        <v>0</v>
      </c>
      <c r="Z569" s="31">
        <v>122435</v>
      </c>
      <c r="AA569">
        <v>8</v>
      </c>
      <c r="AB569" s="3">
        <f t="shared" si="26"/>
        <v>122435</v>
      </c>
      <c r="AC569" t="str">
        <f>IF(AB569-S569&lt;0,"YES","NO")</f>
        <v>YES</v>
      </c>
      <c r="AD569">
        <f>IF(AC569="NO",0,AB569-S569)</f>
        <v>-9565</v>
      </c>
      <c r="AE569" s="43">
        <v>0.08</v>
      </c>
      <c r="AF569" s="3">
        <f t="shared" si="27"/>
        <v>-8856.4814814814818</v>
      </c>
      <c r="AG569" s="45">
        <f t="shared" si="28"/>
        <v>-9742.1296296296314</v>
      </c>
      <c r="AH569" s="55"/>
    </row>
    <row r="570" spans="1:34" x14ac:dyDescent="0.25">
      <c r="A570" t="s">
        <v>2410</v>
      </c>
      <c r="B570" t="s">
        <v>2411</v>
      </c>
      <c r="C570" t="s">
        <v>2412</v>
      </c>
      <c r="D570" t="s">
        <v>2413</v>
      </c>
      <c r="E570" t="s">
        <v>2414</v>
      </c>
      <c r="F570" t="s">
        <v>2415</v>
      </c>
      <c r="G570" t="s">
        <v>5</v>
      </c>
      <c r="H570" t="s">
        <v>65</v>
      </c>
      <c r="I570" t="s">
        <v>66</v>
      </c>
      <c r="J570" t="s">
        <v>67</v>
      </c>
      <c r="K570" t="s">
        <v>3</v>
      </c>
      <c r="L570" t="s">
        <v>4</v>
      </c>
      <c r="M570" t="s">
        <v>49</v>
      </c>
      <c r="N570" t="s">
        <v>2416</v>
      </c>
      <c r="O570" s="31" t="s">
        <v>2417</v>
      </c>
      <c r="P570">
        <v>220</v>
      </c>
      <c r="R570">
        <v>2</v>
      </c>
      <c r="S570" s="31">
        <v>150000</v>
      </c>
      <c r="T570" s="39">
        <v>160000</v>
      </c>
      <c r="U570">
        <v>10435</v>
      </c>
      <c r="V570">
        <v>16000</v>
      </c>
      <c r="W570">
        <v>0</v>
      </c>
      <c r="X570" s="39">
        <v>36522</v>
      </c>
      <c r="Y570">
        <v>0</v>
      </c>
      <c r="Z570" s="31">
        <v>133565</v>
      </c>
      <c r="AA570">
        <v>8</v>
      </c>
      <c r="AB570" s="3">
        <f t="shared" si="26"/>
        <v>133565</v>
      </c>
      <c r="AC570" t="str">
        <f>IF(AB570-S570&lt;0,"YES","NO")</f>
        <v>YES</v>
      </c>
      <c r="AD570">
        <f>IF(AC570="NO",0,AB570-S570)</f>
        <v>-16435</v>
      </c>
      <c r="AE570" s="43">
        <v>0.08</v>
      </c>
      <c r="AF570" s="3">
        <f t="shared" si="27"/>
        <v>-15217.592592592591</v>
      </c>
      <c r="AG570" s="45">
        <f t="shared" si="28"/>
        <v>-16739.35185185185</v>
      </c>
      <c r="AH570" s="55"/>
    </row>
    <row r="571" spans="1:34" x14ac:dyDescent="0.25">
      <c r="A571" t="s">
        <v>2418</v>
      </c>
      <c r="B571" t="s">
        <v>2419</v>
      </c>
      <c r="C571" t="s">
        <v>2420</v>
      </c>
      <c r="D571" t="s">
        <v>2421</v>
      </c>
      <c r="E571" t="s">
        <v>2422</v>
      </c>
      <c r="F571" t="s">
        <v>2423</v>
      </c>
      <c r="G571" t="s">
        <v>5</v>
      </c>
      <c r="H571" t="s">
        <v>65</v>
      </c>
      <c r="I571" t="s">
        <v>100</v>
      </c>
      <c r="J571" t="s">
        <v>101</v>
      </c>
      <c r="K571" t="s">
        <v>3</v>
      </c>
      <c r="L571" t="s">
        <v>4</v>
      </c>
      <c r="M571" t="s">
        <v>49</v>
      </c>
      <c r="N571" t="s">
        <v>2424</v>
      </c>
      <c r="O571" s="31" t="s">
        <v>2425</v>
      </c>
      <c r="P571">
        <v>200</v>
      </c>
      <c r="R571">
        <v>2</v>
      </c>
      <c r="S571" s="31">
        <v>144000</v>
      </c>
      <c r="T571" s="39">
        <v>160000</v>
      </c>
      <c r="U571">
        <v>20000</v>
      </c>
      <c r="V571">
        <v>16000</v>
      </c>
      <c r="W571">
        <v>0</v>
      </c>
      <c r="X571" s="39">
        <v>44800</v>
      </c>
      <c r="Y571">
        <v>0</v>
      </c>
      <c r="Z571" s="31">
        <v>124000</v>
      </c>
      <c r="AA571">
        <v>8</v>
      </c>
      <c r="AB571" s="3">
        <f t="shared" si="26"/>
        <v>124000</v>
      </c>
      <c r="AC571" t="str">
        <f>IF(AB571-S571&lt;0,"YES","NO")</f>
        <v>YES</v>
      </c>
      <c r="AD571">
        <f>IF(AC571="NO",0,AB571-S571)</f>
        <v>-20000</v>
      </c>
      <c r="AE571" s="43">
        <v>0.08</v>
      </c>
      <c r="AF571" s="3">
        <f t="shared" si="27"/>
        <v>-18518.518518518518</v>
      </c>
      <c r="AG571" s="45">
        <f t="shared" si="28"/>
        <v>-20370.370370370372</v>
      </c>
      <c r="AH571" s="55"/>
    </row>
    <row r="572" spans="1:34" x14ac:dyDescent="0.25">
      <c r="A572" t="s">
        <v>2426</v>
      </c>
      <c r="B572" t="s">
        <v>2427</v>
      </c>
      <c r="C572" t="s">
        <v>2428</v>
      </c>
      <c r="D572" t="s">
        <v>2429</v>
      </c>
      <c r="E572" t="s">
        <v>2430</v>
      </c>
      <c r="F572" t="s">
        <v>2431</v>
      </c>
      <c r="G572" t="s">
        <v>5</v>
      </c>
      <c r="H572" t="s">
        <v>61</v>
      </c>
      <c r="I572" t="s">
        <v>75</v>
      </c>
      <c r="J572" t="s">
        <v>76</v>
      </c>
      <c r="K572" t="s">
        <v>3</v>
      </c>
      <c r="L572" t="s">
        <v>4</v>
      </c>
      <c r="M572" t="s">
        <v>49</v>
      </c>
      <c r="N572" t="s">
        <v>2432</v>
      </c>
      <c r="O572" s="31" t="s">
        <v>2433</v>
      </c>
      <c r="P572">
        <v>20</v>
      </c>
      <c r="Q572" t="s">
        <v>77</v>
      </c>
      <c r="R572">
        <v>1</v>
      </c>
      <c r="S572" s="31">
        <v>0</v>
      </c>
      <c r="T572" s="39">
        <v>0</v>
      </c>
      <c r="U572">
        <v>0</v>
      </c>
      <c r="V572">
        <v>0</v>
      </c>
      <c r="W572">
        <v>0</v>
      </c>
      <c r="X572" s="39">
        <v>0</v>
      </c>
      <c r="Y572">
        <v>0</v>
      </c>
      <c r="Z572" s="31">
        <v>0</v>
      </c>
      <c r="AA572">
        <v>8</v>
      </c>
      <c r="AB572" s="3">
        <f t="shared" si="26"/>
        <v>0</v>
      </c>
      <c r="AC572" t="str">
        <f>IF(AB572-S572&lt;0,"YES","NO")</f>
        <v>NO</v>
      </c>
      <c r="AD572">
        <f>IF(AC572="NO",0,AB572-S572)</f>
        <v>0</v>
      </c>
      <c r="AE572" s="43">
        <v>0.08</v>
      </c>
      <c r="AF572" s="3">
        <f t="shared" si="27"/>
        <v>0</v>
      </c>
      <c r="AG572" s="45">
        <f t="shared" si="28"/>
        <v>0</v>
      </c>
      <c r="AH572" s="55"/>
    </row>
    <row r="573" spans="1:34" x14ac:dyDescent="0.25">
      <c r="A573" t="s">
        <v>2426</v>
      </c>
      <c r="B573" t="s">
        <v>2427</v>
      </c>
      <c r="C573" t="s">
        <v>2428</v>
      </c>
      <c r="D573" t="s">
        <v>2429</v>
      </c>
      <c r="E573" t="s">
        <v>2430</v>
      </c>
      <c r="F573" t="s">
        <v>2431</v>
      </c>
      <c r="G573" t="s">
        <v>5</v>
      </c>
      <c r="H573" t="s">
        <v>65</v>
      </c>
      <c r="I573" t="s">
        <v>66</v>
      </c>
      <c r="J573" t="s">
        <v>67</v>
      </c>
      <c r="K573" t="s">
        <v>3</v>
      </c>
      <c r="L573" t="s">
        <v>4</v>
      </c>
      <c r="M573" t="s">
        <v>49</v>
      </c>
      <c r="N573" t="s">
        <v>2432</v>
      </c>
      <c r="O573" s="31" t="s">
        <v>2433</v>
      </c>
      <c r="P573">
        <v>220</v>
      </c>
      <c r="R573">
        <v>2</v>
      </c>
      <c r="S573" s="31">
        <v>150000</v>
      </c>
      <c r="T573" s="39">
        <v>160000</v>
      </c>
      <c r="U573">
        <v>25000</v>
      </c>
      <c r="V573">
        <v>8333.34</v>
      </c>
      <c r="W573">
        <v>0</v>
      </c>
      <c r="X573" s="39">
        <v>47800</v>
      </c>
      <c r="Y573">
        <v>0</v>
      </c>
      <c r="Z573" s="31">
        <v>126666.66</v>
      </c>
      <c r="AA573">
        <v>8</v>
      </c>
      <c r="AB573" s="3">
        <f t="shared" si="26"/>
        <v>126666.66</v>
      </c>
      <c r="AC573" t="str">
        <f>IF(AB573-S573&lt;0,"YES","NO")</f>
        <v>YES</v>
      </c>
      <c r="AD573">
        <f>IF(AC573="NO",0,AB573-S573)</f>
        <v>-23333.339999999997</v>
      </c>
      <c r="AE573" s="43">
        <v>0.08</v>
      </c>
      <c r="AF573" s="3">
        <f t="shared" si="27"/>
        <v>-21604.944444444438</v>
      </c>
      <c r="AG573" s="45">
        <f t="shared" si="28"/>
        <v>-23765.438888888883</v>
      </c>
      <c r="AH573" s="55"/>
    </row>
    <row r="574" spans="1:34" x14ac:dyDescent="0.25">
      <c r="A574" t="s">
        <v>2426</v>
      </c>
      <c r="B574" t="s">
        <v>2427</v>
      </c>
      <c r="C574" t="s">
        <v>2428</v>
      </c>
      <c r="D574" t="s">
        <v>2429</v>
      </c>
      <c r="E574" t="s">
        <v>2430</v>
      </c>
      <c r="F574" t="s">
        <v>2431</v>
      </c>
      <c r="G574" t="s">
        <v>5</v>
      </c>
      <c r="H574" t="s">
        <v>65</v>
      </c>
      <c r="I574" t="s">
        <v>78</v>
      </c>
      <c r="J574" t="s">
        <v>79</v>
      </c>
      <c r="K574" t="s">
        <v>3</v>
      </c>
      <c r="L574" t="s">
        <v>4</v>
      </c>
      <c r="M574" t="s">
        <v>49</v>
      </c>
      <c r="N574" t="s">
        <v>2432</v>
      </c>
      <c r="O574" s="31" t="s">
        <v>2433</v>
      </c>
      <c r="P574">
        <v>220</v>
      </c>
      <c r="R574">
        <v>2</v>
      </c>
      <c r="S574" s="31">
        <v>150000</v>
      </c>
      <c r="T574" s="39">
        <v>160000</v>
      </c>
      <c r="U574">
        <v>25000</v>
      </c>
      <c r="V574">
        <v>8333.34</v>
      </c>
      <c r="W574">
        <v>0</v>
      </c>
      <c r="X574" s="39">
        <v>47800</v>
      </c>
      <c r="Y574">
        <v>0</v>
      </c>
      <c r="Z574" s="31">
        <v>126666.66</v>
      </c>
      <c r="AA574">
        <v>8</v>
      </c>
      <c r="AB574" s="3">
        <f t="shared" si="26"/>
        <v>126666.66</v>
      </c>
      <c r="AC574" t="str">
        <f>IF(AB574-S574&lt;0,"YES","NO")</f>
        <v>YES</v>
      </c>
      <c r="AD574">
        <f>IF(AC574="NO",0,AB574-S574)</f>
        <v>-23333.339999999997</v>
      </c>
      <c r="AE574" s="43">
        <v>0.08</v>
      </c>
      <c r="AF574" s="3">
        <f t="shared" si="27"/>
        <v>-21604.944444444438</v>
      </c>
      <c r="AG574" s="45">
        <f t="shared" si="28"/>
        <v>-23765.438888888883</v>
      </c>
      <c r="AH574" s="55"/>
    </row>
    <row r="575" spans="1:34" x14ac:dyDescent="0.25">
      <c r="A575" t="s">
        <v>2426</v>
      </c>
      <c r="B575" t="s">
        <v>2427</v>
      </c>
      <c r="C575" t="s">
        <v>2428</v>
      </c>
      <c r="D575" t="s">
        <v>2429</v>
      </c>
      <c r="E575" t="s">
        <v>2430</v>
      </c>
      <c r="F575" t="s">
        <v>2431</v>
      </c>
      <c r="G575" t="s">
        <v>5</v>
      </c>
      <c r="H575" t="s">
        <v>65</v>
      </c>
      <c r="I575" t="s">
        <v>80</v>
      </c>
      <c r="J575" t="s">
        <v>81</v>
      </c>
      <c r="K575" t="s">
        <v>3</v>
      </c>
      <c r="L575" t="s">
        <v>4</v>
      </c>
      <c r="M575" t="s">
        <v>49</v>
      </c>
      <c r="N575" t="s">
        <v>2432</v>
      </c>
      <c r="O575" s="31" t="s">
        <v>2433</v>
      </c>
      <c r="P575">
        <v>220</v>
      </c>
      <c r="R575">
        <v>2</v>
      </c>
      <c r="S575" s="31">
        <v>150000</v>
      </c>
      <c r="T575" s="39">
        <v>160000</v>
      </c>
      <c r="U575">
        <v>25000</v>
      </c>
      <c r="V575">
        <v>8333.34</v>
      </c>
      <c r="W575">
        <v>0</v>
      </c>
      <c r="X575" s="39">
        <v>47800</v>
      </c>
      <c r="Y575">
        <v>0</v>
      </c>
      <c r="Z575" s="31">
        <v>126666.66</v>
      </c>
      <c r="AA575">
        <v>8</v>
      </c>
      <c r="AB575" s="3">
        <f t="shared" si="26"/>
        <v>126666.66</v>
      </c>
      <c r="AC575" t="str">
        <f>IF(AB575-S575&lt;0,"YES","NO")</f>
        <v>YES</v>
      </c>
      <c r="AD575">
        <f>IF(AC575="NO",0,AB575-S575)</f>
        <v>-23333.339999999997</v>
      </c>
      <c r="AE575" s="43">
        <v>0.08</v>
      </c>
      <c r="AF575" s="3">
        <f t="shared" si="27"/>
        <v>-21604.944444444438</v>
      </c>
      <c r="AG575" s="45">
        <f t="shared" si="28"/>
        <v>-23765.438888888883</v>
      </c>
      <c r="AH575" s="55"/>
    </row>
    <row r="576" spans="1:34" x14ac:dyDescent="0.25">
      <c r="A576" t="s">
        <v>2434</v>
      </c>
      <c r="B576" t="s">
        <v>2435</v>
      </c>
      <c r="C576" t="s">
        <v>2436</v>
      </c>
      <c r="D576" t="s">
        <v>2437</v>
      </c>
      <c r="E576" t="s">
        <v>2438</v>
      </c>
      <c r="F576" t="s">
        <v>2439</v>
      </c>
      <c r="G576" t="s">
        <v>5</v>
      </c>
      <c r="H576" t="s">
        <v>61</v>
      </c>
      <c r="I576" t="s">
        <v>93</v>
      </c>
      <c r="J576" t="s">
        <v>94</v>
      </c>
      <c r="K576" t="s">
        <v>3</v>
      </c>
      <c r="L576" t="s">
        <v>4</v>
      </c>
      <c r="M576" t="s">
        <v>49</v>
      </c>
      <c r="N576" t="s">
        <v>2440</v>
      </c>
      <c r="O576" s="31" t="s">
        <v>2441</v>
      </c>
      <c r="P576">
        <v>20</v>
      </c>
      <c r="Q576" t="s">
        <v>86</v>
      </c>
      <c r="R576">
        <v>1</v>
      </c>
      <c r="S576" s="31">
        <v>0</v>
      </c>
      <c r="T576" s="39">
        <v>0</v>
      </c>
      <c r="U576">
        <v>0</v>
      </c>
      <c r="V576">
        <v>0</v>
      </c>
      <c r="W576">
        <v>0</v>
      </c>
      <c r="X576" s="39">
        <v>0</v>
      </c>
      <c r="Y576">
        <v>0</v>
      </c>
      <c r="Z576" s="31">
        <v>0</v>
      </c>
      <c r="AA576">
        <v>8</v>
      </c>
      <c r="AB576" s="3">
        <f t="shared" si="26"/>
        <v>0</v>
      </c>
      <c r="AC576" t="str">
        <f>IF(AB576-S576&lt;0,"YES","NO")</f>
        <v>NO</v>
      </c>
      <c r="AD576">
        <f>IF(AC576="NO",0,AB576-S576)</f>
        <v>0</v>
      </c>
      <c r="AE576" s="43">
        <v>0.08</v>
      </c>
      <c r="AF576" s="3">
        <f t="shared" si="27"/>
        <v>0</v>
      </c>
      <c r="AG576" s="45">
        <f t="shared" si="28"/>
        <v>0</v>
      </c>
      <c r="AH576" s="55"/>
    </row>
    <row r="577" spans="1:34" x14ac:dyDescent="0.25">
      <c r="A577" t="s">
        <v>2434</v>
      </c>
      <c r="B577" t="s">
        <v>2435</v>
      </c>
      <c r="C577" t="s">
        <v>2436</v>
      </c>
      <c r="D577" t="s">
        <v>2437</v>
      </c>
      <c r="E577" t="s">
        <v>2438</v>
      </c>
      <c r="F577" t="s">
        <v>2439</v>
      </c>
      <c r="G577" t="s">
        <v>5</v>
      </c>
      <c r="H577" t="s">
        <v>65</v>
      </c>
      <c r="I577" t="s">
        <v>100</v>
      </c>
      <c r="J577" t="s">
        <v>101</v>
      </c>
      <c r="K577" t="s">
        <v>3</v>
      </c>
      <c r="L577" t="s">
        <v>4</v>
      </c>
      <c r="M577" t="s">
        <v>49</v>
      </c>
      <c r="N577" t="s">
        <v>2440</v>
      </c>
      <c r="O577" s="31" t="s">
        <v>2441</v>
      </c>
      <c r="P577">
        <v>200</v>
      </c>
      <c r="R577">
        <v>6</v>
      </c>
      <c r="S577" s="31">
        <v>432000</v>
      </c>
      <c r="T577" s="39">
        <v>480000</v>
      </c>
      <c r="U577">
        <v>75000</v>
      </c>
      <c r="V577">
        <v>48000</v>
      </c>
      <c r="W577">
        <v>0</v>
      </c>
      <c r="X577" s="39">
        <v>128550</v>
      </c>
      <c r="Y577">
        <v>0</v>
      </c>
      <c r="Z577" s="31">
        <v>357000</v>
      </c>
      <c r="AA577">
        <v>8</v>
      </c>
      <c r="AB577" s="3">
        <f t="shared" si="26"/>
        <v>357000</v>
      </c>
      <c r="AC577" t="str">
        <f>IF(AB577-S577&lt;0,"YES","NO")</f>
        <v>YES</v>
      </c>
      <c r="AD577">
        <f>IF(AC577="NO",0,AB577-S577)</f>
        <v>-75000</v>
      </c>
      <c r="AE577" s="43">
        <v>0.08</v>
      </c>
      <c r="AF577" s="3">
        <f t="shared" si="27"/>
        <v>-69444.444444444438</v>
      </c>
      <c r="AG577" s="45">
        <f t="shared" si="28"/>
        <v>-76388.888888888891</v>
      </c>
      <c r="AH577" s="55"/>
    </row>
    <row r="578" spans="1:34" x14ac:dyDescent="0.25">
      <c r="A578" t="s">
        <v>2442</v>
      </c>
      <c r="B578" t="s">
        <v>2443</v>
      </c>
      <c r="C578" t="s">
        <v>2444</v>
      </c>
      <c r="D578" t="s">
        <v>2445</v>
      </c>
      <c r="E578" t="s">
        <v>2446</v>
      </c>
      <c r="F578" t="s">
        <v>2439</v>
      </c>
      <c r="G578" t="s">
        <v>5</v>
      </c>
      <c r="H578" t="s">
        <v>61</v>
      </c>
      <c r="I578" t="s">
        <v>93</v>
      </c>
      <c r="J578" t="s">
        <v>94</v>
      </c>
      <c r="K578" t="s">
        <v>3</v>
      </c>
      <c r="L578" t="s">
        <v>4</v>
      </c>
      <c r="M578" t="s">
        <v>49</v>
      </c>
      <c r="N578" t="s">
        <v>2447</v>
      </c>
      <c r="O578" s="31" t="s">
        <v>2448</v>
      </c>
      <c r="P578">
        <v>20</v>
      </c>
      <c r="Q578" t="s">
        <v>86</v>
      </c>
      <c r="R578">
        <v>1</v>
      </c>
      <c r="S578" s="31">
        <v>0</v>
      </c>
      <c r="T578" s="39">
        <v>0</v>
      </c>
      <c r="U578">
        <v>0</v>
      </c>
      <c r="V578">
        <v>0</v>
      </c>
      <c r="W578">
        <v>0</v>
      </c>
      <c r="X578" s="39">
        <v>0</v>
      </c>
      <c r="Y578">
        <v>0</v>
      </c>
      <c r="Z578" s="31">
        <v>0</v>
      </c>
      <c r="AA578">
        <v>8</v>
      </c>
      <c r="AB578" s="3">
        <f t="shared" si="26"/>
        <v>0</v>
      </c>
      <c r="AC578" t="str">
        <f>IF(AB578-S578&lt;0,"YES","NO")</f>
        <v>NO</v>
      </c>
      <c r="AD578">
        <f>IF(AC578="NO",0,AB578-S578)</f>
        <v>0</v>
      </c>
      <c r="AE578" s="43">
        <v>0.08</v>
      </c>
      <c r="AF578" s="3">
        <f t="shared" si="27"/>
        <v>0</v>
      </c>
      <c r="AG578" s="45">
        <f t="shared" si="28"/>
        <v>0</v>
      </c>
      <c r="AH578" s="55"/>
    </row>
    <row r="579" spans="1:34" x14ac:dyDescent="0.25">
      <c r="A579" t="s">
        <v>2442</v>
      </c>
      <c r="B579" t="s">
        <v>2443</v>
      </c>
      <c r="C579" t="s">
        <v>2444</v>
      </c>
      <c r="D579" t="s">
        <v>2445</v>
      </c>
      <c r="E579" t="s">
        <v>2446</v>
      </c>
      <c r="F579" t="s">
        <v>2439</v>
      </c>
      <c r="G579" t="s">
        <v>5</v>
      </c>
      <c r="H579" t="s">
        <v>65</v>
      </c>
      <c r="I579" t="s">
        <v>100</v>
      </c>
      <c r="J579" t="s">
        <v>101</v>
      </c>
      <c r="K579" t="s">
        <v>3</v>
      </c>
      <c r="L579" t="s">
        <v>4</v>
      </c>
      <c r="M579" t="s">
        <v>49</v>
      </c>
      <c r="N579" t="s">
        <v>2447</v>
      </c>
      <c r="O579" s="31" t="s">
        <v>2448</v>
      </c>
      <c r="P579">
        <v>200</v>
      </c>
      <c r="R579">
        <v>6</v>
      </c>
      <c r="S579" s="31">
        <v>432000</v>
      </c>
      <c r="T579" s="39">
        <v>480000</v>
      </c>
      <c r="U579">
        <v>75000</v>
      </c>
      <c r="V579">
        <v>48000</v>
      </c>
      <c r="W579">
        <v>0</v>
      </c>
      <c r="X579" s="39">
        <v>128550</v>
      </c>
      <c r="Y579">
        <v>0</v>
      </c>
      <c r="Z579" s="31">
        <v>357000</v>
      </c>
      <c r="AA579">
        <v>8</v>
      </c>
      <c r="AB579" s="3">
        <f t="shared" si="26"/>
        <v>357000</v>
      </c>
      <c r="AC579" t="str">
        <f>IF(AB579-S579&lt;0,"YES","NO")</f>
        <v>YES</v>
      </c>
      <c r="AD579">
        <f>IF(AC579="NO",0,AB579-S579)</f>
        <v>-75000</v>
      </c>
      <c r="AE579" s="43">
        <v>0.08</v>
      </c>
      <c r="AF579" s="3">
        <f t="shared" si="27"/>
        <v>-69444.444444444438</v>
      </c>
      <c r="AG579" s="45">
        <f t="shared" si="28"/>
        <v>-76388.888888888891</v>
      </c>
      <c r="AH579" s="55"/>
    </row>
    <row r="580" spans="1:34" x14ac:dyDescent="0.25">
      <c r="A580" t="s">
        <v>2449</v>
      </c>
      <c r="B580" t="s">
        <v>2450</v>
      </c>
      <c r="C580" t="s">
        <v>2451</v>
      </c>
      <c r="D580" t="s">
        <v>2452</v>
      </c>
      <c r="E580" t="s">
        <v>2453</v>
      </c>
      <c r="F580" t="s">
        <v>2454</v>
      </c>
      <c r="G580" t="s">
        <v>5</v>
      </c>
      <c r="H580" t="s">
        <v>61</v>
      </c>
      <c r="I580" t="s">
        <v>75</v>
      </c>
      <c r="J580" t="s">
        <v>76</v>
      </c>
      <c r="K580" t="s">
        <v>3</v>
      </c>
      <c r="L580" t="s">
        <v>4</v>
      </c>
      <c r="M580" t="s">
        <v>49</v>
      </c>
      <c r="N580" t="s">
        <v>2455</v>
      </c>
      <c r="O580" s="31" t="s">
        <v>2456</v>
      </c>
      <c r="P580">
        <v>20</v>
      </c>
      <c r="Q580" t="s">
        <v>77</v>
      </c>
      <c r="R580">
        <v>1</v>
      </c>
      <c r="S580" s="31">
        <v>0</v>
      </c>
      <c r="T580" s="39">
        <v>0</v>
      </c>
      <c r="U580">
        <v>0</v>
      </c>
      <c r="V580">
        <v>0</v>
      </c>
      <c r="W580">
        <v>0</v>
      </c>
      <c r="X580" s="39">
        <v>0</v>
      </c>
      <c r="Y580">
        <v>0</v>
      </c>
      <c r="Z580" s="31">
        <v>0</v>
      </c>
      <c r="AA580">
        <v>8</v>
      </c>
      <c r="AB580" s="3">
        <f t="shared" si="26"/>
        <v>0</v>
      </c>
      <c r="AC580" t="str">
        <f>IF(AB580-S580&lt;0,"YES","NO")</f>
        <v>NO</v>
      </c>
      <c r="AD580">
        <f>IF(AC580="NO",0,AB580-S580)</f>
        <v>0</v>
      </c>
      <c r="AE580" s="43">
        <v>0.08</v>
      </c>
      <c r="AF580" s="3">
        <f t="shared" si="27"/>
        <v>0</v>
      </c>
      <c r="AG580" s="45">
        <f t="shared" si="28"/>
        <v>0</v>
      </c>
      <c r="AH580" s="55"/>
    </row>
    <row r="581" spans="1:34" x14ac:dyDescent="0.25">
      <c r="A581" t="s">
        <v>2449</v>
      </c>
      <c r="B581" t="s">
        <v>2450</v>
      </c>
      <c r="C581" t="s">
        <v>2451</v>
      </c>
      <c r="D581" t="s">
        <v>2452</v>
      </c>
      <c r="E581" t="s">
        <v>2453</v>
      </c>
      <c r="F581" t="s">
        <v>2454</v>
      </c>
      <c r="G581" t="s">
        <v>5</v>
      </c>
      <c r="H581" t="s">
        <v>65</v>
      </c>
      <c r="I581" t="s">
        <v>73</v>
      </c>
      <c r="J581" t="s">
        <v>74</v>
      </c>
      <c r="K581" t="s">
        <v>3</v>
      </c>
      <c r="L581" t="s">
        <v>4</v>
      </c>
      <c r="M581" t="s">
        <v>49</v>
      </c>
      <c r="N581" t="s">
        <v>2455</v>
      </c>
      <c r="O581" s="31" t="s">
        <v>2456</v>
      </c>
      <c r="P581">
        <v>220</v>
      </c>
      <c r="Q581" t="s">
        <v>70</v>
      </c>
      <c r="R581">
        <v>6</v>
      </c>
      <c r="S581" s="31">
        <v>354000</v>
      </c>
      <c r="T581" s="39">
        <v>390000</v>
      </c>
      <c r="U581">
        <v>75000</v>
      </c>
      <c r="V581">
        <v>25000.02</v>
      </c>
      <c r="W581">
        <v>0</v>
      </c>
      <c r="X581" s="39">
        <v>127200</v>
      </c>
      <c r="Y581">
        <v>0</v>
      </c>
      <c r="Z581" s="31">
        <v>289999.98</v>
      </c>
      <c r="AA581">
        <v>8</v>
      </c>
      <c r="AB581" s="3">
        <f t="shared" si="26"/>
        <v>289999.98</v>
      </c>
      <c r="AC581" t="str">
        <f>IF(AB581-S581&lt;0,"YES","NO")</f>
        <v>YES</v>
      </c>
      <c r="AD581">
        <f>IF(AC581="NO",0,AB581-S581)</f>
        <v>-64000.020000000019</v>
      </c>
      <c r="AE581" s="43">
        <v>0.08</v>
      </c>
      <c r="AF581" s="3">
        <f t="shared" si="27"/>
        <v>-59259.277777777788</v>
      </c>
      <c r="AG581" s="45">
        <f t="shared" si="28"/>
        <v>-65185.205555555571</v>
      </c>
      <c r="AH581" s="55"/>
    </row>
    <row r="582" spans="1:34" x14ac:dyDescent="0.25">
      <c r="A582" t="s">
        <v>2457</v>
      </c>
      <c r="B582" t="s">
        <v>2458</v>
      </c>
      <c r="C582" t="s">
        <v>2459</v>
      </c>
      <c r="D582" t="s">
        <v>2460</v>
      </c>
      <c r="E582" t="s">
        <v>2461</v>
      </c>
      <c r="F582" t="s">
        <v>2462</v>
      </c>
      <c r="G582" t="s">
        <v>5</v>
      </c>
      <c r="H582" t="s">
        <v>65</v>
      </c>
      <c r="I582" t="s">
        <v>66</v>
      </c>
      <c r="J582" t="s">
        <v>67</v>
      </c>
      <c r="K582" t="s">
        <v>3</v>
      </c>
      <c r="L582" t="s">
        <v>4</v>
      </c>
      <c r="M582" t="s">
        <v>49</v>
      </c>
      <c r="N582" t="s">
        <v>2463</v>
      </c>
      <c r="O582" s="31" t="s">
        <v>2464</v>
      </c>
      <c r="P582">
        <v>220</v>
      </c>
      <c r="R582">
        <v>9</v>
      </c>
      <c r="S582" s="31">
        <v>675000</v>
      </c>
      <c r="T582" s="39">
        <v>720000</v>
      </c>
      <c r="U582">
        <v>35000.01</v>
      </c>
      <c r="V582">
        <v>72000</v>
      </c>
      <c r="W582">
        <v>0</v>
      </c>
      <c r="X582" s="39">
        <v>126950.04</v>
      </c>
      <c r="Y582">
        <v>0</v>
      </c>
      <c r="Z582" s="31">
        <v>612999.99</v>
      </c>
      <c r="AA582">
        <v>8</v>
      </c>
      <c r="AB582" s="3">
        <f t="shared" ref="AB582:AB645" si="29">Z582</f>
        <v>612999.99</v>
      </c>
      <c r="AC582" t="str">
        <f>IF(AB582-S582&lt;0,"YES","NO")</f>
        <v>YES</v>
      </c>
      <c r="AD582">
        <f>IF(AC582="NO",0,AB582-S582)</f>
        <v>-62000.010000000009</v>
      </c>
      <c r="AE582" s="43">
        <v>0.08</v>
      </c>
      <c r="AF582" s="3">
        <f t="shared" ref="AF582:AF645" si="30">AD582/(1+AE582)</f>
        <v>-57407.416666666672</v>
      </c>
      <c r="AG582" s="45">
        <f t="shared" ref="AG582:AG645" si="31">AF582*1.1</f>
        <v>-63148.158333333347</v>
      </c>
      <c r="AH582" s="55"/>
    </row>
    <row r="583" spans="1:34" x14ac:dyDescent="0.25">
      <c r="A583" t="s">
        <v>2465</v>
      </c>
      <c r="B583" t="s">
        <v>2466</v>
      </c>
      <c r="C583" t="s">
        <v>2467</v>
      </c>
      <c r="D583" t="s">
        <v>2468</v>
      </c>
      <c r="E583" t="s">
        <v>2469</v>
      </c>
      <c r="F583" t="s">
        <v>2470</v>
      </c>
      <c r="G583" t="s">
        <v>5</v>
      </c>
      <c r="H583" t="s">
        <v>65</v>
      </c>
      <c r="I583" t="s">
        <v>95</v>
      </c>
      <c r="J583" t="s">
        <v>96</v>
      </c>
      <c r="K583" t="s">
        <v>3</v>
      </c>
      <c r="L583" t="s">
        <v>4</v>
      </c>
      <c r="M583" t="s">
        <v>49</v>
      </c>
      <c r="N583" t="s">
        <v>2471</v>
      </c>
      <c r="O583" s="31" t="s">
        <v>2472</v>
      </c>
      <c r="P583">
        <v>200</v>
      </c>
      <c r="R583">
        <v>6</v>
      </c>
      <c r="S583" s="31">
        <v>432000</v>
      </c>
      <c r="T583" s="39">
        <v>480000</v>
      </c>
      <c r="U583">
        <v>79999.98</v>
      </c>
      <c r="V583">
        <v>40000.019999999997</v>
      </c>
      <c r="W583">
        <v>0</v>
      </c>
      <c r="X583" s="39">
        <v>141199.98000000001</v>
      </c>
      <c r="Y583">
        <v>0</v>
      </c>
      <c r="Z583" s="31">
        <v>360000</v>
      </c>
      <c r="AA583">
        <v>8</v>
      </c>
      <c r="AB583" s="3">
        <f t="shared" si="29"/>
        <v>360000</v>
      </c>
      <c r="AC583" t="str">
        <f>IF(AB583-S583&lt;0,"YES","NO")</f>
        <v>YES</v>
      </c>
      <c r="AD583">
        <f>IF(AC583="NO",0,AB583-S583)</f>
        <v>-72000</v>
      </c>
      <c r="AE583" s="43">
        <v>0.08</v>
      </c>
      <c r="AF583" s="3">
        <f t="shared" si="30"/>
        <v>-66666.666666666657</v>
      </c>
      <c r="AG583" s="45">
        <f t="shared" si="31"/>
        <v>-73333.333333333328</v>
      </c>
      <c r="AH583" s="55"/>
    </row>
    <row r="584" spans="1:34" x14ac:dyDescent="0.25">
      <c r="A584" t="s">
        <v>2473</v>
      </c>
      <c r="B584" t="s">
        <v>2474</v>
      </c>
      <c r="C584" t="s">
        <v>2475</v>
      </c>
      <c r="D584" t="s">
        <v>2476</v>
      </c>
      <c r="E584" t="s">
        <v>2477</v>
      </c>
      <c r="F584" t="s">
        <v>2478</v>
      </c>
      <c r="G584" t="s">
        <v>5</v>
      </c>
      <c r="H584" t="s">
        <v>65</v>
      </c>
      <c r="I584" t="s">
        <v>68</v>
      </c>
      <c r="J584" t="s">
        <v>69</v>
      </c>
      <c r="K584" t="s">
        <v>3</v>
      </c>
      <c r="L584" t="s">
        <v>4</v>
      </c>
      <c r="M584" t="s">
        <v>49</v>
      </c>
      <c r="N584" t="s">
        <v>2479</v>
      </c>
      <c r="O584" s="31" t="s">
        <v>2480</v>
      </c>
      <c r="P584">
        <v>220</v>
      </c>
      <c r="Q584" t="s">
        <v>70</v>
      </c>
      <c r="R584">
        <v>1</v>
      </c>
      <c r="S584" s="31">
        <v>59000</v>
      </c>
      <c r="T584" s="39">
        <v>65000</v>
      </c>
      <c r="U584">
        <v>11666.67</v>
      </c>
      <c r="V584">
        <v>5000</v>
      </c>
      <c r="W584">
        <v>0</v>
      </c>
      <c r="X584" s="39">
        <v>21333.33</v>
      </c>
      <c r="Y584">
        <v>0</v>
      </c>
      <c r="Z584" s="31">
        <v>48333.33</v>
      </c>
      <c r="AA584">
        <v>8</v>
      </c>
      <c r="AB584" s="3">
        <f t="shared" si="29"/>
        <v>48333.33</v>
      </c>
      <c r="AC584" t="str">
        <f>IF(AB584-S584&lt;0,"YES","NO")</f>
        <v>YES</v>
      </c>
      <c r="AD584">
        <f>IF(AC584="NO",0,AB584-S584)</f>
        <v>-10666.669999999998</v>
      </c>
      <c r="AE584" s="43">
        <v>0.08</v>
      </c>
      <c r="AF584" s="3">
        <f t="shared" si="30"/>
        <v>-9876.5462962962938</v>
      </c>
      <c r="AG584" s="45">
        <f t="shared" si="31"/>
        <v>-10864.200925925925</v>
      </c>
      <c r="AH584" s="55"/>
    </row>
    <row r="585" spans="1:34" x14ac:dyDescent="0.25">
      <c r="A585" t="s">
        <v>2473</v>
      </c>
      <c r="B585" t="s">
        <v>2474</v>
      </c>
      <c r="C585" t="s">
        <v>2475</v>
      </c>
      <c r="D585" t="s">
        <v>2476</v>
      </c>
      <c r="E585" t="s">
        <v>2477</v>
      </c>
      <c r="F585" t="s">
        <v>2478</v>
      </c>
      <c r="G585" t="s">
        <v>5</v>
      </c>
      <c r="H585" t="s">
        <v>65</v>
      </c>
      <c r="I585" t="s">
        <v>71</v>
      </c>
      <c r="J585" t="s">
        <v>72</v>
      </c>
      <c r="K585" t="s">
        <v>3</v>
      </c>
      <c r="L585" t="s">
        <v>4</v>
      </c>
      <c r="M585" t="s">
        <v>49</v>
      </c>
      <c r="N585" t="s">
        <v>2479</v>
      </c>
      <c r="O585" s="31" t="s">
        <v>2480</v>
      </c>
      <c r="P585">
        <v>220</v>
      </c>
      <c r="Q585" t="s">
        <v>70</v>
      </c>
      <c r="R585">
        <v>1</v>
      </c>
      <c r="S585" s="31">
        <v>59000</v>
      </c>
      <c r="T585" s="39">
        <v>65000</v>
      </c>
      <c r="U585">
        <v>11666.67</v>
      </c>
      <c r="V585">
        <v>5000</v>
      </c>
      <c r="W585">
        <v>0</v>
      </c>
      <c r="X585" s="39">
        <v>21333.33</v>
      </c>
      <c r="Y585">
        <v>0</v>
      </c>
      <c r="Z585" s="31">
        <v>48333.33</v>
      </c>
      <c r="AA585">
        <v>8</v>
      </c>
      <c r="AB585" s="3">
        <f t="shared" si="29"/>
        <v>48333.33</v>
      </c>
      <c r="AC585" t="str">
        <f>IF(AB585-S585&lt;0,"YES","NO")</f>
        <v>YES</v>
      </c>
      <c r="AD585">
        <f>IF(AC585="NO",0,AB585-S585)</f>
        <v>-10666.669999999998</v>
      </c>
      <c r="AE585" s="43">
        <v>0.08</v>
      </c>
      <c r="AF585" s="3">
        <f t="shared" si="30"/>
        <v>-9876.5462962962938</v>
      </c>
      <c r="AG585" s="45">
        <f t="shared" si="31"/>
        <v>-10864.200925925925</v>
      </c>
      <c r="AH585" s="55"/>
    </row>
    <row r="586" spans="1:34" x14ac:dyDescent="0.25">
      <c r="A586" t="s">
        <v>2473</v>
      </c>
      <c r="B586" t="s">
        <v>2474</v>
      </c>
      <c r="C586" t="s">
        <v>2475</v>
      </c>
      <c r="D586" t="s">
        <v>2476</v>
      </c>
      <c r="E586" t="s">
        <v>2477</v>
      </c>
      <c r="F586" t="s">
        <v>2478</v>
      </c>
      <c r="G586" t="s">
        <v>5</v>
      </c>
      <c r="H586" t="s">
        <v>65</v>
      </c>
      <c r="I586" t="s">
        <v>73</v>
      </c>
      <c r="J586" t="s">
        <v>74</v>
      </c>
      <c r="K586" t="s">
        <v>3</v>
      </c>
      <c r="L586" t="s">
        <v>4</v>
      </c>
      <c r="M586" t="s">
        <v>49</v>
      </c>
      <c r="N586" t="s">
        <v>2479</v>
      </c>
      <c r="O586" s="31" t="s">
        <v>2480</v>
      </c>
      <c r="P586">
        <v>220</v>
      </c>
      <c r="Q586" t="s">
        <v>70</v>
      </c>
      <c r="R586">
        <v>1</v>
      </c>
      <c r="S586" s="31">
        <v>59000</v>
      </c>
      <c r="T586" s="39">
        <v>65000</v>
      </c>
      <c r="U586">
        <v>11666.67</v>
      </c>
      <c r="V586">
        <v>5000</v>
      </c>
      <c r="W586">
        <v>0</v>
      </c>
      <c r="X586" s="39">
        <v>21333.33</v>
      </c>
      <c r="Y586">
        <v>0</v>
      </c>
      <c r="Z586" s="31">
        <v>48333.33</v>
      </c>
      <c r="AA586">
        <v>8</v>
      </c>
      <c r="AB586" s="3">
        <f t="shared" si="29"/>
        <v>48333.33</v>
      </c>
      <c r="AC586" t="str">
        <f>IF(AB586-S586&lt;0,"YES","NO")</f>
        <v>YES</v>
      </c>
      <c r="AD586">
        <f>IF(AC586="NO",0,AB586-S586)</f>
        <v>-10666.669999999998</v>
      </c>
      <c r="AE586" s="43">
        <v>0.08</v>
      </c>
      <c r="AF586" s="3">
        <f t="shared" si="30"/>
        <v>-9876.5462962962938</v>
      </c>
      <c r="AG586" s="45">
        <f t="shared" si="31"/>
        <v>-10864.200925925925</v>
      </c>
      <c r="AH586" s="55"/>
    </row>
    <row r="587" spans="1:34" x14ac:dyDescent="0.25">
      <c r="A587" t="s">
        <v>2481</v>
      </c>
      <c r="B587" t="s">
        <v>2482</v>
      </c>
      <c r="C587" t="s">
        <v>2483</v>
      </c>
      <c r="D587" t="s">
        <v>2484</v>
      </c>
      <c r="E587" t="s">
        <v>2485</v>
      </c>
      <c r="F587" t="s">
        <v>2486</v>
      </c>
      <c r="G587" t="s">
        <v>5</v>
      </c>
      <c r="H587" t="s">
        <v>65</v>
      </c>
      <c r="I587" t="s">
        <v>66</v>
      </c>
      <c r="J587" t="s">
        <v>67</v>
      </c>
      <c r="K587" t="s">
        <v>3</v>
      </c>
      <c r="L587" t="s">
        <v>4</v>
      </c>
      <c r="M587" t="s">
        <v>49</v>
      </c>
      <c r="N587" t="s">
        <v>2487</v>
      </c>
      <c r="O587" s="31" t="s">
        <v>2488</v>
      </c>
      <c r="P587">
        <v>220</v>
      </c>
      <c r="R587">
        <v>3</v>
      </c>
      <c r="S587" s="31">
        <v>225000</v>
      </c>
      <c r="T587" s="39">
        <v>240000</v>
      </c>
      <c r="U587">
        <v>35000.01</v>
      </c>
      <c r="V587">
        <v>24000</v>
      </c>
      <c r="W587">
        <v>0</v>
      </c>
      <c r="X587" s="39">
        <v>60339.99</v>
      </c>
      <c r="Y587">
        <v>0</v>
      </c>
      <c r="Z587" s="31">
        <v>180999.99</v>
      </c>
      <c r="AA587">
        <v>8</v>
      </c>
      <c r="AB587" s="3">
        <f t="shared" si="29"/>
        <v>180999.99</v>
      </c>
      <c r="AC587" t="str">
        <f>IF(AB587-S587&lt;0,"YES","NO")</f>
        <v>YES</v>
      </c>
      <c r="AD587">
        <f>IF(AC587="NO",0,AB587-S587)</f>
        <v>-44000.010000000009</v>
      </c>
      <c r="AE587" s="43">
        <v>0.08</v>
      </c>
      <c r="AF587" s="3">
        <f t="shared" si="30"/>
        <v>-40740.750000000007</v>
      </c>
      <c r="AG587" s="45">
        <f t="shared" si="31"/>
        <v>-44814.825000000012</v>
      </c>
      <c r="AH587" s="55"/>
    </row>
    <row r="588" spans="1:34" x14ac:dyDescent="0.25">
      <c r="A588" t="s">
        <v>2489</v>
      </c>
      <c r="B588" t="s">
        <v>2490</v>
      </c>
      <c r="C588" t="s">
        <v>2491</v>
      </c>
      <c r="D588" t="s">
        <v>2492</v>
      </c>
      <c r="E588" t="s">
        <v>2493</v>
      </c>
      <c r="F588" t="s">
        <v>2494</v>
      </c>
      <c r="G588" t="s">
        <v>5</v>
      </c>
      <c r="H588" t="s">
        <v>65</v>
      </c>
      <c r="I588" t="s">
        <v>66</v>
      </c>
      <c r="J588" t="s">
        <v>67</v>
      </c>
      <c r="K588" t="s">
        <v>3</v>
      </c>
      <c r="L588" t="s">
        <v>4</v>
      </c>
      <c r="M588" t="s">
        <v>49</v>
      </c>
      <c r="N588" t="s">
        <v>2495</v>
      </c>
      <c r="O588" s="31" t="s">
        <v>2496</v>
      </c>
      <c r="P588">
        <v>220</v>
      </c>
      <c r="R588">
        <v>3</v>
      </c>
      <c r="S588" s="31">
        <v>225000</v>
      </c>
      <c r="T588" s="39">
        <v>240000</v>
      </c>
      <c r="U588">
        <v>35000.01</v>
      </c>
      <c r="V588">
        <v>24000</v>
      </c>
      <c r="W588">
        <v>0</v>
      </c>
      <c r="X588" s="39">
        <v>35000.01</v>
      </c>
      <c r="Y588">
        <v>0</v>
      </c>
      <c r="Z588" s="31">
        <v>180999.99</v>
      </c>
      <c r="AA588">
        <v>8</v>
      </c>
      <c r="AB588" s="3">
        <f t="shared" si="29"/>
        <v>180999.99</v>
      </c>
      <c r="AC588" t="str">
        <f>IF(AB588-S588&lt;0,"YES","NO")</f>
        <v>YES</v>
      </c>
      <c r="AD588">
        <f>IF(AC588="NO",0,AB588-S588)</f>
        <v>-44000.010000000009</v>
      </c>
      <c r="AE588" s="43">
        <v>0.08</v>
      </c>
      <c r="AF588" s="3">
        <f t="shared" si="30"/>
        <v>-40740.750000000007</v>
      </c>
      <c r="AG588" s="45">
        <f t="shared" si="31"/>
        <v>-44814.825000000012</v>
      </c>
      <c r="AH588" s="55"/>
    </row>
    <row r="589" spans="1:34" x14ac:dyDescent="0.25">
      <c r="A589" t="s">
        <v>2497</v>
      </c>
      <c r="B589" t="s">
        <v>2498</v>
      </c>
      <c r="C589" t="s">
        <v>2499</v>
      </c>
      <c r="D589" t="s">
        <v>2500</v>
      </c>
      <c r="E589" t="s">
        <v>2501</v>
      </c>
      <c r="F589" t="s">
        <v>2502</v>
      </c>
      <c r="G589" t="s">
        <v>5</v>
      </c>
      <c r="H589" t="s">
        <v>65</v>
      </c>
      <c r="I589" t="s">
        <v>66</v>
      </c>
      <c r="J589" t="s">
        <v>67</v>
      </c>
      <c r="K589" t="s">
        <v>3</v>
      </c>
      <c r="L589" t="s">
        <v>4</v>
      </c>
      <c r="M589" t="s">
        <v>49</v>
      </c>
      <c r="N589" t="s">
        <v>2503</v>
      </c>
      <c r="O589" s="31" t="s">
        <v>2504</v>
      </c>
      <c r="P589">
        <v>220</v>
      </c>
      <c r="R589">
        <v>6</v>
      </c>
      <c r="S589" s="31">
        <v>450000</v>
      </c>
      <c r="T589" s="39">
        <v>480000</v>
      </c>
      <c r="U589">
        <v>75000</v>
      </c>
      <c r="V589">
        <v>48000</v>
      </c>
      <c r="W589">
        <v>0</v>
      </c>
      <c r="X589" s="39">
        <v>124980</v>
      </c>
      <c r="Y589">
        <v>0</v>
      </c>
      <c r="Z589" s="31">
        <v>357000</v>
      </c>
      <c r="AA589">
        <v>8</v>
      </c>
      <c r="AB589" s="3">
        <f t="shared" si="29"/>
        <v>357000</v>
      </c>
      <c r="AC589" t="str">
        <f>IF(AB589-S589&lt;0,"YES","NO")</f>
        <v>YES</v>
      </c>
      <c r="AD589">
        <f>IF(AC589="NO",0,AB589-S589)</f>
        <v>-93000</v>
      </c>
      <c r="AE589" s="43">
        <v>0.08</v>
      </c>
      <c r="AF589" s="3">
        <f t="shared" si="30"/>
        <v>-86111.111111111109</v>
      </c>
      <c r="AG589" s="45">
        <f t="shared" si="31"/>
        <v>-94722.222222222234</v>
      </c>
      <c r="AH589" s="55"/>
    </row>
    <row r="590" spans="1:34" x14ac:dyDescent="0.25">
      <c r="A590" t="s">
        <v>2505</v>
      </c>
      <c r="B590" t="s">
        <v>2506</v>
      </c>
      <c r="C590" t="s">
        <v>2507</v>
      </c>
      <c r="D590" t="s">
        <v>2508</v>
      </c>
      <c r="E590" t="s">
        <v>2509</v>
      </c>
      <c r="F590" t="s">
        <v>2510</v>
      </c>
      <c r="G590" t="s">
        <v>5</v>
      </c>
      <c r="H590" t="s">
        <v>65</v>
      </c>
      <c r="I590" t="s">
        <v>66</v>
      </c>
      <c r="J590" t="s">
        <v>67</v>
      </c>
      <c r="K590" t="s">
        <v>3</v>
      </c>
      <c r="L590" t="s">
        <v>4</v>
      </c>
      <c r="M590" t="s">
        <v>49</v>
      </c>
      <c r="N590" t="s">
        <v>2511</v>
      </c>
      <c r="O590" s="31" t="s">
        <v>2512</v>
      </c>
      <c r="P590">
        <v>220</v>
      </c>
      <c r="R590">
        <v>3</v>
      </c>
      <c r="S590" s="31">
        <v>225000</v>
      </c>
      <c r="T590" s="39">
        <v>240000</v>
      </c>
      <c r="U590">
        <v>35000.01</v>
      </c>
      <c r="V590">
        <v>24000</v>
      </c>
      <c r="W590">
        <v>0</v>
      </c>
      <c r="X590" s="39">
        <v>53100</v>
      </c>
      <c r="Y590">
        <v>0</v>
      </c>
      <c r="Z590" s="31">
        <v>180999.99</v>
      </c>
      <c r="AA590">
        <v>8</v>
      </c>
      <c r="AB590" s="3">
        <f t="shared" si="29"/>
        <v>180999.99</v>
      </c>
      <c r="AC590" t="str">
        <f>IF(AB590-S590&lt;0,"YES","NO")</f>
        <v>YES</v>
      </c>
      <c r="AD590">
        <f>IF(AC590="NO",0,AB590-S590)</f>
        <v>-44000.010000000009</v>
      </c>
      <c r="AE590" s="43">
        <v>0.08</v>
      </c>
      <c r="AF590" s="3">
        <f t="shared" si="30"/>
        <v>-40740.750000000007</v>
      </c>
      <c r="AG590" s="45">
        <f t="shared" si="31"/>
        <v>-44814.825000000012</v>
      </c>
      <c r="AH590" s="55"/>
    </row>
    <row r="591" spans="1:34" x14ac:dyDescent="0.25">
      <c r="A591" t="s">
        <v>2513</v>
      </c>
      <c r="B591" t="s">
        <v>2514</v>
      </c>
      <c r="C591" t="s">
        <v>2515</v>
      </c>
      <c r="D591" t="s">
        <v>2516</v>
      </c>
      <c r="E591" t="s">
        <v>2517</v>
      </c>
      <c r="F591" t="s">
        <v>2518</v>
      </c>
      <c r="G591" t="s">
        <v>5</v>
      </c>
      <c r="H591" t="s">
        <v>61</v>
      </c>
      <c r="I591" t="s">
        <v>62</v>
      </c>
      <c r="J591" t="s">
        <v>63</v>
      </c>
      <c r="K591" t="s">
        <v>3</v>
      </c>
      <c r="L591" t="s">
        <v>4</v>
      </c>
      <c r="M591" t="s">
        <v>49</v>
      </c>
      <c r="N591" t="s">
        <v>2519</v>
      </c>
      <c r="O591" s="31" t="s">
        <v>2520</v>
      </c>
      <c r="P591">
        <v>20000</v>
      </c>
      <c r="Q591" t="s">
        <v>64</v>
      </c>
      <c r="R591">
        <v>1</v>
      </c>
      <c r="S591" s="31">
        <v>0</v>
      </c>
      <c r="T591" s="39">
        <v>0</v>
      </c>
      <c r="U591">
        <v>0</v>
      </c>
      <c r="V591">
        <v>0</v>
      </c>
      <c r="W591">
        <v>0</v>
      </c>
      <c r="X591" s="39">
        <v>0</v>
      </c>
      <c r="Y591">
        <v>0</v>
      </c>
      <c r="Z591" s="31">
        <v>0</v>
      </c>
      <c r="AA591">
        <v>8</v>
      </c>
      <c r="AB591" s="3">
        <f t="shared" si="29"/>
        <v>0</v>
      </c>
      <c r="AC591" t="str">
        <f>IF(AB591-S591&lt;0,"YES","NO")</f>
        <v>NO</v>
      </c>
      <c r="AD591">
        <f>IF(AC591="NO",0,AB591-S591)</f>
        <v>0</v>
      </c>
      <c r="AE591" s="43">
        <v>0.08</v>
      </c>
      <c r="AF591" s="3">
        <f t="shared" si="30"/>
        <v>0</v>
      </c>
      <c r="AG591" s="45">
        <f t="shared" si="31"/>
        <v>0</v>
      </c>
      <c r="AH591" s="55"/>
    </row>
    <row r="592" spans="1:34" x14ac:dyDescent="0.25">
      <c r="A592" t="s">
        <v>2513</v>
      </c>
      <c r="B592" t="s">
        <v>2514</v>
      </c>
      <c r="C592" t="s">
        <v>2515</v>
      </c>
      <c r="D592" t="s">
        <v>2516</v>
      </c>
      <c r="E592" t="s">
        <v>2517</v>
      </c>
      <c r="F592" t="s">
        <v>2518</v>
      </c>
      <c r="G592" t="s">
        <v>5</v>
      </c>
      <c r="H592" t="s">
        <v>61</v>
      </c>
      <c r="I592" t="s">
        <v>84</v>
      </c>
      <c r="J592" t="s">
        <v>85</v>
      </c>
      <c r="K592" t="s">
        <v>3</v>
      </c>
      <c r="L592" t="s">
        <v>4</v>
      </c>
      <c r="M592" t="s">
        <v>49</v>
      </c>
      <c r="N592" t="s">
        <v>2519</v>
      </c>
      <c r="O592" s="31" t="s">
        <v>2520</v>
      </c>
      <c r="P592">
        <v>100</v>
      </c>
      <c r="Q592" t="s">
        <v>86</v>
      </c>
      <c r="R592">
        <v>1</v>
      </c>
      <c r="S592" s="31">
        <v>0</v>
      </c>
      <c r="T592" s="39">
        <v>0</v>
      </c>
      <c r="U592">
        <v>0</v>
      </c>
      <c r="V592">
        <v>0</v>
      </c>
      <c r="W592">
        <v>0</v>
      </c>
      <c r="X592" s="39">
        <v>0</v>
      </c>
      <c r="Y592">
        <v>0</v>
      </c>
      <c r="Z592" s="31">
        <v>0</v>
      </c>
      <c r="AA592">
        <v>8</v>
      </c>
      <c r="AB592" s="3">
        <f t="shared" si="29"/>
        <v>0</v>
      </c>
      <c r="AC592" t="str">
        <f>IF(AB592-S592&lt;0,"YES","NO")</f>
        <v>NO</v>
      </c>
      <c r="AD592">
        <f>IF(AC592="NO",0,AB592-S592)</f>
        <v>0</v>
      </c>
      <c r="AE592" s="43">
        <v>0.08</v>
      </c>
      <c r="AF592" s="3">
        <f t="shared" si="30"/>
        <v>0</v>
      </c>
      <c r="AG592" s="45">
        <f t="shared" si="31"/>
        <v>0</v>
      </c>
      <c r="AH592" s="55"/>
    </row>
    <row r="593" spans="1:34" x14ac:dyDescent="0.25">
      <c r="A593" t="s">
        <v>2513</v>
      </c>
      <c r="B593" t="s">
        <v>2514</v>
      </c>
      <c r="C593" t="s">
        <v>2515</v>
      </c>
      <c r="D593" t="s">
        <v>2516</v>
      </c>
      <c r="E593" t="s">
        <v>2517</v>
      </c>
      <c r="F593" t="s">
        <v>2518</v>
      </c>
      <c r="G593" t="s">
        <v>5</v>
      </c>
      <c r="H593" t="s">
        <v>65</v>
      </c>
      <c r="I593" t="s">
        <v>71</v>
      </c>
      <c r="J593" t="s">
        <v>72</v>
      </c>
      <c r="K593" t="s">
        <v>3</v>
      </c>
      <c r="L593" t="s">
        <v>4</v>
      </c>
      <c r="M593" t="s">
        <v>49</v>
      </c>
      <c r="N593" t="s">
        <v>2519</v>
      </c>
      <c r="O593" s="31" t="s">
        <v>2520</v>
      </c>
      <c r="P593">
        <v>220</v>
      </c>
      <c r="Q593" t="s">
        <v>70</v>
      </c>
      <c r="R593">
        <v>2</v>
      </c>
      <c r="S593" s="31">
        <v>118000</v>
      </c>
      <c r="T593" s="39">
        <v>130000</v>
      </c>
      <c r="U593">
        <v>8805</v>
      </c>
      <c r="V593">
        <v>12000</v>
      </c>
      <c r="W593">
        <v>0</v>
      </c>
      <c r="X593" s="39">
        <v>66044</v>
      </c>
      <c r="Y593">
        <v>0</v>
      </c>
      <c r="Z593" s="31">
        <v>109195</v>
      </c>
      <c r="AA593">
        <v>8</v>
      </c>
      <c r="AB593" s="3">
        <f t="shared" si="29"/>
        <v>109195</v>
      </c>
      <c r="AC593" t="str">
        <f>IF(AB593-S593&lt;0,"YES","NO")</f>
        <v>YES</v>
      </c>
      <c r="AD593">
        <f>IF(AC593="NO",0,AB593-S593)</f>
        <v>-8805</v>
      </c>
      <c r="AE593" s="43">
        <v>0.08</v>
      </c>
      <c r="AF593" s="3">
        <f t="shared" si="30"/>
        <v>-8152.7777777777774</v>
      </c>
      <c r="AG593" s="45">
        <f t="shared" si="31"/>
        <v>-8968.0555555555566</v>
      </c>
      <c r="AH593" s="55"/>
    </row>
    <row r="594" spans="1:34" x14ac:dyDescent="0.25">
      <c r="A594" t="s">
        <v>2513</v>
      </c>
      <c r="B594" t="s">
        <v>2514</v>
      </c>
      <c r="C594" t="s">
        <v>2515</v>
      </c>
      <c r="D594" t="s">
        <v>2516</v>
      </c>
      <c r="E594" t="s">
        <v>2517</v>
      </c>
      <c r="F594" t="s">
        <v>2518</v>
      </c>
      <c r="G594" t="s">
        <v>5</v>
      </c>
      <c r="H594" t="s">
        <v>65</v>
      </c>
      <c r="I594" t="s">
        <v>82</v>
      </c>
      <c r="J594" t="s">
        <v>83</v>
      </c>
      <c r="K594" t="s">
        <v>3</v>
      </c>
      <c r="L594" t="s">
        <v>4</v>
      </c>
      <c r="M594" t="s">
        <v>49</v>
      </c>
      <c r="N594" t="s">
        <v>2519</v>
      </c>
      <c r="O594" s="31" t="s">
        <v>2520</v>
      </c>
      <c r="P594">
        <v>220</v>
      </c>
      <c r="R594">
        <v>2</v>
      </c>
      <c r="S594" s="31">
        <v>150000</v>
      </c>
      <c r="T594" s="39">
        <v>160000</v>
      </c>
      <c r="U594">
        <v>11195</v>
      </c>
      <c r="V594">
        <v>10000</v>
      </c>
      <c r="W594">
        <v>0</v>
      </c>
      <c r="X594" s="39">
        <v>83956</v>
      </c>
      <c r="Y594">
        <v>0</v>
      </c>
      <c r="Z594" s="31">
        <v>138805</v>
      </c>
      <c r="AA594">
        <v>8</v>
      </c>
      <c r="AB594" s="3">
        <f t="shared" si="29"/>
        <v>138805</v>
      </c>
      <c r="AC594" t="str">
        <f>IF(AB594-S594&lt;0,"YES","NO")</f>
        <v>YES</v>
      </c>
      <c r="AD594">
        <f>IF(AC594="NO",0,AB594-S594)</f>
        <v>-11195</v>
      </c>
      <c r="AE594" s="43">
        <v>0.08</v>
      </c>
      <c r="AF594" s="3">
        <f t="shared" si="30"/>
        <v>-10365.740740740741</v>
      </c>
      <c r="AG594" s="45">
        <f t="shared" si="31"/>
        <v>-11402.314814814816</v>
      </c>
      <c r="AH594" s="55"/>
    </row>
    <row r="595" spans="1:34" x14ac:dyDescent="0.25">
      <c r="A595" t="s">
        <v>2521</v>
      </c>
      <c r="B595" t="s">
        <v>2522</v>
      </c>
      <c r="C595" t="s">
        <v>2523</v>
      </c>
      <c r="D595" t="s">
        <v>2524</v>
      </c>
      <c r="E595" t="s">
        <v>2525</v>
      </c>
      <c r="F595" t="s">
        <v>2526</v>
      </c>
      <c r="G595" t="s">
        <v>5</v>
      </c>
      <c r="H595" t="s">
        <v>61</v>
      </c>
      <c r="I595" t="s">
        <v>62</v>
      </c>
      <c r="J595" t="s">
        <v>63</v>
      </c>
      <c r="K595" t="s">
        <v>3</v>
      </c>
      <c r="L595" t="s">
        <v>4</v>
      </c>
      <c r="M595" t="s">
        <v>49</v>
      </c>
      <c r="N595" t="s">
        <v>2527</v>
      </c>
      <c r="O595" s="31" t="s">
        <v>2528</v>
      </c>
      <c r="P595">
        <v>20000</v>
      </c>
      <c r="Q595" t="s">
        <v>64</v>
      </c>
      <c r="R595">
        <v>1</v>
      </c>
      <c r="S595" s="31">
        <v>0</v>
      </c>
      <c r="T595" s="39">
        <v>0</v>
      </c>
      <c r="U595">
        <v>0</v>
      </c>
      <c r="V595">
        <v>0</v>
      </c>
      <c r="W595">
        <v>0</v>
      </c>
      <c r="X595" s="39">
        <v>0</v>
      </c>
      <c r="Y595">
        <v>0</v>
      </c>
      <c r="Z595" s="31">
        <v>0</v>
      </c>
      <c r="AA595">
        <v>8</v>
      </c>
      <c r="AB595" s="3">
        <f t="shared" si="29"/>
        <v>0</v>
      </c>
      <c r="AC595" t="str">
        <f>IF(AB595-S595&lt;0,"YES","NO")</f>
        <v>NO</v>
      </c>
      <c r="AD595">
        <f>IF(AC595="NO",0,AB595-S595)</f>
        <v>0</v>
      </c>
      <c r="AE595" s="43">
        <v>0.08</v>
      </c>
      <c r="AF595" s="3">
        <f t="shared" si="30"/>
        <v>0</v>
      </c>
      <c r="AG595" s="45">
        <f t="shared" si="31"/>
        <v>0</v>
      </c>
      <c r="AH595" s="55"/>
    </row>
    <row r="596" spans="1:34" x14ac:dyDescent="0.25">
      <c r="A596" t="s">
        <v>2521</v>
      </c>
      <c r="B596" t="s">
        <v>2522</v>
      </c>
      <c r="C596" t="s">
        <v>2523</v>
      </c>
      <c r="D596" t="s">
        <v>2524</v>
      </c>
      <c r="E596" t="s">
        <v>2525</v>
      </c>
      <c r="F596" t="s">
        <v>2526</v>
      </c>
      <c r="G596" t="s">
        <v>5</v>
      </c>
      <c r="H596" t="s">
        <v>65</v>
      </c>
      <c r="I596" t="s">
        <v>80</v>
      </c>
      <c r="J596" t="s">
        <v>81</v>
      </c>
      <c r="K596" t="s">
        <v>3</v>
      </c>
      <c r="L596" t="s">
        <v>4</v>
      </c>
      <c r="M596" t="s">
        <v>49</v>
      </c>
      <c r="N596" t="s">
        <v>2527</v>
      </c>
      <c r="O596" s="31" t="s">
        <v>2528</v>
      </c>
      <c r="P596">
        <v>220</v>
      </c>
      <c r="R596">
        <v>2</v>
      </c>
      <c r="S596" s="31">
        <v>150000</v>
      </c>
      <c r="T596" s="39">
        <v>160000</v>
      </c>
      <c r="U596">
        <v>10205</v>
      </c>
      <c r="V596">
        <v>10000</v>
      </c>
      <c r="W596">
        <v>0</v>
      </c>
      <c r="X596" s="39">
        <v>35716</v>
      </c>
      <c r="Y596">
        <v>0</v>
      </c>
      <c r="Z596" s="31">
        <v>139795</v>
      </c>
      <c r="AA596">
        <v>8</v>
      </c>
      <c r="AB596" s="3">
        <f t="shared" si="29"/>
        <v>139795</v>
      </c>
      <c r="AC596" t="str">
        <f>IF(AB596-S596&lt;0,"YES","NO")</f>
        <v>YES</v>
      </c>
      <c r="AD596">
        <f>IF(AC596="NO",0,AB596-S596)</f>
        <v>-10205</v>
      </c>
      <c r="AE596" s="43">
        <v>0.08</v>
      </c>
      <c r="AF596" s="3">
        <f t="shared" si="30"/>
        <v>-9449.074074074073</v>
      </c>
      <c r="AG596" s="45">
        <f t="shared" si="31"/>
        <v>-10393.981481481482</v>
      </c>
      <c r="AH596" s="55"/>
    </row>
    <row r="597" spans="1:34" x14ac:dyDescent="0.25">
      <c r="A597" t="s">
        <v>2521</v>
      </c>
      <c r="B597" t="s">
        <v>2522</v>
      </c>
      <c r="C597" t="s">
        <v>2523</v>
      </c>
      <c r="D597" t="s">
        <v>2524</v>
      </c>
      <c r="E597" t="s">
        <v>2525</v>
      </c>
      <c r="F597" t="s">
        <v>2526</v>
      </c>
      <c r="G597" t="s">
        <v>5</v>
      </c>
      <c r="H597" t="s">
        <v>65</v>
      </c>
      <c r="I597" t="s">
        <v>66</v>
      </c>
      <c r="J597" t="s">
        <v>67</v>
      </c>
      <c r="K597" t="s">
        <v>3</v>
      </c>
      <c r="L597" t="s">
        <v>4</v>
      </c>
      <c r="M597" t="s">
        <v>49</v>
      </c>
      <c r="N597" t="s">
        <v>2527</v>
      </c>
      <c r="O597" s="31" t="s">
        <v>2528</v>
      </c>
      <c r="P597">
        <v>220</v>
      </c>
      <c r="R597">
        <v>2</v>
      </c>
      <c r="S597" s="31">
        <v>150000</v>
      </c>
      <c r="T597" s="39">
        <v>160000</v>
      </c>
      <c r="U597">
        <v>9795</v>
      </c>
      <c r="V597">
        <v>16000</v>
      </c>
      <c r="W597">
        <v>0</v>
      </c>
      <c r="X597" s="39">
        <v>34284</v>
      </c>
      <c r="Y597">
        <v>0</v>
      </c>
      <c r="Z597" s="31">
        <v>134205</v>
      </c>
      <c r="AA597">
        <v>8</v>
      </c>
      <c r="AB597" s="3">
        <f t="shared" si="29"/>
        <v>134205</v>
      </c>
      <c r="AC597" t="str">
        <f>IF(AB597-S597&lt;0,"YES","NO")</f>
        <v>YES</v>
      </c>
      <c r="AD597">
        <f>IF(AC597="NO",0,AB597-S597)</f>
        <v>-15795</v>
      </c>
      <c r="AE597" s="43">
        <v>0.08</v>
      </c>
      <c r="AF597" s="3">
        <f t="shared" si="30"/>
        <v>-14624.999999999998</v>
      </c>
      <c r="AG597" s="45">
        <f t="shared" si="31"/>
        <v>-16087.5</v>
      </c>
      <c r="AH597" s="55"/>
    </row>
    <row r="598" spans="1:34" x14ac:dyDescent="0.25">
      <c r="A598" t="s">
        <v>2529</v>
      </c>
      <c r="B598" t="s">
        <v>2530</v>
      </c>
      <c r="C598" t="s">
        <v>2531</v>
      </c>
      <c r="D598" t="s">
        <v>2532</v>
      </c>
      <c r="E598" t="s">
        <v>2533</v>
      </c>
      <c r="F598" t="s">
        <v>2534</v>
      </c>
      <c r="G598" t="s">
        <v>5</v>
      </c>
      <c r="H598" t="s">
        <v>61</v>
      </c>
      <c r="I598" t="s">
        <v>62</v>
      </c>
      <c r="J598" t="s">
        <v>63</v>
      </c>
      <c r="K598" t="s">
        <v>3</v>
      </c>
      <c r="L598" t="s">
        <v>4</v>
      </c>
      <c r="M598" t="s">
        <v>49</v>
      </c>
      <c r="N598" t="s">
        <v>2535</v>
      </c>
      <c r="O598" s="31" t="s">
        <v>2536</v>
      </c>
      <c r="P598">
        <v>20000</v>
      </c>
      <c r="Q598" t="s">
        <v>64</v>
      </c>
      <c r="R598">
        <v>1</v>
      </c>
      <c r="S598" s="31">
        <v>0</v>
      </c>
      <c r="T598" s="39">
        <v>0</v>
      </c>
      <c r="U598">
        <v>0</v>
      </c>
      <c r="V598">
        <v>0</v>
      </c>
      <c r="W598">
        <v>0</v>
      </c>
      <c r="X598" s="39">
        <v>0</v>
      </c>
      <c r="Y598">
        <v>0</v>
      </c>
      <c r="Z598" s="31">
        <v>0</v>
      </c>
      <c r="AA598">
        <v>8</v>
      </c>
      <c r="AB598" s="3">
        <f t="shared" si="29"/>
        <v>0</v>
      </c>
      <c r="AC598" t="str">
        <f>IF(AB598-S598&lt;0,"YES","NO")</f>
        <v>NO</v>
      </c>
      <c r="AD598">
        <f>IF(AC598="NO",0,AB598-S598)</f>
        <v>0</v>
      </c>
      <c r="AE598" s="43">
        <v>0.08</v>
      </c>
      <c r="AF598" s="3">
        <f t="shared" si="30"/>
        <v>0</v>
      </c>
      <c r="AG598" s="45">
        <f t="shared" si="31"/>
        <v>0</v>
      </c>
      <c r="AH598" s="55"/>
    </row>
    <row r="599" spans="1:34" x14ac:dyDescent="0.25">
      <c r="A599" t="s">
        <v>2529</v>
      </c>
      <c r="B599" t="s">
        <v>2530</v>
      </c>
      <c r="C599" t="s">
        <v>2531</v>
      </c>
      <c r="D599" t="s">
        <v>2532</v>
      </c>
      <c r="E599" t="s">
        <v>2533</v>
      </c>
      <c r="F599" t="s">
        <v>2534</v>
      </c>
      <c r="G599" t="s">
        <v>5</v>
      </c>
      <c r="H599" t="s">
        <v>61</v>
      </c>
      <c r="I599" t="s">
        <v>84</v>
      </c>
      <c r="J599" t="s">
        <v>85</v>
      </c>
      <c r="K599" t="s">
        <v>3</v>
      </c>
      <c r="L599" t="s">
        <v>4</v>
      </c>
      <c r="M599" t="s">
        <v>49</v>
      </c>
      <c r="N599" t="s">
        <v>2535</v>
      </c>
      <c r="O599" s="31" t="s">
        <v>2536</v>
      </c>
      <c r="P599">
        <v>100</v>
      </c>
      <c r="Q599" t="s">
        <v>86</v>
      </c>
      <c r="R599">
        <v>1</v>
      </c>
      <c r="S599" s="31">
        <v>0</v>
      </c>
      <c r="T599" s="39">
        <v>0</v>
      </c>
      <c r="U599">
        <v>0</v>
      </c>
      <c r="V599">
        <v>0</v>
      </c>
      <c r="W599">
        <v>0</v>
      </c>
      <c r="X599" s="39">
        <v>0</v>
      </c>
      <c r="Y599">
        <v>0</v>
      </c>
      <c r="Z599" s="31">
        <v>0</v>
      </c>
      <c r="AA599">
        <v>8</v>
      </c>
      <c r="AB599" s="3">
        <f t="shared" si="29"/>
        <v>0</v>
      </c>
      <c r="AC599" t="str">
        <f>IF(AB599-S599&lt;0,"YES","NO")</f>
        <v>NO</v>
      </c>
      <c r="AD599">
        <f>IF(AC599="NO",0,AB599-S599)</f>
        <v>0</v>
      </c>
      <c r="AE599" s="43">
        <v>0.08</v>
      </c>
      <c r="AF599" s="3">
        <f t="shared" si="30"/>
        <v>0</v>
      </c>
      <c r="AG599" s="45">
        <f t="shared" si="31"/>
        <v>0</v>
      </c>
      <c r="AH599" s="55"/>
    </row>
    <row r="600" spans="1:34" x14ac:dyDescent="0.25">
      <c r="A600" t="s">
        <v>2529</v>
      </c>
      <c r="B600" t="s">
        <v>2530</v>
      </c>
      <c r="C600" t="s">
        <v>2531</v>
      </c>
      <c r="D600" t="s">
        <v>2532</v>
      </c>
      <c r="E600" t="s">
        <v>2533</v>
      </c>
      <c r="F600" t="s">
        <v>2534</v>
      </c>
      <c r="G600" t="s">
        <v>5</v>
      </c>
      <c r="H600" t="s">
        <v>65</v>
      </c>
      <c r="I600" t="s">
        <v>87</v>
      </c>
      <c r="J600" t="s">
        <v>88</v>
      </c>
      <c r="K600" t="s">
        <v>3</v>
      </c>
      <c r="L600" t="s">
        <v>4</v>
      </c>
      <c r="M600" t="s">
        <v>49</v>
      </c>
      <c r="N600" t="s">
        <v>2535</v>
      </c>
      <c r="O600" s="31" t="s">
        <v>2536</v>
      </c>
      <c r="P600">
        <v>220</v>
      </c>
      <c r="Q600" t="s">
        <v>89</v>
      </c>
      <c r="R600">
        <v>1</v>
      </c>
      <c r="S600" s="31">
        <v>59000</v>
      </c>
      <c r="T600" s="39">
        <v>70000</v>
      </c>
      <c r="U600">
        <v>3016.5</v>
      </c>
      <c r="V600">
        <v>6500</v>
      </c>
      <c r="W600">
        <v>0</v>
      </c>
      <c r="X600" s="39">
        <v>8295</v>
      </c>
      <c r="Y600">
        <v>0</v>
      </c>
      <c r="Z600" s="31">
        <v>60483.5</v>
      </c>
      <c r="AA600">
        <v>8</v>
      </c>
      <c r="AB600" s="3">
        <f t="shared" si="29"/>
        <v>60483.5</v>
      </c>
      <c r="AC600" t="str">
        <f>IF(AB600-S600&lt;0,"YES","NO")</f>
        <v>NO</v>
      </c>
      <c r="AD600">
        <f>IF(AC600="NO",0,AB600-S600)</f>
        <v>0</v>
      </c>
      <c r="AE600" s="43">
        <v>0.08</v>
      </c>
      <c r="AF600" s="3">
        <f t="shared" si="30"/>
        <v>0</v>
      </c>
      <c r="AG600" s="45">
        <f t="shared" si="31"/>
        <v>0</v>
      </c>
      <c r="AH600" s="55"/>
    </row>
    <row r="601" spans="1:34" x14ac:dyDescent="0.25">
      <c r="A601" t="s">
        <v>2529</v>
      </c>
      <c r="B601" t="s">
        <v>2530</v>
      </c>
      <c r="C601" t="s">
        <v>2531</v>
      </c>
      <c r="D601" t="s">
        <v>2532</v>
      </c>
      <c r="E601" t="s">
        <v>2533</v>
      </c>
      <c r="F601" t="s">
        <v>2534</v>
      </c>
      <c r="G601" t="s">
        <v>5</v>
      </c>
      <c r="H601" t="s">
        <v>65</v>
      </c>
      <c r="I601" t="s">
        <v>90</v>
      </c>
      <c r="J601" t="s">
        <v>91</v>
      </c>
      <c r="K601" t="s">
        <v>3</v>
      </c>
      <c r="L601" t="s">
        <v>4</v>
      </c>
      <c r="M601" t="s">
        <v>49</v>
      </c>
      <c r="N601" t="s">
        <v>2535</v>
      </c>
      <c r="O601" s="31" t="s">
        <v>2536</v>
      </c>
      <c r="P601">
        <v>220</v>
      </c>
      <c r="Q601" t="s">
        <v>92</v>
      </c>
      <c r="R601">
        <v>1</v>
      </c>
      <c r="S601" s="31">
        <v>59000</v>
      </c>
      <c r="T601" s="39">
        <v>70000</v>
      </c>
      <c r="U601">
        <v>3016.5</v>
      </c>
      <c r="V601">
        <v>6500</v>
      </c>
      <c r="W601">
        <v>0</v>
      </c>
      <c r="X601" s="39">
        <v>8295</v>
      </c>
      <c r="Y601">
        <v>0</v>
      </c>
      <c r="Z601" s="31">
        <v>60483.5</v>
      </c>
      <c r="AA601">
        <v>8</v>
      </c>
      <c r="AB601" s="3">
        <f t="shared" si="29"/>
        <v>60483.5</v>
      </c>
      <c r="AC601" t="str">
        <f>IF(AB601-S601&lt;0,"YES","NO")</f>
        <v>NO</v>
      </c>
      <c r="AD601">
        <f>IF(AC601="NO",0,AB601-S601)</f>
        <v>0</v>
      </c>
      <c r="AE601" s="43">
        <v>0.08</v>
      </c>
      <c r="AF601" s="3">
        <f t="shared" si="30"/>
        <v>0</v>
      </c>
      <c r="AG601" s="45">
        <f t="shared" si="31"/>
        <v>0</v>
      </c>
      <c r="AH601" s="55"/>
    </row>
    <row r="602" spans="1:34" x14ac:dyDescent="0.25">
      <c r="A602" t="s">
        <v>2529</v>
      </c>
      <c r="B602" t="s">
        <v>2530</v>
      </c>
      <c r="C602" t="s">
        <v>2531</v>
      </c>
      <c r="D602" t="s">
        <v>2532</v>
      </c>
      <c r="E602" t="s">
        <v>2533</v>
      </c>
      <c r="F602" t="s">
        <v>2534</v>
      </c>
      <c r="G602" t="s">
        <v>5</v>
      </c>
      <c r="H602" t="s">
        <v>65</v>
      </c>
      <c r="I602" t="s">
        <v>66</v>
      </c>
      <c r="J602" t="s">
        <v>67</v>
      </c>
      <c r="K602" t="s">
        <v>3</v>
      </c>
      <c r="L602" t="s">
        <v>4</v>
      </c>
      <c r="M602" t="s">
        <v>49</v>
      </c>
      <c r="N602" t="s">
        <v>2535</v>
      </c>
      <c r="O602" s="31" t="s">
        <v>2536</v>
      </c>
      <c r="P602">
        <v>220</v>
      </c>
      <c r="R602">
        <v>2</v>
      </c>
      <c r="S602" s="31">
        <v>150000</v>
      </c>
      <c r="T602" s="39">
        <v>160000</v>
      </c>
      <c r="U602">
        <v>6841</v>
      </c>
      <c r="V602">
        <v>16000</v>
      </c>
      <c r="W602">
        <v>0</v>
      </c>
      <c r="X602" s="39">
        <v>18813</v>
      </c>
      <c r="Y602">
        <v>0</v>
      </c>
      <c r="Z602" s="31">
        <v>137159</v>
      </c>
      <c r="AA602">
        <v>8</v>
      </c>
      <c r="AB602" s="3">
        <f t="shared" si="29"/>
        <v>137159</v>
      </c>
      <c r="AC602" t="str">
        <f>IF(AB602-S602&lt;0,"YES","NO")</f>
        <v>YES</v>
      </c>
      <c r="AD602">
        <f>IF(AC602="NO",0,AB602-S602)</f>
        <v>-12841</v>
      </c>
      <c r="AE602" s="43">
        <v>0.08</v>
      </c>
      <c r="AF602" s="3">
        <f t="shared" si="30"/>
        <v>-11889.814814814814</v>
      </c>
      <c r="AG602" s="45">
        <f t="shared" si="31"/>
        <v>-13078.796296296296</v>
      </c>
      <c r="AH602" s="55"/>
    </row>
    <row r="603" spans="1:34" x14ac:dyDescent="0.25">
      <c r="A603" t="s">
        <v>2529</v>
      </c>
      <c r="B603" t="s">
        <v>2530</v>
      </c>
      <c r="C603" t="s">
        <v>2531</v>
      </c>
      <c r="D603" t="s">
        <v>2532</v>
      </c>
      <c r="E603" t="s">
        <v>2533</v>
      </c>
      <c r="F603" t="s">
        <v>2534</v>
      </c>
      <c r="G603" t="s">
        <v>5</v>
      </c>
      <c r="H603" t="s">
        <v>65</v>
      </c>
      <c r="I603" t="s">
        <v>82</v>
      </c>
      <c r="J603" t="s">
        <v>83</v>
      </c>
      <c r="K603" t="s">
        <v>3</v>
      </c>
      <c r="L603" t="s">
        <v>4</v>
      </c>
      <c r="M603" t="s">
        <v>49</v>
      </c>
      <c r="N603" t="s">
        <v>2535</v>
      </c>
      <c r="O603" s="31" t="s">
        <v>2536</v>
      </c>
      <c r="P603">
        <v>220</v>
      </c>
      <c r="R603">
        <v>2</v>
      </c>
      <c r="S603" s="31">
        <v>150000</v>
      </c>
      <c r="T603" s="39">
        <v>160000</v>
      </c>
      <c r="U603">
        <v>7126</v>
      </c>
      <c r="V603">
        <v>10000</v>
      </c>
      <c r="W603">
        <v>0</v>
      </c>
      <c r="X603" s="39">
        <v>19597</v>
      </c>
      <c r="Y603">
        <v>0</v>
      </c>
      <c r="Z603" s="31">
        <v>142874</v>
      </c>
      <c r="AA603">
        <v>8</v>
      </c>
      <c r="AB603" s="3">
        <f t="shared" si="29"/>
        <v>142874</v>
      </c>
      <c r="AC603" t="str">
        <f>IF(AB603-S603&lt;0,"YES","NO")</f>
        <v>YES</v>
      </c>
      <c r="AD603">
        <f>IF(AC603="NO",0,AB603-S603)</f>
        <v>-7126</v>
      </c>
      <c r="AE603" s="43">
        <v>0.08</v>
      </c>
      <c r="AF603" s="3">
        <f t="shared" si="30"/>
        <v>-6598.1481481481478</v>
      </c>
      <c r="AG603" s="45">
        <f t="shared" si="31"/>
        <v>-7257.9629629629635</v>
      </c>
      <c r="AH603" s="55"/>
    </row>
    <row r="604" spans="1:34" x14ac:dyDescent="0.25">
      <c r="A604" t="s">
        <v>2537</v>
      </c>
      <c r="B604" t="s">
        <v>2538</v>
      </c>
      <c r="C604" t="s">
        <v>2539</v>
      </c>
      <c r="D604" t="s">
        <v>2540</v>
      </c>
      <c r="E604" t="s">
        <v>2541</v>
      </c>
      <c r="F604" t="s">
        <v>2542</v>
      </c>
      <c r="G604" t="s">
        <v>5</v>
      </c>
      <c r="H604" t="s">
        <v>61</v>
      </c>
      <c r="I604" t="s">
        <v>62</v>
      </c>
      <c r="J604" t="s">
        <v>63</v>
      </c>
      <c r="K604" t="s">
        <v>3</v>
      </c>
      <c r="L604" t="s">
        <v>4</v>
      </c>
      <c r="M604" t="s">
        <v>49</v>
      </c>
      <c r="N604" t="s">
        <v>2543</v>
      </c>
      <c r="O604" s="31" t="s">
        <v>2544</v>
      </c>
      <c r="P604">
        <v>20000</v>
      </c>
      <c r="Q604" t="s">
        <v>64</v>
      </c>
      <c r="R604">
        <v>1</v>
      </c>
      <c r="S604" s="31">
        <v>0</v>
      </c>
      <c r="T604" s="39">
        <v>0</v>
      </c>
      <c r="U604">
        <v>0</v>
      </c>
      <c r="V604">
        <v>0</v>
      </c>
      <c r="W604">
        <v>0</v>
      </c>
      <c r="X604" s="39">
        <v>0</v>
      </c>
      <c r="Y604">
        <v>0</v>
      </c>
      <c r="Z604" s="31">
        <v>0</v>
      </c>
      <c r="AA604">
        <v>8</v>
      </c>
      <c r="AB604" s="3">
        <f t="shared" si="29"/>
        <v>0</v>
      </c>
      <c r="AC604" t="str">
        <f>IF(AB604-S604&lt;0,"YES","NO")</f>
        <v>NO</v>
      </c>
      <c r="AD604">
        <f>IF(AC604="NO",0,AB604-S604)</f>
        <v>0</v>
      </c>
      <c r="AE604" s="43">
        <v>0.08</v>
      </c>
      <c r="AF604" s="3">
        <f t="shared" si="30"/>
        <v>0</v>
      </c>
      <c r="AG604" s="45">
        <f t="shared" si="31"/>
        <v>0</v>
      </c>
      <c r="AH604" s="55"/>
    </row>
    <row r="605" spans="1:34" x14ac:dyDescent="0.25">
      <c r="A605" t="s">
        <v>2537</v>
      </c>
      <c r="B605" t="s">
        <v>2538</v>
      </c>
      <c r="C605" t="s">
        <v>2539</v>
      </c>
      <c r="D605" t="s">
        <v>2540</v>
      </c>
      <c r="E605" t="s">
        <v>2541</v>
      </c>
      <c r="F605" t="s">
        <v>2542</v>
      </c>
      <c r="G605" t="s">
        <v>5</v>
      </c>
      <c r="H605" t="s">
        <v>65</v>
      </c>
      <c r="I605" t="s">
        <v>68</v>
      </c>
      <c r="J605" t="s">
        <v>69</v>
      </c>
      <c r="K605" t="s">
        <v>3</v>
      </c>
      <c r="L605" t="s">
        <v>4</v>
      </c>
      <c r="M605" t="s">
        <v>49</v>
      </c>
      <c r="N605" t="s">
        <v>2543</v>
      </c>
      <c r="O605" s="31" t="s">
        <v>2544</v>
      </c>
      <c r="P605">
        <v>220</v>
      </c>
      <c r="Q605" t="s">
        <v>70</v>
      </c>
      <c r="R605">
        <v>1</v>
      </c>
      <c r="S605" s="31">
        <v>59000</v>
      </c>
      <c r="T605" s="39">
        <v>65000</v>
      </c>
      <c r="U605">
        <v>11666.67</v>
      </c>
      <c r="V605">
        <v>5000</v>
      </c>
      <c r="W605">
        <v>0</v>
      </c>
      <c r="X605" s="39">
        <v>21333.33</v>
      </c>
      <c r="Y605">
        <v>0</v>
      </c>
      <c r="Z605" s="31">
        <v>48333.33</v>
      </c>
      <c r="AA605">
        <v>8</v>
      </c>
      <c r="AB605" s="3">
        <f t="shared" si="29"/>
        <v>48333.33</v>
      </c>
      <c r="AC605" t="str">
        <f>IF(AB605-S605&lt;0,"YES","NO")</f>
        <v>YES</v>
      </c>
      <c r="AD605">
        <f>IF(AC605="NO",0,AB605-S605)</f>
        <v>-10666.669999999998</v>
      </c>
      <c r="AE605" s="43">
        <v>0.08</v>
      </c>
      <c r="AF605" s="3">
        <f t="shared" si="30"/>
        <v>-9876.5462962962938</v>
      </c>
      <c r="AG605" s="45">
        <f t="shared" si="31"/>
        <v>-10864.200925925925</v>
      </c>
      <c r="AH605" s="55"/>
    </row>
    <row r="606" spans="1:34" x14ac:dyDescent="0.25">
      <c r="A606" t="s">
        <v>2537</v>
      </c>
      <c r="B606" t="s">
        <v>2538</v>
      </c>
      <c r="C606" t="s">
        <v>2539</v>
      </c>
      <c r="D606" t="s">
        <v>2540</v>
      </c>
      <c r="E606" t="s">
        <v>2541</v>
      </c>
      <c r="F606" t="s">
        <v>2542</v>
      </c>
      <c r="G606" t="s">
        <v>5</v>
      </c>
      <c r="H606" t="s">
        <v>65</v>
      </c>
      <c r="I606" t="s">
        <v>71</v>
      </c>
      <c r="J606" t="s">
        <v>72</v>
      </c>
      <c r="K606" t="s">
        <v>3</v>
      </c>
      <c r="L606" t="s">
        <v>4</v>
      </c>
      <c r="M606" t="s">
        <v>49</v>
      </c>
      <c r="N606" t="s">
        <v>2543</v>
      </c>
      <c r="O606" s="31" t="s">
        <v>2544</v>
      </c>
      <c r="P606">
        <v>220</v>
      </c>
      <c r="Q606" t="s">
        <v>70</v>
      </c>
      <c r="R606">
        <v>1</v>
      </c>
      <c r="S606" s="31">
        <v>59000</v>
      </c>
      <c r="T606" s="39">
        <v>65000</v>
      </c>
      <c r="U606">
        <v>11666.67</v>
      </c>
      <c r="V606">
        <v>5000</v>
      </c>
      <c r="W606">
        <v>0</v>
      </c>
      <c r="X606" s="39">
        <v>21333.33</v>
      </c>
      <c r="Y606">
        <v>0</v>
      </c>
      <c r="Z606" s="31">
        <v>48333.33</v>
      </c>
      <c r="AA606">
        <v>8</v>
      </c>
      <c r="AB606" s="3">
        <f t="shared" si="29"/>
        <v>48333.33</v>
      </c>
      <c r="AC606" t="str">
        <f>IF(AB606-S606&lt;0,"YES","NO")</f>
        <v>YES</v>
      </c>
      <c r="AD606">
        <f>IF(AC606="NO",0,AB606-S606)</f>
        <v>-10666.669999999998</v>
      </c>
      <c r="AE606" s="43">
        <v>0.08</v>
      </c>
      <c r="AF606" s="3">
        <f t="shared" si="30"/>
        <v>-9876.5462962962938</v>
      </c>
      <c r="AG606" s="45">
        <f t="shared" si="31"/>
        <v>-10864.200925925925</v>
      </c>
      <c r="AH606" s="55"/>
    </row>
    <row r="607" spans="1:34" x14ac:dyDescent="0.25">
      <c r="A607" t="s">
        <v>2537</v>
      </c>
      <c r="B607" t="s">
        <v>2538</v>
      </c>
      <c r="C607" t="s">
        <v>2539</v>
      </c>
      <c r="D607" t="s">
        <v>2540</v>
      </c>
      <c r="E607" t="s">
        <v>2541</v>
      </c>
      <c r="F607" t="s">
        <v>2542</v>
      </c>
      <c r="G607" t="s">
        <v>5</v>
      </c>
      <c r="H607" t="s">
        <v>65</v>
      </c>
      <c r="I607" t="s">
        <v>73</v>
      </c>
      <c r="J607" t="s">
        <v>74</v>
      </c>
      <c r="K607" t="s">
        <v>3</v>
      </c>
      <c r="L607" t="s">
        <v>4</v>
      </c>
      <c r="M607" t="s">
        <v>49</v>
      </c>
      <c r="N607" t="s">
        <v>2543</v>
      </c>
      <c r="O607" s="31" t="s">
        <v>2544</v>
      </c>
      <c r="P607">
        <v>220</v>
      </c>
      <c r="Q607" t="s">
        <v>70</v>
      </c>
      <c r="R607">
        <v>1</v>
      </c>
      <c r="S607" s="31">
        <v>59000</v>
      </c>
      <c r="T607" s="39">
        <v>65000</v>
      </c>
      <c r="U607">
        <v>11666.67</v>
      </c>
      <c r="V607">
        <v>5000</v>
      </c>
      <c r="W607">
        <v>0</v>
      </c>
      <c r="X607" s="39">
        <v>21333.33</v>
      </c>
      <c r="Y607">
        <v>0</v>
      </c>
      <c r="Z607" s="31">
        <v>48333.33</v>
      </c>
      <c r="AA607">
        <v>8</v>
      </c>
      <c r="AB607" s="3">
        <f t="shared" si="29"/>
        <v>48333.33</v>
      </c>
      <c r="AC607" t="str">
        <f>IF(AB607-S607&lt;0,"YES","NO")</f>
        <v>YES</v>
      </c>
      <c r="AD607">
        <f>IF(AC607="NO",0,AB607-S607)</f>
        <v>-10666.669999999998</v>
      </c>
      <c r="AE607" s="43">
        <v>0.08</v>
      </c>
      <c r="AF607" s="3">
        <f t="shared" si="30"/>
        <v>-9876.5462962962938</v>
      </c>
      <c r="AG607" s="45">
        <f t="shared" si="31"/>
        <v>-10864.200925925925</v>
      </c>
      <c r="AH607" s="55"/>
    </row>
    <row r="608" spans="1:34" x14ac:dyDescent="0.25">
      <c r="A608" t="s">
        <v>2545</v>
      </c>
      <c r="B608" t="s">
        <v>2546</v>
      </c>
      <c r="C608" t="s">
        <v>2547</v>
      </c>
      <c r="D608" t="s">
        <v>2548</v>
      </c>
      <c r="E608" t="s">
        <v>2549</v>
      </c>
      <c r="F608" t="s">
        <v>2550</v>
      </c>
      <c r="G608" t="s">
        <v>5</v>
      </c>
      <c r="H608" t="s">
        <v>61</v>
      </c>
      <c r="I608" t="s">
        <v>84</v>
      </c>
      <c r="J608" t="s">
        <v>85</v>
      </c>
      <c r="K608" t="s">
        <v>3</v>
      </c>
      <c r="L608" t="s">
        <v>4</v>
      </c>
      <c r="M608" t="s">
        <v>49</v>
      </c>
      <c r="N608" t="s">
        <v>2551</v>
      </c>
      <c r="O608" s="31" t="s">
        <v>2552</v>
      </c>
      <c r="P608">
        <v>100</v>
      </c>
      <c r="Q608" t="s">
        <v>86</v>
      </c>
      <c r="R608">
        <v>1</v>
      </c>
      <c r="S608" s="31">
        <v>0</v>
      </c>
      <c r="T608" s="39">
        <v>0</v>
      </c>
      <c r="U608">
        <v>0</v>
      </c>
      <c r="V608">
        <v>0</v>
      </c>
      <c r="W608">
        <v>0</v>
      </c>
      <c r="X608" s="39">
        <v>0</v>
      </c>
      <c r="Y608">
        <v>0</v>
      </c>
      <c r="Z608" s="31">
        <v>0</v>
      </c>
      <c r="AA608">
        <v>8</v>
      </c>
      <c r="AB608" s="3">
        <f t="shared" si="29"/>
        <v>0</v>
      </c>
      <c r="AC608" t="str">
        <f>IF(AB608-S608&lt;0,"YES","NO")</f>
        <v>NO</v>
      </c>
      <c r="AD608">
        <f>IF(AC608="NO",0,AB608-S608)</f>
        <v>0</v>
      </c>
      <c r="AE608" s="43">
        <v>0.08</v>
      </c>
      <c r="AF608" s="3">
        <f t="shared" si="30"/>
        <v>0</v>
      </c>
      <c r="AG608" s="45">
        <f t="shared" si="31"/>
        <v>0</v>
      </c>
      <c r="AH608" s="55"/>
    </row>
    <row r="609" spans="1:34" x14ac:dyDescent="0.25">
      <c r="A609" t="s">
        <v>2545</v>
      </c>
      <c r="B609" t="s">
        <v>2546</v>
      </c>
      <c r="C609" t="s">
        <v>2547</v>
      </c>
      <c r="D609" t="s">
        <v>2548</v>
      </c>
      <c r="E609" t="s">
        <v>2549</v>
      </c>
      <c r="F609" t="s">
        <v>2550</v>
      </c>
      <c r="G609" t="s">
        <v>5</v>
      </c>
      <c r="H609" t="s">
        <v>65</v>
      </c>
      <c r="I609" t="s">
        <v>66</v>
      </c>
      <c r="J609" t="s">
        <v>67</v>
      </c>
      <c r="K609" t="s">
        <v>3</v>
      </c>
      <c r="L609" t="s">
        <v>4</v>
      </c>
      <c r="M609" t="s">
        <v>49</v>
      </c>
      <c r="N609" t="s">
        <v>2551</v>
      </c>
      <c r="O609" s="31" t="s">
        <v>2552</v>
      </c>
      <c r="P609">
        <v>220</v>
      </c>
      <c r="R609">
        <v>3</v>
      </c>
      <c r="S609" s="31">
        <v>225000</v>
      </c>
      <c r="T609" s="39">
        <v>240000</v>
      </c>
      <c r="U609">
        <v>35000.01</v>
      </c>
      <c r="V609">
        <v>24000</v>
      </c>
      <c r="W609">
        <v>0</v>
      </c>
      <c r="X609" s="39">
        <v>53100</v>
      </c>
      <c r="Y609">
        <v>0</v>
      </c>
      <c r="Z609" s="31">
        <v>180999.99</v>
      </c>
      <c r="AA609">
        <v>8</v>
      </c>
      <c r="AB609" s="3">
        <f t="shared" si="29"/>
        <v>180999.99</v>
      </c>
      <c r="AC609" t="str">
        <f>IF(AB609-S609&lt;0,"YES","NO")</f>
        <v>YES</v>
      </c>
      <c r="AD609">
        <f>IF(AC609="NO",0,AB609-S609)</f>
        <v>-44000.010000000009</v>
      </c>
      <c r="AE609" s="43">
        <v>0.08</v>
      </c>
      <c r="AF609" s="3">
        <f t="shared" si="30"/>
        <v>-40740.750000000007</v>
      </c>
      <c r="AG609" s="45">
        <f t="shared" si="31"/>
        <v>-44814.825000000012</v>
      </c>
      <c r="AH609" s="55"/>
    </row>
    <row r="610" spans="1:34" x14ac:dyDescent="0.25">
      <c r="A610" t="s">
        <v>2553</v>
      </c>
      <c r="B610" t="s">
        <v>2554</v>
      </c>
      <c r="C610" t="s">
        <v>2555</v>
      </c>
      <c r="D610" t="s">
        <v>2556</v>
      </c>
      <c r="E610" t="s">
        <v>2557</v>
      </c>
      <c r="F610" t="s">
        <v>2558</v>
      </c>
      <c r="G610" t="s">
        <v>5</v>
      </c>
      <c r="H610" t="s">
        <v>61</v>
      </c>
      <c r="I610" t="s">
        <v>62</v>
      </c>
      <c r="J610" t="s">
        <v>63</v>
      </c>
      <c r="K610" t="s">
        <v>3</v>
      </c>
      <c r="L610" t="s">
        <v>4</v>
      </c>
      <c r="M610" t="s">
        <v>49</v>
      </c>
      <c r="N610" t="s">
        <v>2559</v>
      </c>
      <c r="O610" s="31" t="s">
        <v>2560</v>
      </c>
      <c r="P610">
        <v>20000</v>
      </c>
      <c r="Q610" t="s">
        <v>64</v>
      </c>
      <c r="R610">
        <v>1</v>
      </c>
      <c r="S610" s="31">
        <v>0</v>
      </c>
      <c r="T610" s="39">
        <v>0</v>
      </c>
      <c r="U610">
        <v>0</v>
      </c>
      <c r="V610">
        <v>0</v>
      </c>
      <c r="W610">
        <v>0</v>
      </c>
      <c r="X610" s="39">
        <v>0</v>
      </c>
      <c r="Y610">
        <v>0</v>
      </c>
      <c r="Z610" s="31">
        <v>0</v>
      </c>
      <c r="AA610">
        <v>8</v>
      </c>
      <c r="AB610" s="3">
        <f t="shared" si="29"/>
        <v>0</v>
      </c>
      <c r="AC610" t="str">
        <f>IF(AB610-S610&lt;0,"YES","NO")</f>
        <v>NO</v>
      </c>
      <c r="AD610">
        <f>IF(AC610="NO",0,AB610-S610)</f>
        <v>0</v>
      </c>
      <c r="AE610" s="43">
        <v>0.08</v>
      </c>
      <c r="AF610" s="3">
        <f t="shared" si="30"/>
        <v>0</v>
      </c>
      <c r="AG610" s="45">
        <f t="shared" si="31"/>
        <v>0</v>
      </c>
      <c r="AH610" s="55"/>
    </row>
    <row r="611" spans="1:34" x14ac:dyDescent="0.25">
      <c r="A611" t="s">
        <v>2553</v>
      </c>
      <c r="B611" t="s">
        <v>2554</v>
      </c>
      <c r="C611" t="s">
        <v>2555</v>
      </c>
      <c r="D611" t="s">
        <v>2556</v>
      </c>
      <c r="E611" t="s">
        <v>2557</v>
      </c>
      <c r="F611" t="s">
        <v>2558</v>
      </c>
      <c r="G611" t="s">
        <v>5</v>
      </c>
      <c r="H611" t="s">
        <v>61</v>
      </c>
      <c r="I611" t="s">
        <v>62</v>
      </c>
      <c r="J611" t="s">
        <v>63</v>
      </c>
      <c r="K611" t="s">
        <v>3</v>
      </c>
      <c r="L611" t="s">
        <v>4</v>
      </c>
      <c r="M611" t="s">
        <v>49</v>
      </c>
      <c r="N611" t="s">
        <v>2559</v>
      </c>
      <c r="O611" s="31" t="s">
        <v>2560</v>
      </c>
      <c r="P611">
        <v>20000</v>
      </c>
      <c r="Q611" t="s">
        <v>64</v>
      </c>
      <c r="R611">
        <v>1</v>
      </c>
      <c r="S611" s="31">
        <v>0</v>
      </c>
      <c r="T611" s="39">
        <v>0</v>
      </c>
      <c r="U611">
        <v>0</v>
      </c>
      <c r="V611">
        <v>0</v>
      </c>
      <c r="W611">
        <v>0</v>
      </c>
      <c r="X611" s="39">
        <v>0</v>
      </c>
      <c r="Y611">
        <v>0</v>
      </c>
      <c r="Z611" s="31">
        <v>0</v>
      </c>
      <c r="AA611">
        <v>8</v>
      </c>
      <c r="AB611" s="3">
        <f t="shared" si="29"/>
        <v>0</v>
      </c>
      <c r="AC611" t="str">
        <f>IF(AB611-S611&lt;0,"YES","NO")</f>
        <v>NO</v>
      </c>
      <c r="AD611">
        <f>IF(AC611="NO",0,AB611-S611)</f>
        <v>0</v>
      </c>
      <c r="AE611" s="43">
        <v>0.08</v>
      </c>
      <c r="AF611" s="3">
        <f t="shared" si="30"/>
        <v>0</v>
      </c>
      <c r="AG611" s="45">
        <f t="shared" si="31"/>
        <v>0</v>
      </c>
      <c r="AH611" s="55"/>
    </row>
    <row r="612" spans="1:34" x14ac:dyDescent="0.25">
      <c r="A612" t="s">
        <v>2553</v>
      </c>
      <c r="B612" t="s">
        <v>2554</v>
      </c>
      <c r="C612" t="s">
        <v>2555</v>
      </c>
      <c r="D612" t="s">
        <v>2556</v>
      </c>
      <c r="E612" t="s">
        <v>2557</v>
      </c>
      <c r="F612" t="s">
        <v>2558</v>
      </c>
      <c r="G612" t="s">
        <v>5</v>
      </c>
      <c r="H612" t="s">
        <v>65</v>
      </c>
      <c r="I612" t="s">
        <v>87</v>
      </c>
      <c r="J612" t="s">
        <v>88</v>
      </c>
      <c r="K612" t="s">
        <v>3</v>
      </c>
      <c r="L612" t="s">
        <v>4</v>
      </c>
      <c r="M612" t="s">
        <v>49</v>
      </c>
      <c r="N612" t="s">
        <v>2559</v>
      </c>
      <c r="O612" s="31" t="s">
        <v>2560</v>
      </c>
      <c r="P612">
        <v>220</v>
      </c>
      <c r="Q612" t="s">
        <v>89</v>
      </c>
      <c r="R612">
        <v>2</v>
      </c>
      <c r="S612" s="31">
        <v>118000</v>
      </c>
      <c r="T612" s="39">
        <v>140000</v>
      </c>
      <c r="U612">
        <v>4635.5</v>
      </c>
      <c r="V612">
        <v>13000</v>
      </c>
      <c r="W612">
        <v>0</v>
      </c>
      <c r="X612" s="39">
        <v>21767</v>
      </c>
      <c r="Y612">
        <v>0</v>
      </c>
      <c r="Z612" s="31">
        <v>122364.5</v>
      </c>
      <c r="AA612">
        <v>8</v>
      </c>
      <c r="AB612" s="3">
        <f t="shared" si="29"/>
        <v>122364.5</v>
      </c>
      <c r="AC612" t="str">
        <f>IF(AB612-S612&lt;0,"YES","NO")</f>
        <v>NO</v>
      </c>
      <c r="AD612">
        <f>IF(AC612="NO",0,AB612-S612)</f>
        <v>0</v>
      </c>
      <c r="AE612" s="43">
        <v>0.08</v>
      </c>
      <c r="AF612" s="3">
        <f t="shared" si="30"/>
        <v>0</v>
      </c>
      <c r="AG612" s="45">
        <f t="shared" si="31"/>
        <v>0</v>
      </c>
      <c r="AH612" s="55"/>
    </row>
    <row r="613" spans="1:34" x14ac:dyDescent="0.25">
      <c r="A613" t="s">
        <v>2553</v>
      </c>
      <c r="B613" t="s">
        <v>2554</v>
      </c>
      <c r="C613" t="s">
        <v>2555</v>
      </c>
      <c r="D613" t="s">
        <v>2556</v>
      </c>
      <c r="E613" t="s">
        <v>2557</v>
      </c>
      <c r="F613" t="s">
        <v>2558</v>
      </c>
      <c r="G613" t="s">
        <v>5</v>
      </c>
      <c r="H613" t="s">
        <v>65</v>
      </c>
      <c r="I613" t="s">
        <v>90</v>
      </c>
      <c r="J613" t="s">
        <v>91</v>
      </c>
      <c r="K613" t="s">
        <v>3</v>
      </c>
      <c r="L613" t="s">
        <v>4</v>
      </c>
      <c r="M613" t="s">
        <v>49</v>
      </c>
      <c r="N613" t="s">
        <v>2559</v>
      </c>
      <c r="O613" s="31" t="s">
        <v>2560</v>
      </c>
      <c r="P613">
        <v>220</v>
      </c>
      <c r="Q613" t="s">
        <v>92</v>
      </c>
      <c r="R613">
        <v>2</v>
      </c>
      <c r="S613" s="31">
        <v>118000</v>
      </c>
      <c r="T613" s="39">
        <v>140000</v>
      </c>
      <c r="U613">
        <v>4635.5</v>
      </c>
      <c r="V613">
        <v>13000</v>
      </c>
      <c r="W613">
        <v>0</v>
      </c>
      <c r="X613" s="39">
        <v>21767</v>
      </c>
      <c r="Y613">
        <v>0</v>
      </c>
      <c r="Z613" s="31">
        <v>122364.5</v>
      </c>
      <c r="AA613">
        <v>8</v>
      </c>
      <c r="AB613" s="3">
        <f t="shared" si="29"/>
        <v>122364.5</v>
      </c>
      <c r="AC613" t="str">
        <f>IF(AB613-S613&lt;0,"YES","NO")</f>
        <v>NO</v>
      </c>
      <c r="AD613">
        <f>IF(AC613="NO",0,AB613-S613)</f>
        <v>0</v>
      </c>
      <c r="AE613" s="43">
        <v>0.08</v>
      </c>
      <c r="AF613" s="3">
        <f t="shared" si="30"/>
        <v>0</v>
      </c>
      <c r="AG613" s="45">
        <f t="shared" si="31"/>
        <v>0</v>
      </c>
      <c r="AH613" s="55"/>
    </row>
    <row r="614" spans="1:34" x14ac:dyDescent="0.25">
      <c r="A614" t="s">
        <v>2553</v>
      </c>
      <c r="B614" t="s">
        <v>2554</v>
      </c>
      <c r="C614" t="s">
        <v>2555</v>
      </c>
      <c r="D614" t="s">
        <v>2556</v>
      </c>
      <c r="E614" t="s">
        <v>2557</v>
      </c>
      <c r="F614" t="s">
        <v>2558</v>
      </c>
      <c r="G614" t="s">
        <v>5</v>
      </c>
      <c r="H614" t="s">
        <v>65</v>
      </c>
      <c r="I614" t="s">
        <v>66</v>
      </c>
      <c r="J614" t="s">
        <v>67</v>
      </c>
      <c r="K614" t="s">
        <v>3</v>
      </c>
      <c r="L614" t="s">
        <v>4</v>
      </c>
      <c r="M614" t="s">
        <v>49</v>
      </c>
      <c r="N614" t="s">
        <v>2559</v>
      </c>
      <c r="O614" s="31" t="s">
        <v>2560</v>
      </c>
      <c r="P614">
        <v>220</v>
      </c>
      <c r="R614">
        <v>2</v>
      </c>
      <c r="S614" s="31">
        <v>150000</v>
      </c>
      <c r="T614" s="39">
        <v>160000</v>
      </c>
      <c r="U614">
        <v>5254</v>
      </c>
      <c r="V614">
        <v>16000</v>
      </c>
      <c r="W614">
        <v>0</v>
      </c>
      <c r="X614" s="39">
        <v>24677</v>
      </c>
      <c r="Y614">
        <v>0</v>
      </c>
      <c r="Z614" s="31">
        <v>138746</v>
      </c>
      <c r="AA614">
        <v>8</v>
      </c>
      <c r="AB614" s="3">
        <f t="shared" si="29"/>
        <v>138746</v>
      </c>
      <c r="AC614" t="str">
        <f>IF(AB614-S614&lt;0,"YES","NO")</f>
        <v>YES</v>
      </c>
      <c r="AD614">
        <f>IF(AC614="NO",0,AB614-S614)</f>
        <v>-11254</v>
      </c>
      <c r="AE614" s="43">
        <v>0.08</v>
      </c>
      <c r="AF614" s="3">
        <f t="shared" si="30"/>
        <v>-10420.37037037037</v>
      </c>
      <c r="AG614" s="45">
        <f t="shared" si="31"/>
        <v>-11462.407407407409</v>
      </c>
      <c r="AH614" s="55"/>
    </row>
    <row r="615" spans="1:34" x14ac:dyDescent="0.25">
      <c r="A615" t="s">
        <v>2553</v>
      </c>
      <c r="B615" t="s">
        <v>2554</v>
      </c>
      <c r="C615" t="s">
        <v>2555</v>
      </c>
      <c r="D615" t="s">
        <v>2556</v>
      </c>
      <c r="E615" t="s">
        <v>2557</v>
      </c>
      <c r="F615" t="s">
        <v>2558</v>
      </c>
      <c r="G615" t="s">
        <v>5</v>
      </c>
      <c r="H615" t="s">
        <v>65</v>
      </c>
      <c r="I615" t="s">
        <v>82</v>
      </c>
      <c r="J615" t="s">
        <v>83</v>
      </c>
      <c r="K615" t="s">
        <v>3</v>
      </c>
      <c r="L615" t="s">
        <v>4</v>
      </c>
      <c r="M615" t="s">
        <v>49</v>
      </c>
      <c r="N615" t="s">
        <v>2559</v>
      </c>
      <c r="O615" s="31" t="s">
        <v>2560</v>
      </c>
      <c r="P615">
        <v>220</v>
      </c>
      <c r="R615">
        <v>2</v>
      </c>
      <c r="S615" s="31">
        <v>150000</v>
      </c>
      <c r="T615" s="39">
        <v>160000</v>
      </c>
      <c r="U615">
        <v>5475</v>
      </c>
      <c r="V615">
        <v>10000</v>
      </c>
      <c r="W615">
        <v>0</v>
      </c>
      <c r="X615" s="39">
        <v>25709</v>
      </c>
      <c r="Y615">
        <v>0</v>
      </c>
      <c r="Z615" s="31">
        <v>144525</v>
      </c>
      <c r="AA615">
        <v>8</v>
      </c>
      <c r="AB615" s="3">
        <f t="shared" si="29"/>
        <v>144525</v>
      </c>
      <c r="AC615" t="str">
        <f>IF(AB615-S615&lt;0,"YES","NO")</f>
        <v>YES</v>
      </c>
      <c r="AD615">
        <f>IF(AC615="NO",0,AB615-S615)</f>
        <v>-5475</v>
      </c>
      <c r="AE615" s="43">
        <v>0.08</v>
      </c>
      <c r="AF615" s="3">
        <f t="shared" si="30"/>
        <v>-5069.4444444444443</v>
      </c>
      <c r="AG615" s="45">
        <f t="shared" si="31"/>
        <v>-5576.3888888888896</v>
      </c>
      <c r="AH615" s="55"/>
    </row>
    <row r="616" spans="1:34" x14ac:dyDescent="0.25">
      <c r="A616" t="s">
        <v>2561</v>
      </c>
      <c r="B616" t="s">
        <v>2562</v>
      </c>
      <c r="C616" t="s">
        <v>2563</v>
      </c>
      <c r="D616" t="s">
        <v>2564</v>
      </c>
      <c r="E616" t="s">
        <v>2565</v>
      </c>
      <c r="F616" t="s">
        <v>2566</v>
      </c>
      <c r="G616" t="s">
        <v>5</v>
      </c>
      <c r="H616" t="s">
        <v>61</v>
      </c>
      <c r="I616" t="s">
        <v>84</v>
      </c>
      <c r="J616" t="s">
        <v>85</v>
      </c>
      <c r="K616" t="s">
        <v>3</v>
      </c>
      <c r="L616" t="s">
        <v>4</v>
      </c>
      <c r="M616" t="s">
        <v>49</v>
      </c>
      <c r="N616" t="s">
        <v>2567</v>
      </c>
      <c r="O616" s="31" t="s">
        <v>2568</v>
      </c>
      <c r="P616">
        <v>100</v>
      </c>
      <c r="Q616" t="s">
        <v>86</v>
      </c>
      <c r="R616">
        <v>1</v>
      </c>
      <c r="S616" s="31">
        <v>0</v>
      </c>
      <c r="T616" s="39">
        <v>0</v>
      </c>
      <c r="U616">
        <v>0</v>
      </c>
      <c r="V616">
        <v>0</v>
      </c>
      <c r="W616">
        <v>0</v>
      </c>
      <c r="X616" s="39">
        <v>0</v>
      </c>
      <c r="Y616">
        <v>0</v>
      </c>
      <c r="Z616" s="31">
        <v>0</v>
      </c>
      <c r="AA616">
        <v>8</v>
      </c>
      <c r="AB616" s="3">
        <f t="shared" si="29"/>
        <v>0</v>
      </c>
      <c r="AC616" t="str">
        <f>IF(AB616-S616&lt;0,"YES","NO")</f>
        <v>NO</v>
      </c>
      <c r="AD616">
        <f>IF(AC616="NO",0,AB616-S616)</f>
        <v>0</v>
      </c>
      <c r="AE616" s="43">
        <v>0.08</v>
      </c>
      <c r="AF616" s="3">
        <f t="shared" si="30"/>
        <v>0</v>
      </c>
      <c r="AG616" s="45">
        <f t="shared" si="31"/>
        <v>0</v>
      </c>
      <c r="AH616" s="55"/>
    </row>
    <row r="617" spans="1:34" x14ac:dyDescent="0.25">
      <c r="A617" t="s">
        <v>2561</v>
      </c>
      <c r="B617" t="s">
        <v>2562</v>
      </c>
      <c r="C617" t="s">
        <v>2563</v>
      </c>
      <c r="D617" t="s">
        <v>2564</v>
      </c>
      <c r="E617" t="s">
        <v>2565</v>
      </c>
      <c r="F617" t="s">
        <v>2566</v>
      </c>
      <c r="G617" t="s">
        <v>5</v>
      </c>
      <c r="H617" t="s">
        <v>65</v>
      </c>
      <c r="I617" t="s">
        <v>66</v>
      </c>
      <c r="J617" t="s">
        <v>67</v>
      </c>
      <c r="K617" t="s">
        <v>3</v>
      </c>
      <c r="L617" t="s">
        <v>4</v>
      </c>
      <c r="M617" t="s">
        <v>49</v>
      </c>
      <c r="N617" t="s">
        <v>2567</v>
      </c>
      <c r="O617" s="31" t="s">
        <v>2568</v>
      </c>
      <c r="P617">
        <v>220</v>
      </c>
      <c r="R617">
        <v>6</v>
      </c>
      <c r="S617" s="31">
        <v>450000</v>
      </c>
      <c r="T617" s="39">
        <v>480000</v>
      </c>
      <c r="U617">
        <v>79999.98</v>
      </c>
      <c r="V617">
        <v>48000</v>
      </c>
      <c r="W617">
        <v>0</v>
      </c>
      <c r="X617" s="39">
        <v>129280.02</v>
      </c>
      <c r="Y617">
        <v>0</v>
      </c>
      <c r="Z617" s="31">
        <v>352000.02</v>
      </c>
      <c r="AA617">
        <v>8</v>
      </c>
      <c r="AB617" s="3">
        <f t="shared" si="29"/>
        <v>352000.02</v>
      </c>
      <c r="AC617" t="str">
        <f>IF(AB617-S617&lt;0,"YES","NO")</f>
        <v>YES</v>
      </c>
      <c r="AD617">
        <f>IF(AC617="NO",0,AB617-S617)</f>
        <v>-97999.979999999981</v>
      </c>
      <c r="AE617" s="43">
        <v>0.08</v>
      </c>
      <c r="AF617" s="3">
        <f t="shared" si="30"/>
        <v>-90740.722222222204</v>
      </c>
      <c r="AG617" s="45">
        <f t="shared" si="31"/>
        <v>-99814.794444444429</v>
      </c>
      <c r="AH617" s="55"/>
    </row>
    <row r="618" spans="1:34" x14ac:dyDescent="0.25">
      <c r="A618" t="s">
        <v>2569</v>
      </c>
      <c r="B618" t="s">
        <v>2570</v>
      </c>
      <c r="C618" t="s">
        <v>2571</v>
      </c>
      <c r="D618" t="s">
        <v>2572</v>
      </c>
      <c r="E618" t="s">
        <v>2573</v>
      </c>
      <c r="F618" t="s">
        <v>2574</v>
      </c>
      <c r="G618" t="s">
        <v>5</v>
      </c>
      <c r="H618" t="s">
        <v>61</v>
      </c>
      <c r="I618" t="s">
        <v>84</v>
      </c>
      <c r="J618" t="s">
        <v>85</v>
      </c>
      <c r="K618" t="s">
        <v>3</v>
      </c>
      <c r="L618" t="s">
        <v>4</v>
      </c>
      <c r="M618" t="s">
        <v>49</v>
      </c>
      <c r="N618" t="s">
        <v>2575</v>
      </c>
      <c r="O618" s="31" t="s">
        <v>2576</v>
      </c>
      <c r="P618">
        <v>100</v>
      </c>
      <c r="Q618" t="s">
        <v>86</v>
      </c>
      <c r="R618">
        <v>1</v>
      </c>
      <c r="S618" s="31">
        <v>0</v>
      </c>
      <c r="T618" s="39">
        <v>0</v>
      </c>
      <c r="U618">
        <v>0</v>
      </c>
      <c r="V618">
        <v>0</v>
      </c>
      <c r="W618">
        <v>0</v>
      </c>
      <c r="X618" s="39">
        <v>0</v>
      </c>
      <c r="Y618">
        <v>0</v>
      </c>
      <c r="Z618" s="31">
        <v>0</v>
      </c>
      <c r="AA618">
        <v>8</v>
      </c>
      <c r="AB618" s="3">
        <f t="shared" si="29"/>
        <v>0</v>
      </c>
      <c r="AC618" t="str">
        <f>IF(AB618-S618&lt;0,"YES","NO")</f>
        <v>NO</v>
      </c>
      <c r="AD618">
        <f>IF(AC618="NO",0,AB618-S618)</f>
        <v>0</v>
      </c>
      <c r="AE618" s="43">
        <v>0.08</v>
      </c>
      <c r="AF618" s="3">
        <f t="shared" si="30"/>
        <v>0</v>
      </c>
      <c r="AG618" s="45">
        <f t="shared" si="31"/>
        <v>0</v>
      </c>
      <c r="AH618" s="55"/>
    </row>
    <row r="619" spans="1:34" x14ac:dyDescent="0.25">
      <c r="A619" t="s">
        <v>2569</v>
      </c>
      <c r="B619" t="s">
        <v>2570</v>
      </c>
      <c r="C619" t="s">
        <v>2571</v>
      </c>
      <c r="D619" t="s">
        <v>2572</v>
      </c>
      <c r="E619" t="s">
        <v>2573</v>
      </c>
      <c r="F619" t="s">
        <v>2574</v>
      </c>
      <c r="G619" t="s">
        <v>5</v>
      </c>
      <c r="H619" t="s">
        <v>61</v>
      </c>
      <c r="I619" t="s">
        <v>62</v>
      </c>
      <c r="J619" t="s">
        <v>63</v>
      </c>
      <c r="K619" t="s">
        <v>3</v>
      </c>
      <c r="L619" t="s">
        <v>4</v>
      </c>
      <c r="M619" t="s">
        <v>49</v>
      </c>
      <c r="N619" t="s">
        <v>2575</v>
      </c>
      <c r="O619" s="31" t="s">
        <v>2576</v>
      </c>
      <c r="P619">
        <v>20000</v>
      </c>
      <c r="Q619" t="s">
        <v>64</v>
      </c>
      <c r="R619">
        <v>1</v>
      </c>
      <c r="S619" s="31">
        <v>0</v>
      </c>
      <c r="T619" s="39">
        <v>0</v>
      </c>
      <c r="U619">
        <v>0</v>
      </c>
      <c r="V619">
        <v>0</v>
      </c>
      <c r="W619">
        <v>0</v>
      </c>
      <c r="X619" s="39">
        <v>0</v>
      </c>
      <c r="Y619">
        <v>0</v>
      </c>
      <c r="Z619" s="31">
        <v>0</v>
      </c>
      <c r="AA619">
        <v>8</v>
      </c>
      <c r="AB619" s="3">
        <f t="shared" si="29"/>
        <v>0</v>
      </c>
      <c r="AC619" t="str">
        <f>IF(AB619-S619&lt;0,"YES","NO")</f>
        <v>NO</v>
      </c>
      <c r="AD619">
        <f>IF(AC619="NO",0,AB619-S619)</f>
        <v>0</v>
      </c>
      <c r="AE619" s="43">
        <v>0.08</v>
      </c>
      <c r="AF619" s="3">
        <f t="shared" si="30"/>
        <v>0</v>
      </c>
      <c r="AG619" s="45">
        <f t="shared" si="31"/>
        <v>0</v>
      </c>
      <c r="AH619" s="55"/>
    </row>
    <row r="620" spans="1:34" x14ac:dyDescent="0.25">
      <c r="A620" t="s">
        <v>2569</v>
      </c>
      <c r="B620" t="s">
        <v>2570</v>
      </c>
      <c r="C620" t="s">
        <v>2571</v>
      </c>
      <c r="D620" t="s">
        <v>2572</v>
      </c>
      <c r="E620" t="s">
        <v>2573</v>
      </c>
      <c r="F620" t="s">
        <v>2574</v>
      </c>
      <c r="G620" t="s">
        <v>5</v>
      </c>
      <c r="H620" t="s">
        <v>65</v>
      </c>
      <c r="I620" t="s">
        <v>82</v>
      </c>
      <c r="J620" t="s">
        <v>83</v>
      </c>
      <c r="K620" t="s">
        <v>3</v>
      </c>
      <c r="L620" t="s">
        <v>4</v>
      </c>
      <c r="M620" t="s">
        <v>49</v>
      </c>
      <c r="N620" t="s">
        <v>2575</v>
      </c>
      <c r="O620" s="31" t="s">
        <v>2576</v>
      </c>
      <c r="P620">
        <v>220</v>
      </c>
      <c r="R620">
        <v>2</v>
      </c>
      <c r="S620" s="31">
        <v>150000</v>
      </c>
      <c r="T620" s="39">
        <v>160000</v>
      </c>
      <c r="U620">
        <v>0</v>
      </c>
      <c r="V620">
        <v>10000</v>
      </c>
      <c r="W620">
        <v>0</v>
      </c>
      <c r="X620" s="39">
        <v>12000</v>
      </c>
      <c r="Y620">
        <v>0</v>
      </c>
      <c r="Z620" s="31">
        <v>150000</v>
      </c>
      <c r="AA620">
        <v>8</v>
      </c>
      <c r="AB620" s="3">
        <f t="shared" si="29"/>
        <v>150000</v>
      </c>
      <c r="AC620" t="str">
        <f>IF(AB620-S620&lt;0,"YES","NO")</f>
        <v>NO</v>
      </c>
      <c r="AD620">
        <f>IF(AC620="NO",0,AB620-S620)</f>
        <v>0</v>
      </c>
      <c r="AE620" s="43">
        <v>0.08</v>
      </c>
      <c r="AF620" s="3">
        <f t="shared" si="30"/>
        <v>0</v>
      </c>
      <c r="AG620" s="45">
        <f t="shared" si="31"/>
        <v>0</v>
      </c>
      <c r="AH620" s="55"/>
    </row>
    <row r="621" spans="1:34" x14ac:dyDescent="0.25">
      <c r="A621" t="s">
        <v>2569</v>
      </c>
      <c r="B621" t="s">
        <v>2570</v>
      </c>
      <c r="C621" t="s">
        <v>2571</v>
      </c>
      <c r="D621" t="s">
        <v>2572</v>
      </c>
      <c r="E621" t="s">
        <v>2573</v>
      </c>
      <c r="F621" t="s">
        <v>2574</v>
      </c>
      <c r="G621" t="s">
        <v>5</v>
      </c>
      <c r="H621" t="s">
        <v>65</v>
      </c>
      <c r="I621" t="s">
        <v>87</v>
      </c>
      <c r="J621" t="s">
        <v>88</v>
      </c>
      <c r="K621" t="s">
        <v>3</v>
      </c>
      <c r="L621" t="s">
        <v>4</v>
      </c>
      <c r="M621" t="s">
        <v>49</v>
      </c>
      <c r="N621" t="s">
        <v>2575</v>
      </c>
      <c r="O621" s="31" t="s">
        <v>2576</v>
      </c>
      <c r="P621">
        <v>220</v>
      </c>
      <c r="Q621" t="s">
        <v>89</v>
      </c>
      <c r="R621">
        <v>3</v>
      </c>
      <c r="S621" s="31">
        <v>177000</v>
      </c>
      <c r="T621" s="39">
        <v>210000</v>
      </c>
      <c r="U621">
        <v>35000.01</v>
      </c>
      <c r="V621">
        <v>18000</v>
      </c>
      <c r="W621">
        <v>0</v>
      </c>
      <c r="X621" s="39">
        <v>47559.99</v>
      </c>
      <c r="Y621">
        <v>0</v>
      </c>
      <c r="Z621" s="31">
        <v>156999.99</v>
      </c>
      <c r="AA621">
        <v>8</v>
      </c>
      <c r="AB621" s="3">
        <f t="shared" si="29"/>
        <v>156999.99</v>
      </c>
      <c r="AC621" t="str">
        <f>IF(AB621-S621&lt;0,"YES","NO")</f>
        <v>YES</v>
      </c>
      <c r="AD621">
        <f>IF(AC621="NO",0,AB621-S621)</f>
        <v>-20000.010000000009</v>
      </c>
      <c r="AE621" s="43">
        <v>0.08</v>
      </c>
      <c r="AF621" s="3">
        <f t="shared" si="30"/>
        <v>-18518.527777777785</v>
      </c>
      <c r="AG621" s="45">
        <f t="shared" si="31"/>
        <v>-20370.380555555566</v>
      </c>
      <c r="AH621" s="55"/>
    </row>
    <row r="622" spans="1:34" x14ac:dyDescent="0.25">
      <c r="A622" t="s">
        <v>2577</v>
      </c>
      <c r="B622" t="s">
        <v>2578</v>
      </c>
      <c r="C622" t="s">
        <v>2579</v>
      </c>
      <c r="D622" t="s">
        <v>2580</v>
      </c>
      <c r="E622" t="s">
        <v>2581</v>
      </c>
      <c r="F622" t="s">
        <v>2582</v>
      </c>
      <c r="G622" t="s">
        <v>5</v>
      </c>
      <c r="H622" t="s">
        <v>65</v>
      </c>
      <c r="I622" t="s">
        <v>68</v>
      </c>
      <c r="J622" t="s">
        <v>69</v>
      </c>
      <c r="K622" t="s">
        <v>3</v>
      </c>
      <c r="L622" t="s">
        <v>4</v>
      </c>
      <c r="M622" t="s">
        <v>49</v>
      </c>
      <c r="N622" t="s">
        <v>2583</v>
      </c>
      <c r="O622" s="31" t="s">
        <v>2584</v>
      </c>
      <c r="P622">
        <v>220</v>
      </c>
      <c r="Q622" t="s">
        <v>70</v>
      </c>
      <c r="R622">
        <v>1</v>
      </c>
      <c r="S622" s="31">
        <v>59000</v>
      </c>
      <c r="T622" s="39">
        <v>65000</v>
      </c>
      <c r="U622">
        <v>11666.67</v>
      </c>
      <c r="V622">
        <v>5000</v>
      </c>
      <c r="W622">
        <v>0</v>
      </c>
      <c r="X622" s="39">
        <v>23333.33</v>
      </c>
      <c r="Y622">
        <v>0</v>
      </c>
      <c r="Z622" s="31">
        <v>48333.33</v>
      </c>
      <c r="AA622">
        <v>8</v>
      </c>
      <c r="AB622" s="3">
        <f t="shared" si="29"/>
        <v>48333.33</v>
      </c>
      <c r="AC622" t="str">
        <f>IF(AB622-S622&lt;0,"YES","NO")</f>
        <v>YES</v>
      </c>
      <c r="AD622">
        <f>IF(AC622="NO",0,AB622-S622)</f>
        <v>-10666.669999999998</v>
      </c>
      <c r="AE622" s="43">
        <v>0.08</v>
      </c>
      <c r="AF622" s="3">
        <f t="shared" si="30"/>
        <v>-9876.5462962962938</v>
      </c>
      <c r="AG622" s="45">
        <f t="shared" si="31"/>
        <v>-10864.200925925925</v>
      </c>
      <c r="AH622" s="55"/>
    </row>
    <row r="623" spans="1:34" x14ac:dyDescent="0.25">
      <c r="A623" t="s">
        <v>2577</v>
      </c>
      <c r="B623" t="s">
        <v>2578</v>
      </c>
      <c r="C623" t="s">
        <v>2579</v>
      </c>
      <c r="D623" t="s">
        <v>2580</v>
      </c>
      <c r="E623" t="s">
        <v>2581</v>
      </c>
      <c r="F623" t="s">
        <v>2582</v>
      </c>
      <c r="G623" t="s">
        <v>5</v>
      </c>
      <c r="H623" t="s">
        <v>65</v>
      </c>
      <c r="I623" t="s">
        <v>71</v>
      </c>
      <c r="J623" t="s">
        <v>72</v>
      </c>
      <c r="K623" t="s">
        <v>3</v>
      </c>
      <c r="L623" t="s">
        <v>4</v>
      </c>
      <c r="M623" t="s">
        <v>49</v>
      </c>
      <c r="N623" t="s">
        <v>2583</v>
      </c>
      <c r="O623" s="31" t="s">
        <v>2584</v>
      </c>
      <c r="P623">
        <v>220</v>
      </c>
      <c r="Q623" t="s">
        <v>70</v>
      </c>
      <c r="R623">
        <v>1</v>
      </c>
      <c r="S623" s="31">
        <v>59000</v>
      </c>
      <c r="T623" s="39">
        <v>65000</v>
      </c>
      <c r="U623">
        <v>11666.67</v>
      </c>
      <c r="V623">
        <v>5000</v>
      </c>
      <c r="W623">
        <v>0</v>
      </c>
      <c r="X623" s="39">
        <v>23333.33</v>
      </c>
      <c r="Y623">
        <v>0</v>
      </c>
      <c r="Z623" s="31">
        <v>48333.33</v>
      </c>
      <c r="AA623">
        <v>8</v>
      </c>
      <c r="AB623" s="3">
        <f t="shared" si="29"/>
        <v>48333.33</v>
      </c>
      <c r="AC623" t="str">
        <f>IF(AB623-S623&lt;0,"YES","NO")</f>
        <v>YES</v>
      </c>
      <c r="AD623">
        <f>IF(AC623="NO",0,AB623-S623)</f>
        <v>-10666.669999999998</v>
      </c>
      <c r="AE623" s="43">
        <v>0.08</v>
      </c>
      <c r="AF623" s="3">
        <f t="shared" si="30"/>
        <v>-9876.5462962962938</v>
      </c>
      <c r="AG623" s="45">
        <f t="shared" si="31"/>
        <v>-10864.200925925925</v>
      </c>
      <c r="AH623" s="55"/>
    </row>
    <row r="624" spans="1:34" x14ac:dyDescent="0.25">
      <c r="A624" t="s">
        <v>2577</v>
      </c>
      <c r="B624" t="s">
        <v>2578</v>
      </c>
      <c r="C624" t="s">
        <v>2579</v>
      </c>
      <c r="D624" t="s">
        <v>2580</v>
      </c>
      <c r="E624" t="s">
        <v>2581</v>
      </c>
      <c r="F624" t="s">
        <v>2582</v>
      </c>
      <c r="G624" t="s">
        <v>5</v>
      </c>
      <c r="H624" t="s">
        <v>65</v>
      </c>
      <c r="I624" t="s">
        <v>73</v>
      </c>
      <c r="J624" t="s">
        <v>74</v>
      </c>
      <c r="K624" t="s">
        <v>3</v>
      </c>
      <c r="L624" t="s">
        <v>4</v>
      </c>
      <c r="M624" t="s">
        <v>49</v>
      </c>
      <c r="N624" t="s">
        <v>2583</v>
      </c>
      <c r="O624" s="31" t="s">
        <v>2584</v>
      </c>
      <c r="P624">
        <v>220</v>
      </c>
      <c r="Q624" t="s">
        <v>70</v>
      </c>
      <c r="R624">
        <v>1</v>
      </c>
      <c r="S624" s="31">
        <v>59000</v>
      </c>
      <c r="T624" s="39">
        <v>65000</v>
      </c>
      <c r="U624">
        <v>11666.67</v>
      </c>
      <c r="V624">
        <v>5000</v>
      </c>
      <c r="W624">
        <v>0</v>
      </c>
      <c r="X624" s="39">
        <v>23333.33</v>
      </c>
      <c r="Y624">
        <v>0</v>
      </c>
      <c r="Z624" s="31">
        <v>48333.33</v>
      </c>
      <c r="AA624">
        <v>8</v>
      </c>
      <c r="AB624" s="3">
        <f t="shared" si="29"/>
        <v>48333.33</v>
      </c>
      <c r="AC624" t="str">
        <f>IF(AB624-S624&lt;0,"YES","NO")</f>
        <v>YES</v>
      </c>
      <c r="AD624">
        <f>IF(AC624="NO",0,AB624-S624)</f>
        <v>-10666.669999999998</v>
      </c>
      <c r="AE624" s="43">
        <v>0.08</v>
      </c>
      <c r="AF624" s="3">
        <f t="shared" si="30"/>
        <v>-9876.5462962962938</v>
      </c>
      <c r="AG624" s="45">
        <f t="shared" si="31"/>
        <v>-10864.200925925925</v>
      </c>
      <c r="AH624" s="55"/>
    </row>
    <row r="625" spans="1:34" x14ac:dyDescent="0.25">
      <c r="A625" t="s">
        <v>2585</v>
      </c>
      <c r="B625" t="s">
        <v>2586</v>
      </c>
      <c r="C625" t="s">
        <v>2587</v>
      </c>
      <c r="D625" t="s">
        <v>2588</v>
      </c>
      <c r="E625" t="s">
        <v>2589</v>
      </c>
      <c r="F625" t="s">
        <v>2590</v>
      </c>
      <c r="G625" t="s">
        <v>5</v>
      </c>
      <c r="H625" t="s">
        <v>65</v>
      </c>
      <c r="I625" t="s">
        <v>68</v>
      </c>
      <c r="J625" t="s">
        <v>69</v>
      </c>
      <c r="K625" t="s">
        <v>3</v>
      </c>
      <c r="L625" t="s">
        <v>4</v>
      </c>
      <c r="M625" t="s">
        <v>49</v>
      </c>
      <c r="N625" t="s">
        <v>2591</v>
      </c>
      <c r="O625" s="31" t="s">
        <v>2592</v>
      </c>
      <c r="P625">
        <v>220</v>
      </c>
      <c r="Q625" t="s">
        <v>70</v>
      </c>
      <c r="R625">
        <v>3</v>
      </c>
      <c r="S625" s="31">
        <v>177000</v>
      </c>
      <c r="T625" s="39">
        <v>195000</v>
      </c>
      <c r="U625">
        <v>35000.01</v>
      </c>
      <c r="V625">
        <v>19500</v>
      </c>
      <c r="W625">
        <v>0</v>
      </c>
      <c r="X625" s="39">
        <v>63099.99</v>
      </c>
      <c r="Y625">
        <v>0</v>
      </c>
      <c r="Z625" s="31">
        <v>140499.99</v>
      </c>
      <c r="AA625">
        <v>8</v>
      </c>
      <c r="AB625" s="3">
        <f t="shared" si="29"/>
        <v>140499.99</v>
      </c>
      <c r="AC625" t="str">
        <f>IF(AB625-S625&lt;0,"YES","NO")</f>
        <v>YES</v>
      </c>
      <c r="AD625">
        <f>IF(AC625="NO",0,AB625-S625)</f>
        <v>-36500.010000000009</v>
      </c>
      <c r="AE625" s="43">
        <v>0.08</v>
      </c>
      <c r="AF625" s="3">
        <f t="shared" si="30"/>
        <v>-33796.305555555562</v>
      </c>
      <c r="AG625" s="45">
        <f t="shared" si="31"/>
        <v>-37175.936111111121</v>
      </c>
      <c r="AH625" s="55"/>
    </row>
    <row r="626" spans="1:34" x14ac:dyDescent="0.25">
      <c r="A626" t="s">
        <v>2593</v>
      </c>
      <c r="B626" t="s">
        <v>2594</v>
      </c>
      <c r="C626" t="s">
        <v>2595</v>
      </c>
      <c r="D626" t="s">
        <v>2596</v>
      </c>
      <c r="E626" t="s">
        <v>2597</v>
      </c>
      <c r="F626" t="s">
        <v>2598</v>
      </c>
      <c r="G626" t="s">
        <v>5</v>
      </c>
      <c r="H626" t="s">
        <v>65</v>
      </c>
      <c r="I626" t="s">
        <v>66</v>
      </c>
      <c r="J626" t="s">
        <v>67</v>
      </c>
      <c r="K626" t="s">
        <v>3</v>
      </c>
      <c r="L626" t="s">
        <v>4</v>
      </c>
      <c r="M626" t="s">
        <v>49</v>
      </c>
      <c r="N626" t="s">
        <v>2599</v>
      </c>
      <c r="O626" s="31" t="s">
        <v>2600</v>
      </c>
      <c r="P626">
        <v>220</v>
      </c>
      <c r="R626">
        <v>3</v>
      </c>
      <c r="S626" s="31">
        <v>225000</v>
      </c>
      <c r="T626" s="39">
        <v>240000</v>
      </c>
      <c r="U626">
        <v>35000.01</v>
      </c>
      <c r="V626">
        <v>24000</v>
      </c>
      <c r="W626">
        <v>0</v>
      </c>
      <c r="X626" s="39">
        <v>50000.01</v>
      </c>
      <c r="Y626">
        <v>0</v>
      </c>
      <c r="Z626" s="31">
        <v>180999.99</v>
      </c>
      <c r="AA626">
        <v>8</v>
      </c>
      <c r="AB626" s="3">
        <f t="shared" si="29"/>
        <v>180999.99</v>
      </c>
      <c r="AC626" t="str">
        <f>IF(AB626-S626&lt;0,"YES","NO")</f>
        <v>YES</v>
      </c>
      <c r="AD626">
        <f>IF(AC626="NO",0,AB626-S626)</f>
        <v>-44000.010000000009</v>
      </c>
      <c r="AE626" s="43">
        <v>0.08</v>
      </c>
      <c r="AF626" s="3">
        <f t="shared" si="30"/>
        <v>-40740.750000000007</v>
      </c>
      <c r="AG626" s="45">
        <f t="shared" si="31"/>
        <v>-44814.825000000012</v>
      </c>
      <c r="AH626" s="55"/>
    </row>
    <row r="627" spans="1:34" x14ac:dyDescent="0.25">
      <c r="A627" t="s">
        <v>2601</v>
      </c>
      <c r="B627" t="s">
        <v>2602</v>
      </c>
      <c r="C627" t="s">
        <v>2603</v>
      </c>
      <c r="D627" t="s">
        <v>2604</v>
      </c>
      <c r="E627" t="s">
        <v>2605</v>
      </c>
      <c r="F627" t="s">
        <v>2606</v>
      </c>
      <c r="G627" t="s">
        <v>5</v>
      </c>
      <c r="H627" t="s">
        <v>65</v>
      </c>
      <c r="I627" t="s">
        <v>73</v>
      </c>
      <c r="J627" t="s">
        <v>74</v>
      </c>
      <c r="K627" t="s">
        <v>3</v>
      </c>
      <c r="L627" t="s">
        <v>4</v>
      </c>
      <c r="M627" t="s">
        <v>49</v>
      </c>
      <c r="N627" t="s">
        <v>2607</v>
      </c>
      <c r="O627" s="31" t="s">
        <v>2608</v>
      </c>
      <c r="P627">
        <v>220</v>
      </c>
      <c r="Q627" t="s">
        <v>70</v>
      </c>
      <c r="R627">
        <v>2</v>
      </c>
      <c r="S627" s="31">
        <v>118000</v>
      </c>
      <c r="T627" s="39">
        <v>130000</v>
      </c>
      <c r="U627">
        <v>0</v>
      </c>
      <c r="V627">
        <v>12000</v>
      </c>
      <c r="W627">
        <v>0</v>
      </c>
      <c r="X627" s="39">
        <v>0</v>
      </c>
      <c r="Y627">
        <v>0</v>
      </c>
      <c r="Z627" s="31">
        <v>118000</v>
      </c>
      <c r="AA627">
        <v>8</v>
      </c>
      <c r="AB627" s="3">
        <f t="shared" si="29"/>
        <v>118000</v>
      </c>
      <c r="AC627" t="str">
        <f>IF(AB627-S627&lt;0,"YES","NO")</f>
        <v>NO</v>
      </c>
      <c r="AD627">
        <f>IF(AC627="NO",0,AB627-S627)</f>
        <v>0</v>
      </c>
      <c r="AE627" s="43">
        <v>0.08</v>
      </c>
      <c r="AF627" s="3">
        <f t="shared" si="30"/>
        <v>0</v>
      </c>
      <c r="AG627" s="45">
        <f t="shared" si="31"/>
        <v>0</v>
      </c>
      <c r="AH627" s="55"/>
    </row>
    <row r="628" spans="1:34" x14ac:dyDescent="0.25">
      <c r="A628" t="s">
        <v>2601</v>
      </c>
      <c r="B628" t="s">
        <v>2602</v>
      </c>
      <c r="C628" t="s">
        <v>2603</v>
      </c>
      <c r="D628" t="s">
        <v>2604</v>
      </c>
      <c r="E628" t="s">
        <v>2605</v>
      </c>
      <c r="F628" t="s">
        <v>2606</v>
      </c>
      <c r="G628" t="s">
        <v>5</v>
      </c>
      <c r="H628" t="s">
        <v>65</v>
      </c>
      <c r="I628" t="s">
        <v>66</v>
      </c>
      <c r="J628" t="s">
        <v>67</v>
      </c>
      <c r="K628" t="s">
        <v>3</v>
      </c>
      <c r="L628" t="s">
        <v>4</v>
      </c>
      <c r="M628" t="s">
        <v>49</v>
      </c>
      <c r="N628" t="s">
        <v>2607</v>
      </c>
      <c r="O628" s="31" t="s">
        <v>2608</v>
      </c>
      <c r="P628">
        <v>220</v>
      </c>
      <c r="R628">
        <v>6</v>
      </c>
      <c r="S628" s="31">
        <v>450000</v>
      </c>
      <c r="T628" s="39">
        <v>480000</v>
      </c>
      <c r="U628">
        <v>75000</v>
      </c>
      <c r="V628">
        <v>48000</v>
      </c>
      <c r="W628">
        <v>0</v>
      </c>
      <c r="X628" s="39">
        <v>75000</v>
      </c>
      <c r="Y628">
        <v>0</v>
      </c>
      <c r="Z628" s="31">
        <v>357000</v>
      </c>
      <c r="AA628">
        <v>8</v>
      </c>
      <c r="AB628" s="3">
        <f t="shared" si="29"/>
        <v>357000</v>
      </c>
      <c r="AC628" t="str">
        <f>IF(AB628-S628&lt;0,"YES","NO")</f>
        <v>YES</v>
      </c>
      <c r="AD628">
        <f>IF(AC628="NO",0,AB628-S628)</f>
        <v>-93000</v>
      </c>
      <c r="AE628" s="43">
        <v>0.08</v>
      </c>
      <c r="AF628" s="3">
        <f t="shared" si="30"/>
        <v>-86111.111111111109</v>
      </c>
      <c r="AG628" s="45">
        <f t="shared" si="31"/>
        <v>-94722.222222222234</v>
      </c>
      <c r="AH628" s="55"/>
    </row>
    <row r="629" spans="1:34" x14ac:dyDescent="0.25">
      <c r="A629" t="s">
        <v>2609</v>
      </c>
      <c r="B629" t="s">
        <v>2610</v>
      </c>
      <c r="C629" t="s">
        <v>2611</v>
      </c>
      <c r="D629" t="s">
        <v>2612</v>
      </c>
      <c r="E629" t="s">
        <v>2613</v>
      </c>
      <c r="F629" t="s">
        <v>2614</v>
      </c>
      <c r="G629" t="s">
        <v>5</v>
      </c>
      <c r="H629" t="s">
        <v>65</v>
      </c>
      <c r="I629" t="s">
        <v>68</v>
      </c>
      <c r="J629" t="s">
        <v>69</v>
      </c>
      <c r="K629" t="s">
        <v>3</v>
      </c>
      <c r="L629" t="s">
        <v>4</v>
      </c>
      <c r="M629" t="s">
        <v>49</v>
      </c>
      <c r="N629" t="s">
        <v>2615</v>
      </c>
      <c r="O629" s="31" t="s">
        <v>2616</v>
      </c>
      <c r="P629">
        <v>220</v>
      </c>
      <c r="Q629" t="s">
        <v>70</v>
      </c>
      <c r="R629">
        <v>1</v>
      </c>
      <c r="S629" s="31">
        <v>59000</v>
      </c>
      <c r="T629" s="39">
        <v>65000</v>
      </c>
      <c r="U629">
        <v>11666.67</v>
      </c>
      <c r="V629">
        <v>5000</v>
      </c>
      <c r="W629">
        <v>0</v>
      </c>
      <c r="X629" s="39">
        <v>21333.33</v>
      </c>
      <c r="Y629">
        <v>0</v>
      </c>
      <c r="Z629" s="31">
        <v>48333.33</v>
      </c>
      <c r="AA629">
        <v>8</v>
      </c>
      <c r="AB629" s="3">
        <f t="shared" si="29"/>
        <v>48333.33</v>
      </c>
      <c r="AC629" t="str">
        <f>IF(AB629-S629&lt;0,"YES","NO")</f>
        <v>YES</v>
      </c>
      <c r="AD629">
        <f>IF(AC629="NO",0,AB629-S629)</f>
        <v>-10666.669999999998</v>
      </c>
      <c r="AE629" s="43">
        <v>0.08</v>
      </c>
      <c r="AF629" s="3">
        <f t="shared" si="30"/>
        <v>-9876.5462962962938</v>
      </c>
      <c r="AG629" s="45">
        <f t="shared" si="31"/>
        <v>-10864.200925925925</v>
      </c>
      <c r="AH629" s="55"/>
    </row>
    <row r="630" spans="1:34" x14ac:dyDescent="0.25">
      <c r="A630" t="s">
        <v>2609</v>
      </c>
      <c r="B630" t="s">
        <v>2610</v>
      </c>
      <c r="C630" t="s">
        <v>2611</v>
      </c>
      <c r="D630" t="s">
        <v>2612</v>
      </c>
      <c r="E630" t="s">
        <v>2613</v>
      </c>
      <c r="F630" t="s">
        <v>2614</v>
      </c>
      <c r="G630" t="s">
        <v>5</v>
      </c>
      <c r="H630" t="s">
        <v>65</v>
      </c>
      <c r="I630" t="s">
        <v>71</v>
      </c>
      <c r="J630" t="s">
        <v>72</v>
      </c>
      <c r="K630" t="s">
        <v>3</v>
      </c>
      <c r="L630" t="s">
        <v>4</v>
      </c>
      <c r="M630" t="s">
        <v>49</v>
      </c>
      <c r="N630" t="s">
        <v>2615</v>
      </c>
      <c r="O630" s="31" t="s">
        <v>2616</v>
      </c>
      <c r="P630">
        <v>220</v>
      </c>
      <c r="Q630" t="s">
        <v>70</v>
      </c>
      <c r="R630">
        <v>1</v>
      </c>
      <c r="S630" s="31">
        <v>59000</v>
      </c>
      <c r="T630" s="39">
        <v>65000</v>
      </c>
      <c r="U630">
        <v>11666.67</v>
      </c>
      <c r="V630">
        <v>5000</v>
      </c>
      <c r="W630">
        <v>0</v>
      </c>
      <c r="X630" s="39">
        <v>21333.33</v>
      </c>
      <c r="Y630">
        <v>0</v>
      </c>
      <c r="Z630" s="31">
        <v>48333.33</v>
      </c>
      <c r="AA630">
        <v>8</v>
      </c>
      <c r="AB630" s="3">
        <f t="shared" si="29"/>
        <v>48333.33</v>
      </c>
      <c r="AC630" t="str">
        <f>IF(AB630-S630&lt;0,"YES","NO")</f>
        <v>YES</v>
      </c>
      <c r="AD630">
        <f>IF(AC630="NO",0,AB630-S630)</f>
        <v>-10666.669999999998</v>
      </c>
      <c r="AE630" s="43">
        <v>0.08</v>
      </c>
      <c r="AF630" s="3">
        <f t="shared" si="30"/>
        <v>-9876.5462962962938</v>
      </c>
      <c r="AG630" s="45">
        <f t="shared" si="31"/>
        <v>-10864.200925925925</v>
      </c>
      <c r="AH630" s="55"/>
    </row>
    <row r="631" spans="1:34" x14ac:dyDescent="0.25">
      <c r="A631" t="s">
        <v>2609</v>
      </c>
      <c r="B631" t="s">
        <v>2610</v>
      </c>
      <c r="C631" t="s">
        <v>2611</v>
      </c>
      <c r="D631" t="s">
        <v>2612</v>
      </c>
      <c r="E631" t="s">
        <v>2613</v>
      </c>
      <c r="F631" t="s">
        <v>2614</v>
      </c>
      <c r="G631" t="s">
        <v>5</v>
      </c>
      <c r="H631" t="s">
        <v>65</v>
      </c>
      <c r="I631" t="s">
        <v>73</v>
      </c>
      <c r="J631" t="s">
        <v>74</v>
      </c>
      <c r="K631" t="s">
        <v>3</v>
      </c>
      <c r="L631" t="s">
        <v>4</v>
      </c>
      <c r="M631" t="s">
        <v>49</v>
      </c>
      <c r="N631" t="s">
        <v>2615</v>
      </c>
      <c r="O631" s="31" t="s">
        <v>2616</v>
      </c>
      <c r="P631">
        <v>220</v>
      </c>
      <c r="Q631" t="s">
        <v>70</v>
      </c>
      <c r="R631">
        <v>1</v>
      </c>
      <c r="S631" s="31">
        <v>59000</v>
      </c>
      <c r="T631" s="39">
        <v>65000</v>
      </c>
      <c r="U631">
        <v>11666.67</v>
      </c>
      <c r="V631">
        <v>5000</v>
      </c>
      <c r="W631">
        <v>0</v>
      </c>
      <c r="X631" s="39">
        <v>21333.33</v>
      </c>
      <c r="Y631">
        <v>0</v>
      </c>
      <c r="Z631" s="31">
        <v>48333.33</v>
      </c>
      <c r="AA631">
        <v>8</v>
      </c>
      <c r="AB631" s="3">
        <f t="shared" si="29"/>
        <v>48333.33</v>
      </c>
      <c r="AC631" t="str">
        <f>IF(AB631-S631&lt;0,"YES","NO")</f>
        <v>YES</v>
      </c>
      <c r="AD631">
        <f>IF(AC631="NO",0,AB631-S631)</f>
        <v>-10666.669999999998</v>
      </c>
      <c r="AE631" s="43">
        <v>0.08</v>
      </c>
      <c r="AF631" s="3">
        <f t="shared" si="30"/>
        <v>-9876.5462962962938</v>
      </c>
      <c r="AG631" s="45">
        <f t="shared" si="31"/>
        <v>-10864.200925925925</v>
      </c>
      <c r="AH631" s="55"/>
    </row>
    <row r="632" spans="1:34" x14ac:dyDescent="0.25">
      <c r="A632" t="s">
        <v>2617</v>
      </c>
      <c r="B632" t="s">
        <v>2618</v>
      </c>
      <c r="C632" t="s">
        <v>2619</v>
      </c>
      <c r="D632" t="s">
        <v>2620</v>
      </c>
      <c r="E632" t="s">
        <v>2621</v>
      </c>
      <c r="F632" t="s">
        <v>2622</v>
      </c>
      <c r="G632" t="s">
        <v>5</v>
      </c>
      <c r="H632" t="s">
        <v>61</v>
      </c>
      <c r="I632" t="s">
        <v>62</v>
      </c>
      <c r="J632" t="s">
        <v>63</v>
      </c>
      <c r="K632" t="s">
        <v>3</v>
      </c>
      <c r="L632" t="s">
        <v>4</v>
      </c>
      <c r="M632" t="s">
        <v>49</v>
      </c>
      <c r="N632" t="s">
        <v>2623</v>
      </c>
      <c r="O632" s="31" t="s">
        <v>2624</v>
      </c>
      <c r="P632">
        <v>20000</v>
      </c>
      <c r="Q632" t="s">
        <v>64</v>
      </c>
      <c r="R632">
        <v>1</v>
      </c>
      <c r="S632" s="31">
        <v>0</v>
      </c>
      <c r="T632" s="39">
        <v>0</v>
      </c>
      <c r="U632">
        <v>0</v>
      </c>
      <c r="V632">
        <v>0</v>
      </c>
      <c r="W632">
        <v>0</v>
      </c>
      <c r="X632" s="39">
        <v>0</v>
      </c>
      <c r="Y632">
        <v>0</v>
      </c>
      <c r="Z632" s="31">
        <v>0</v>
      </c>
      <c r="AA632">
        <v>8</v>
      </c>
      <c r="AB632" s="3">
        <f t="shared" si="29"/>
        <v>0</v>
      </c>
      <c r="AC632" t="str">
        <f>IF(AB632-S632&lt;0,"YES","NO")</f>
        <v>NO</v>
      </c>
      <c r="AD632">
        <f>IF(AC632="NO",0,AB632-S632)</f>
        <v>0</v>
      </c>
      <c r="AE632" s="43">
        <v>0.08</v>
      </c>
      <c r="AF632" s="3">
        <f t="shared" si="30"/>
        <v>0</v>
      </c>
      <c r="AG632" s="45">
        <f t="shared" si="31"/>
        <v>0</v>
      </c>
      <c r="AH632" s="55"/>
    </row>
    <row r="633" spans="1:34" x14ac:dyDescent="0.25">
      <c r="A633" t="s">
        <v>2617</v>
      </c>
      <c r="B633" t="s">
        <v>2618</v>
      </c>
      <c r="C633" t="s">
        <v>2619</v>
      </c>
      <c r="D633" t="s">
        <v>2620</v>
      </c>
      <c r="E633" t="s">
        <v>2621</v>
      </c>
      <c r="F633" t="s">
        <v>2622</v>
      </c>
      <c r="G633" t="s">
        <v>5</v>
      </c>
      <c r="H633" t="s">
        <v>61</v>
      </c>
      <c r="I633" t="s">
        <v>84</v>
      </c>
      <c r="J633" t="s">
        <v>85</v>
      </c>
      <c r="K633" t="s">
        <v>3</v>
      </c>
      <c r="L633" t="s">
        <v>4</v>
      </c>
      <c r="M633" t="s">
        <v>49</v>
      </c>
      <c r="N633" t="s">
        <v>2623</v>
      </c>
      <c r="O633" s="31" t="s">
        <v>2624</v>
      </c>
      <c r="P633">
        <v>100</v>
      </c>
      <c r="Q633" t="s">
        <v>86</v>
      </c>
      <c r="R633">
        <v>1</v>
      </c>
      <c r="S633" s="31">
        <v>0</v>
      </c>
      <c r="T633" s="39">
        <v>0</v>
      </c>
      <c r="U633">
        <v>0</v>
      </c>
      <c r="V633">
        <v>0</v>
      </c>
      <c r="W633">
        <v>0</v>
      </c>
      <c r="X633" s="39">
        <v>0</v>
      </c>
      <c r="Y633">
        <v>0</v>
      </c>
      <c r="Z633" s="31">
        <v>0</v>
      </c>
      <c r="AA633">
        <v>8</v>
      </c>
      <c r="AB633" s="3">
        <f t="shared" si="29"/>
        <v>0</v>
      </c>
      <c r="AC633" t="str">
        <f>IF(AB633-S633&lt;0,"YES","NO")</f>
        <v>NO</v>
      </c>
      <c r="AD633">
        <f>IF(AC633="NO",0,AB633-S633)</f>
        <v>0</v>
      </c>
      <c r="AE633" s="43">
        <v>0.08</v>
      </c>
      <c r="AF633" s="3">
        <f t="shared" si="30"/>
        <v>0</v>
      </c>
      <c r="AG633" s="45">
        <f t="shared" si="31"/>
        <v>0</v>
      </c>
      <c r="AH633" s="55"/>
    </row>
    <row r="634" spans="1:34" x14ac:dyDescent="0.25">
      <c r="A634" t="s">
        <v>2617</v>
      </c>
      <c r="B634" t="s">
        <v>2618</v>
      </c>
      <c r="C634" t="s">
        <v>2619</v>
      </c>
      <c r="D634" t="s">
        <v>2620</v>
      </c>
      <c r="E634" t="s">
        <v>2621</v>
      </c>
      <c r="F634" t="s">
        <v>2622</v>
      </c>
      <c r="G634" t="s">
        <v>5</v>
      </c>
      <c r="H634" t="s">
        <v>65</v>
      </c>
      <c r="I634" t="s">
        <v>90</v>
      </c>
      <c r="J634" t="s">
        <v>91</v>
      </c>
      <c r="K634" t="s">
        <v>3</v>
      </c>
      <c r="L634" t="s">
        <v>4</v>
      </c>
      <c r="M634" t="s">
        <v>49</v>
      </c>
      <c r="N634" t="s">
        <v>2623</v>
      </c>
      <c r="O634" s="31" t="s">
        <v>2624</v>
      </c>
      <c r="P634">
        <v>220</v>
      </c>
      <c r="Q634" t="s">
        <v>92</v>
      </c>
      <c r="R634">
        <v>2</v>
      </c>
      <c r="S634" s="31">
        <v>118000</v>
      </c>
      <c r="T634" s="39">
        <v>140000</v>
      </c>
      <c r="U634">
        <v>9372</v>
      </c>
      <c r="V634">
        <v>13000</v>
      </c>
      <c r="W634">
        <v>0</v>
      </c>
      <c r="X634" s="39">
        <v>30545</v>
      </c>
      <c r="Y634">
        <v>0</v>
      </c>
      <c r="Z634" s="31">
        <v>117628</v>
      </c>
      <c r="AA634">
        <v>8</v>
      </c>
      <c r="AB634" s="3">
        <f t="shared" si="29"/>
        <v>117628</v>
      </c>
      <c r="AC634" t="str">
        <f>IF(AB634-S634&lt;0,"YES","NO")</f>
        <v>YES</v>
      </c>
      <c r="AD634">
        <f>IF(AC634="NO",0,AB634-S634)</f>
        <v>-372</v>
      </c>
      <c r="AE634" s="43">
        <v>0.08</v>
      </c>
      <c r="AF634" s="3">
        <f t="shared" si="30"/>
        <v>-344.4444444444444</v>
      </c>
      <c r="AG634" s="45">
        <f t="shared" si="31"/>
        <v>-378.88888888888886</v>
      </c>
      <c r="AH634" s="55"/>
    </row>
    <row r="635" spans="1:34" x14ac:dyDescent="0.25">
      <c r="A635" t="s">
        <v>2617</v>
      </c>
      <c r="B635" t="s">
        <v>2618</v>
      </c>
      <c r="C635" t="s">
        <v>2619</v>
      </c>
      <c r="D635" t="s">
        <v>2620</v>
      </c>
      <c r="E635" t="s">
        <v>2621</v>
      </c>
      <c r="F635" t="s">
        <v>2622</v>
      </c>
      <c r="G635" t="s">
        <v>5</v>
      </c>
      <c r="H635" t="s">
        <v>65</v>
      </c>
      <c r="I635" t="s">
        <v>66</v>
      </c>
      <c r="J635" t="s">
        <v>67</v>
      </c>
      <c r="K635" t="s">
        <v>3</v>
      </c>
      <c r="L635" t="s">
        <v>4</v>
      </c>
      <c r="M635" t="s">
        <v>49</v>
      </c>
      <c r="N635" t="s">
        <v>2623</v>
      </c>
      <c r="O635" s="31" t="s">
        <v>2624</v>
      </c>
      <c r="P635">
        <v>220</v>
      </c>
      <c r="R635">
        <v>2</v>
      </c>
      <c r="S635" s="31">
        <v>150000</v>
      </c>
      <c r="T635" s="39">
        <v>160000</v>
      </c>
      <c r="U635">
        <v>10628</v>
      </c>
      <c r="V635">
        <v>16000</v>
      </c>
      <c r="W635">
        <v>0</v>
      </c>
      <c r="X635" s="39">
        <v>34635</v>
      </c>
      <c r="Y635">
        <v>0</v>
      </c>
      <c r="Z635" s="31">
        <v>133372</v>
      </c>
      <c r="AA635">
        <v>8</v>
      </c>
      <c r="AB635" s="3">
        <f t="shared" si="29"/>
        <v>133372</v>
      </c>
      <c r="AC635" t="str">
        <f>IF(AB635-S635&lt;0,"YES","NO")</f>
        <v>YES</v>
      </c>
      <c r="AD635">
        <f>IF(AC635="NO",0,AB635-S635)</f>
        <v>-16628</v>
      </c>
      <c r="AE635" s="43">
        <v>0.08</v>
      </c>
      <c r="AF635" s="3">
        <f t="shared" si="30"/>
        <v>-15396.296296296296</v>
      </c>
      <c r="AG635" s="45">
        <f t="shared" si="31"/>
        <v>-16935.925925925927</v>
      </c>
      <c r="AH635" s="55"/>
    </row>
    <row r="636" spans="1:34" x14ac:dyDescent="0.25">
      <c r="A636" t="s">
        <v>2625</v>
      </c>
      <c r="B636" t="s">
        <v>2626</v>
      </c>
      <c r="C636" t="s">
        <v>2627</v>
      </c>
      <c r="D636" t="s">
        <v>2628</v>
      </c>
      <c r="E636" t="s">
        <v>2629</v>
      </c>
      <c r="F636" t="s">
        <v>2630</v>
      </c>
      <c r="G636" t="s">
        <v>5</v>
      </c>
      <c r="H636" t="s">
        <v>61</v>
      </c>
      <c r="I636" t="s">
        <v>84</v>
      </c>
      <c r="J636" t="s">
        <v>85</v>
      </c>
      <c r="K636" t="s">
        <v>3</v>
      </c>
      <c r="L636" t="s">
        <v>4</v>
      </c>
      <c r="M636" t="s">
        <v>49</v>
      </c>
      <c r="N636" t="s">
        <v>2631</v>
      </c>
      <c r="O636" s="31" t="s">
        <v>2632</v>
      </c>
      <c r="P636">
        <v>100</v>
      </c>
      <c r="Q636" t="s">
        <v>86</v>
      </c>
      <c r="R636">
        <v>1</v>
      </c>
      <c r="S636" s="31">
        <v>0</v>
      </c>
      <c r="T636" s="39">
        <v>0</v>
      </c>
      <c r="U636">
        <v>0</v>
      </c>
      <c r="V636">
        <v>0</v>
      </c>
      <c r="W636">
        <v>0</v>
      </c>
      <c r="X636" s="39">
        <v>0</v>
      </c>
      <c r="Y636">
        <v>0</v>
      </c>
      <c r="Z636" s="31">
        <v>0</v>
      </c>
      <c r="AA636">
        <v>8</v>
      </c>
      <c r="AB636" s="3">
        <f t="shared" si="29"/>
        <v>0</v>
      </c>
      <c r="AC636" t="str">
        <f>IF(AB636-S636&lt;0,"YES","NO")</f>
        <v>NO</v>
      </c>
      <c r="AD636">
        <f>IF(AC636="NO",0,AB636-S636)</f>
        <v>0</v>
      </c>
      <c r="AE636" s="43">
        <v>0.08</v>
      </c>
      <c r="AF636" s="3">
        <f t="shared" si="30"/>
        <v>0</v>
      </c>
      <c r="AG636" s="45">
        <f t="shared" si="31"/>
        <v>0</v>
      </c>
      <c r="AH636" s="55"/>
    </row>
    <row r="637" spans="1:34" x14ac:dyDescent="0.25">
      <c r="A637" t="s">
        <v>2625</v>
      </c>
      <c r="B637" t="s">
        <v>2626</v>
      </c>
      <c r="C637" t="s">
        <v>2627</v>
      </c>
      <c r="D637" t="s">
        <v>2628</v>
      </c>
      <c r="E637" t="s">
        <v>2629</v>
      </c>
      <c r="F637" t="s">
        <v>2630</v>
      </c>
      <c r="G637" t="s">
        <v>5</v>
      </c>
      <c r="H637" t="s">
        <v>65</v>
      </c>
      <c r="I637" t="s">
        <v>66</v>
      </c>
      <c r="J637" t="s">
        <v>67</v>
      </c>
      <c r="K637" t="s">
        <v>3</v>
      </c>
      <c r="L637" t="s">
        <v>4</v>
      </c>
      <c r="M637" t="s">
        <v>49</v>
      </c>
      <c r="N637" t="s">
        <v>2631</v>
      </c>
      <c r="O637" s="31" t="s">
        <v>2632</v>
      </c>
      <c r="P637">
        <v>220</v>
      </c>
      <c r="R637">
        <v>2</v>
      </c>
      <c r="S637" s="31">
        <v>150000</v>
      </c>
      <c r="T637" s="39">
        <v>160000</v>
      </c>
      <c r="U637">
        <v>20000</v>
      </c>
      <c r="V637">
        <v>16000</v>
      </c>
      <c r="W637">
        <v>0</v>
      </c>
      <c r="X637" s="39">
        <v>20000</v>
      </c>
      <c r="Y637">
        <v>0</v>
      </c>
      <c r="Z637" s="31">
        <v>124000</v>
      </c>
      <c r="AA637">
        <v>8</v>
      </c>
      <c r="AB637" s="3">
        <f t="shared" si="29"/>
        <v>124000</v>
      </c>
      <c r="AC637" t="str">
        <f>IF(AB637-S637&lt;0,"YES","NO")</f>
        <v>YES</v>
      </c>
      <c r="AD637">
        <f>IF(AC637="NO",0,AB637-S637)</f>
        <v>-26000</v>
      </c>
      <c r="AE637" s="43">
        <v>0.08</v>
      </c>
      <c r="AF637" s="3">
        <f t="shared" si="30"/>
        <v>-24074.074074074073</v>
      </c>
      <c r="AG637" s="45">
        <f t="shared" si="31"/>
        <v>-26481.481481481482</v>
      </c>
      <c r="AH637" s="55"/>
    </row>
    <row r="638" spans="1:34" x14ac:dyDescent="0.25">
      <c r="A638" t="s">
        <v>2633</v>
      </c>
      <c r="B638" t="s">
        <v>2634</v>
      </c>
      <c r="C638" t="s">
        <v>2635</v>
      </c>
      <c r="D638" t="s">
        <v>2636</v>
      </c>
      <c r="E638" t="s">
        <v>2637</v>
      </c>
      <c r="F638" t="s">
        <v>2638</v>
      </c>
      <c r="G638" t="s">
        <v>5</v>
      </c>
      <c r="H638" t="s">
        <v>61</v>
      </c>
      <c r="I638" t="s">
        <v>62</v>
      </c>
      <c r="J638" t="s">
        <v>63</v>
      </c>
      <c r="K638" t="s">
        <v>3</v>
      </c>
      <c r="L638" t="s">
        <v>4</v>
      </c>
      <c r="M638" t="s">
        <v>49</v>
      </c>
      <c r="N638" t="s">
        <v>2639</v>
      </c>
      <c r="O638" s="31" t="s">
        <v>2640</v>
      </c>
      <c r="P638">
        <v>20000</v>
      </c>
      <c r="Q638" t="s">
        <v>64</v>
      </c>
      <c r="R638">
        <v>1</v>
      </c>
      <c r="S638" s="31">
        <v>0</v>
      </c>
      <c r="T638" s="39">
        <v>0</v>
      </c>
      <c r="U638">
        <v>0</v>
      </c>
      <c r="V638">
        <v>0</v>
      </c>
      <c r="W638">
        <v>0</v>
      </c>
      <c r="X638" s="39">
        <v>0</v>
      </c>
      <c r="Y638">
        <v>0</v>
      </c>
      <c r="Z638" s="31">
        <v>0</v>
      </c>
      <c r="AA638">
        <v>8</v>
      </c>
      <c r="AB638" s="3">
        <f t="shared" si="29"/>
        <v>0</v>
      </c>
      <c r="AC638" t="str">
        <f>IF(AB638-S638&lt;0,"YES","NO")</f>
        <v>NO</v>
      </c>
      <c r="AD638">
        <f>IF(AC638="NO",0,AB638-S638)</f>
        <v>0</v>
      </c>
      <c r="AE638" s="43">
        <v>0.08</v>
      </c>
      <c r="AF638" s="3">
        <f t="shared" si="30"/>
        <v>0</v>
      </c>
      <c r="AG638" s="45">
        <f t="shared" si="31"/>
        <v>0</v>
      </c>
      <c r="AH638" s="55"/>
    </row>
    <row r="639" spans="1:34" x14ac:dyDescent="0.25">
      <c r="A639" t="s">
        <v>2633</v>
      </c>
      <c r="B639" t="s">
        <v>2634</v>
      </c>
      <c r="C639" t="s">
        <v>2635</v>
      </c>
      <c r="D639" t="s">
        <v>2636</v>
      </c>
      <c r="E639" t="s">
        <v>2637</v>
      </c>
      <c r="F639" t="s">
        <v>2638</v>
      </c>
      <c r="G639" t="s">
        <v>5</v>
      </c>
      <c r="H639" t="s">
        <v>61</v>
      </c>
      <c r="I639" t="s">
        <v>84</v>
      </c>
      <c r="J639" t="s">
        <v>85</v>
      </c>
      <c r="K639" t="s">
        <v>3</v>
      </c>
      <c r="L639" t="s">
        <v>4</v>
      </c>
      <c r="M639" t="s">
        <v>49</v>
      </c>
      <c r="N639" t="s">
        <v>2639</v>
      </c>
      <c r="O639" s="31" t="s">
        <v>2640</v>
      </c>
      <c r="P639">
        <v>100</v>
      </c>
      <c r="Q639" t="s">
        <v>86</v>
      </c>
      <c r="R639">
        <v>1</v>
      </c>
      <c r="S639" s="31">
        <v>0</v>
      </c>
      <c r="T639" s="39">
        <v>0</v>
      </c>
      <c r="U639">
        <v>0</v>
      </c>
      <c r="V639">
        <v>0</v>
      </c>
      <c r="W639">
        <v>0</v>
      </c>
      <c r="X639" s="39">
        <v>0</v>
      </c>
      <c r="Y639">
        <v>0</v>
      </c>
      <c r="Z639" s="31">
        <v>0</v>
      </c>
      <c r="AA639">
        <v>8</v>
      </c>
      <c r="AB639" s="3">
        <f t="shared" si="29"/>
        <v>0</v>
      </c>
      <c r="AC639" t="str">
        <f>IF(AB639-S639&lt;0,"YES","NO")</f>
        <v>NO</v>
      </c>
      <c r="AD639">
        <f>IF(AC639="NO",0,AB639-S639)</f>
        <v>0</v>
      </c>
      <c r="AE639" s="43">
        <v>0.08</v>
      </c>
      <c r="AF639" s="3">
        <f t="shared" si="30"/>
        <v>0</v>
      </c>
      <c r="AG639" s="45">
        <f t="shared" si="31"/>
        <v>0</v>
      </c>
      <c r="AH639" s="55"/>
    </row>
    <row r="640" spans="1:34" x14ac:dyDescent="0.25">
      <c r="A640" t="s">
        <v>2633</v>
      </c>
      <c r="B640" t="s">
        <v>2634</v>
      </c>
      <c r="C640" t="s">
        <v>2635</v>
      </c>
      <c r="D640" t="s">
        <v>2636</v>
      </c>
      <c r="E640" t="s">
        <v>2637</v>
      </c>
      <c r="F640" t="s">
        <v>2638</v>
      </c>
      <c r="G640" t="s">
        <v>5</v>
      </c>
      <c r="H640" t="s">
        <v>65</v>
      </c>
      <c r="I640" t="s">
        <v>73</v>
      </c>
      <c r="J640" t="s">
        <v>74</v>
      </c>
      <c r="K640" t="s">
        <v>3</v>
      </c>
      <c r="L640" t="s">
        <v>4</v>
      </c>
      <c r="M640" t="s">
        <v>49</v>
      </c>
      <c r="N640" t="s">
        <v>2639</v>
      </c>
      <c r="O640" s="31" t="s">
        <v>2640</v>
      </c>
      <c r="P640">
        <v>220</v>
      </c>
      <c r="Q640" t="s">
        <v>70</v>
      </c>
      <c r="R640">
        <v>2</v>
      </c>
      <c r="S640" s="31">
        <v>118000</v>
      </c>
      <c r="T640" s="39">
        <v>130000</v>
      </c>
      <c r="U640">
        <v>8805</v>
      </c>
      <c r="V640">
        <v>12000</v>
      </c>
      <c r="W640">
        <v>0</v>
      </c>
      <c r="X640" s="39">
        <v>30644</v>
      </c>
      <c r="Y640">
        <v>0</v>
      </c>
      <c r="Z640" s="31">
        <v>109195</v>
      </c>
      <c r="AA640">
        <v>8</v>
      </c>
      <c r="AB640" s="3">
        <f t="shared" si="29"/>
        <v>109195</v>
      </c>
      <c r="AC640" t="str">
        <f>IF(AB640-S640&lt;0,"YES","NO")</f>
        <v>YES</v>
      </c>
      <c r="AD640">
        <f>IF(AC640="NO",0,AB640-S640)</f>
        <v>-8805</v>
      </c>
      <c r="AE640" s="43">
        <v>0.08</v>
      </c>
      <c r="AF640" s="3">
        <f t="shared" si="30"/>
        <v>-8152.7777777777774</v>
      </c>
      <c r="AG640" s="45">
        <f t="shared" si="31"/>
        <v>-8968.0555555555566</v>
      </c>
      <c r="AH640" s="55"/>
    </row>
    <row r="641" spans="1:34" x14ac:dyDescent="0.25">
      <c r="A641" t="s">
        <v>2633</v>
      </c>
      <c r="B641" t="s">
        <v>2634</v>
      </c>
      <c r="C641" t="s">
        <v>2635</v>
      </c>
      <c r="D641" t="s">
        <v>2636</v>
      </c>
      <c r="E641" t="s">
        <v>2637</v>
      </c>
      <c r="F641" t="s">
        <v>2638</v>
      </c>
      <c r="G641" t="s">
        <v>5</v>
      </c>
      <c r="H641" t="s">
        <v>65</v>
      </c>
      <c r="I641" t="s">
        <v>82</v>
      </c>
      <c r="J641" t="s">
        <v>83</v>
      </c>
      <c r="K641" t="s">
        <v>3</v>
      </c>
      <c r="L641" t="s">
        <v>4</v>
      </c>
      <c r="M641" t="s">
        <v>49</v>
      </c>
      <c r="N641" t="s">
        <v>2639</v>
      </c>
      <c r="O641" s="31" t="s">
        <v>2640</v>
      </c>
      <c r="P641">
        <v>220</v>
      </c>
      <c r="R641">
        <v>2</v>
      </c>
      <c r="S641" s="31">
        <v>150000</v>
      </c>
      <c r="T641" s="39">
        <v>160000</v>
      </c>
      <c r="U641">
        <v>11195</v>
      </c>
      <c r="V641">
        <v>10000</v>
      </c>
      <c r="W641">
        <v>0</v>
      </c>
      <c r="X641" s="39">
        <v>38956</v>
      </c>
      <c r="Y641">
        <v>0</v>
      </c>
      <c r="Z641" s="31">
        <v>138805</v>
      </c>
      <c r="AA641">
        <v>8</v>
      </c>
      <c r="AB641" s="3">
        <f t="shared" si="29"/>
        <v>138805</v>
      </c>
      <c r="AC641" t="str">
        <f>IF(AB641-S641&lt;0,"YES","NO")</f>
        <v>YES</v>
      </c>
      <c r="AD641">
        <f>IF(AC641="NO",0,AB641-S641)</f>
        <v>-11195</v>
      </c>
      <c r="AE641" s="43">
        <v>0.08</v>
      </c>
      <c r="AF641" s="3">
        <f t="shared" si="30"/>
        <v>-10365.740740740741</v>
      </c>
      <c r="AG641" s="45">
        <f t="shared" si="31"/>
        <v>-11402.314814814816</v>
      </c>
      <c r="AH641" s="55"/>
    </row>
    <row r="642" spans="1:34" x14ac:dyDescent="0.25">
      <c r="A642" t="s">
        <v>2641</v>
      </c>
      <c r="B642" t="s">
        <v>2642</v>
      </c>
      <c r="C642" t="s">
        <v>2643</v>
      </c>
      <c r="D642" t="s">
        <v>2644</v>
      </c>
      <c r="E642" t="s">
        <v>2645</v>
      </c>
      <c r="F642" t="s">
        <v>2646</v>
      </c>
      <c r="G642" t="s">
        <v>5</v>
      </c>
      <c r="H642" t="s">
        <v>61</v>
      </c>
      <c r="I642" t="s">
        <v>84</v>
      </c>
      <c r="J642" t="s">
        <v>85</v>
      </c>
      <c r="K642" t="s">
        <v>3</v>
      </c>
      <c r="L642" t="s">
        <v>4</v>
      </c>
      <c r="M642" t="s">
        <v>49</v>
      </c>
      <c r="N642" t="s">
        <v>2647</v>
      </c>
      <c r="O642" s="31" t="s">
        <v>2648</v>
      </c>
      <c r="P642">
        <v>100</v>
      </c>
      <c r="Q642" t="s">
        <v>86</v>
      </c>
      <c r="R642">
        <v>1</v>
      </c>
      <c r="S642" s="31">
        <v>0</v>
      </c>
      <c r="T642" s="39">
        <v>0</v>
      </c>
      <c r="U642">
        <v>0</v>
      </c>
      <c r="V642">
        <v>0</v>
      </c>
      <c r="W642">
        <v>0</v>
      </c>
      <c r="X642" s="39">
        <v>0</v>
      </c>
      <c r="Y642">
        <v>0</v>
      </c>
      <c r="Z642" s="31">
        <v>0</v>
      </c>
      <c r="AA642">
        <v>8</v>
      </c>
      <c r="AB642" s="3">
        <f t="shared" si="29"/>
        <v>0</v>
      </c>
      <c r="AC642" t="str">
        <f>IF(AB642-S642&lt;0,"YES","NO")</f>
        <v>NO</v>
      </c>
      <c r="AD642">
        <f>IF(AC642="NO",0,AB642-S642)</f>
        <v>0</v>
      </c>
      <c r="AE642" s="43">
        <v>0.08</v>
      </c>
      <c r="AF642" s="3">
        <f t="shared" si="30"/>
        <v>0</v>
      </c>
      <c r="AG642" s="45">
        <f t="shared" si="31"/>
        <v>0</v>
      </c>
      <c r="AH642" s="55"/>
    </row>
    <row r="643" spans="1:34" x14ac:dyDescent="0.25">
      <c r="A643" t="s">
        <v>2641</v>
      </c>
      <c r="B643" t="s">
        <v>2642</v>
      </c>
      <c r="C643" t="s">
        <v>2643</v>
      </c>
      <c r="D643" t="s">
        <v>2644</v>
      </c>
      <c r="E643" t="s">
        <v>2645</v>
      </c>
      <c r="F643" t="s">
        <v>2646</v>
      </c>
      <c r="G643" t="s">
        <v>5</v>
      </c>
      <c r="H643" t="s">
        <v>65</v>
      </c>
      <c r="I643" t="s">
        <v>66</v>
      </c>
      <c r="J643" t="s">
        <v>67</v>
      </c>
      <c r="K643" t="s">
        <v>3</v>
      </c>
      <c r="L643" t="s">
        <v>4</v>
      </c>
      <c r="M643" t="s">
        <v>49</v>
      </c>
      <c r="N643" t="s">
        <v>2647</v>
      </c>
      <c r="O643" s="31" t="s">
        <v>2648</v>
      </c>
      <c r="P643">
        <v>220</v>
      </c>
      <c r="R643">
        <v>3</v>
      </c>
      <c r="S643" s="31">
        <v>225000</v>
      </c>
      <c r="T643" s="39">
        <v>240000</v>
      </c>
      <c r="U643">
        <v>35000.01</v>
      </c>
      <c r="V643">
        <v>24000</v>
      </c>
      <c r="W643">
        <v>0</v>
      </c>
      <c r="X643" s="39">
        <v>71199.990000000005</v>
      </c>
      <c r="Y643">
        <v>0</v>
      </c>
      <c r="Z643" s="31">
        <v>180999.99</v>
      </c>
      <c r="AA643">
        <v>8</v>
      </c>
      <c r="AB643" s="3">
        <f t="shared" si="29"/>
        <v>180999.99</v>
      </c>
      <c r="AC643" t="str">
        <f>IF(AB643-S643&lt;0,"YES","NO")</f>
        <v>YES</v>
      </c>
      <c r="AD643">
        <f>IF(AC643="NO",0,AB643-S643)</f>
        <v>-44000.010000000009</v>
      </c>
      <c r="AE643" s="43">
        <v>0.08</v>
      </c>
      <c r="AF643" s="3">
        <f t="shared" si="30"/>
        <v>-40740.750000000007</v>
      </c>
      <c r="AG643" s="45">
        <f t="shared" si="31"/>
        <v>-44814.825000000012</v>
      </c>
      <c r="AH643" s="55"/>
    </row>
    <row r="644" spans="1:34" x14ac:dyDescent="0.25">
      <c r="A644" t="s">
        <v>2649</v>
      </c>
      <c r="B644" t="s">
        <v>2650</v>
      </c>
      <c r="C644" t="s">
        <v>2651</v>
      </c>
      <c r="D644" t="s">
        <v>2652</v>
      </c>
      <c r="E644" t="s">
        <v>2653</v>
      </c>
      <c r="F644" t="s">
        <v>2654</v>
      </c>
      <c r="G644" t="s">
        <v>5</v>
      </c>
      <c r="H644" t="s">
        <v>61</v>
      </c>
      <c r="I644" t="s">
        <v>84</v>
      </c>
      <c r="J644" t="s">
        <v>85</v>
      </c>
      <c r="K644" t="s">
        <v>3</v>
      </c>
      <c r="L644" t="s">
        <v>4</v>
      </c>
      <c r="M644" t="s">
        <v>49</v>
      </c>
      <c r="N644" t="s">
        <v>2655</v>
      </c>
      <c r="O644" s="31" t="s">
        <v>2656</v>
      </c>
      <c r="P644">
        <v>100</v>
      </c>
      <c r="Q644" t="s">
        <v>86</v>
      </c>
      <c r="R644">
        <v>1</v>
      </c>
      <c r="S644" s="31">
        <v>0</v>
      </c>
      <c r="T644" s="39">
        <v>0</v>
      </c>
      <c r="U644">
        <v>0</v>
      </c>
      <c r="V644">
        <v>0</v>
      </c>
      <c r="W644">
        <v>0</v>
      </c>
      <c r="X644" s="39">
        <v>0</v>
      </c>
      <c r="Y644">
        <v>0</v>
      </c>
      <c r="Z644" s="31">
        <v>0</v>
      </c>
      <c r="AA644">
        <v>8</v>
      </c>
      <c r="AB644" s="3">
        <f t="shared" si="29"/>
        <v>0</v>
      </c>
      <c r="AC644" t="str">
        <f>IF(AB644-S644&lt;0,"YES","NO")</f>
        <v>NO</v>
      </c>
      <c r="AD644">
        <f>IF(AC644="NO",0,AB644-S644)</f>
        <v>0</v>
      </c>
      <c r="AE644" s="43">
        <v>0.08</v>
      </c>
      <c r="AF644" s="3">
        <f t="shared" si="30"/>
        <v>0</v>
      </c>
      <c r="AG644" s="45">
        <f t="shared" si="31"/>
        <v>0</v>
      </c>
      <c r="AH644" s="55"/>
    </row>
    <row r="645" spans="1:34" x14ac:dyDescent="0.25">
      <c r="A645" t="s">
        <v>2649</v>
      </c>
      <c r="B645" t="s">
        <v>2650</v>
      </c>
      <c r="C645" t="s">
        <v>2651</v>
      </c>
      <c r="D645" t="s">
        <v>2652</v>
      </c>
      <c r="E645" t="s">
        <v>2653</v>
      </c>
      <c r="F645" t="s">
        <v>2654</v>
      </c>
      <c r="G645" t="s">
        <v>5</v>
      </c>
      <c r="H645" t="s">
        <v>65</v>
      </c>
      <c r="I645" t="s">
        <v>82</v>
      </c>
      <c r="J645" t="s">
        <v>83</v>
      </c>
      <c r="K645" t="s">
        <v>3</v>
      </c>
      <c r="L645" t="s">
        <v>4</v>
      </c>
      <c r="M645" t="s">
        <v>49</v>
      </c>
      <c r="N645" t="s">
        <v>2655</v>
      </c>
      <c r="O645" s="31" t="s">
        <v>2656</v>
      </c>
      <c r="P645">
        <v>220</v>
      </c>
      <c r="R645">
        <v>2</v>
      </c>
      <c r="S645" s="31">
        <v>150000</v>
      </c>
      <c r="T645" s="39">
        <v>160000</v>
      </c>
      <c r="U645">
        <v>20000</v>
      </c>
      <c r="V645">
        <v>10000</v>
      </c>
      <c r="W645">
        <v>0</v>
      </c>
      <c r="X645" s="39">
        <v>46000</v>
      </c>
      <c r="Y645">
        <v>0</v>
      </c>
      <c r="Z645" s="31">
        <v>130000</v>
      </c>
      <c r="AA645">
        <v>8</v>
      </c>
      <c r="AB645" s="3">
        <f t="shared" si="29"/>
        <v>130000</v>
      </c>
      <c r="AC645" t="str">
        <f>IF(AB645-S645&lt;0,"YES","NO")</f>
        <v>YES</v>
      </c>
      <c r="AD645">
        <f>IF(AC645="NO",0,AB645-S645)</f>
        <v>-20000</v>
      </c>
      <c r="AE645" s="43">
        <v>0.08</v>
      </c>
      <c r="AF645" s="3">
        <f t="shared" si="30"/>
        <v>-18518.518518518518</v>
      </c>
      <c r="AG645" s="45">
        <f t="shared" si="31"/>
        <v>-20370.370370370372</v>
      </c>
      <c r="AH645" s="55"/>
    </row>
    <row r="646" spans="1:34" x14ac:dyDescent="0.25">
      <c r="A646" t="s">
        <v>2657</v>
      </c>
      <c r="B646" t="s">
        <v>2658</v>
      </c>
      <c r="C646" t="s">
        <v>2659</v>
      </c>
      <c r="D646" t="s">
        <v>2660</v>
      </c>
      <c r="E646" t="s">
        <v>2661</v>
      </c>
      <c r="F646" t="s">
        <v>2662</v>
      </c>
      <c r="G646" t="s">
        <v>5</v>
      </c>
      <c r="H646" t="s">
        <v>65</v>
      </c>
      <c r="I646" t="s">
        <v>68</v>
      </c>
      <c r="J646" t="s">
        <v>69</v>
      </c>
      <c r="K646" t="s">
        <v>3</v>
      </c>
      <c r="L646" t="s">
        <v>4</v>
      </c>
      <c r="M646" t="s">
        <v>49</v>
      </c>
      <c r="N646" t="s">
        <v>2663</v>
      </c>
      <c r="O646" s="31" t="s">
        <v>2664</v>
      </c>
      <c r="P646">
        <v>220</v>
      </c>
      <c r="Q646" t="s">
        <v>70</v>
      </c>
      <c r="R646">
        <v>1</v>
      </c>
      <c r="S646" s="31">
        <v>59000</v>
      </c>
      <c r="T646" s="39">
        <v>65000</v>
      </c>
      <c r="U646">
        <v>11666.67</v>
      </c>
      <c r="V646">
        <v>5000</v>
      </c>
      <c r="W646">
        <v>0</v>
      </c>
      <c r="X646" s="39">
        <v>21333.33</v>
      </c>
      <c r="Y646">
        <v>0</v>
      </c>
      <c r="Z646" s="31">
        <v>48333.33</v>
      </c>
      <c r="AA646">
        <v>8</v>
      </c>
      <c r="AB646" s="3">
        <f t="shared" ref="AB646:AB709" si="32">Z646</f>
        <v>48333.33</v>
      </c>
      <c r="AC646" t="str">
        <f>IF(AB646-S646&lt;0,"YES","NO")</f>
        <v>YES</v>
      </c>
      <c r="AD646">
        <f>IF(AC646="NO",0,AB646-S646)</f>
        <v>-10666.669999999998</v>
      </c>
      <c r="AE646" s="43">
        <v>0.08</v>
      </c>
      <c r="AF646" s="3">
        <f t="shared" ref="AF646:AF709" si="33">AD646/(1+AE646)</f>
        <v>-9876.5462962962938</v>
      </c>
      <c r="AG646" s="45">
        <f t="shared" ref="AG646:AG709" si="34">AF646*1.1</f>
        <v>-10864.200925925925</v>
      </c>
      <c r="AH646" s="55"/>
    </row>
    <row r="647" spans="1:34" x14ac:dyDescent="0.25">
      <c r="A647" t="s">
        <v>2657</v>
      </c>
      <c r="B647" t="s">
        <v>2658</v>
      </c>
      <c r="C647" t="s">
        <v>2659</v>
      </c>
      <c r="D647" t="s">
        <v>2660</v>
      </c>
      <c r="E647" t="s">
        <v>2661</v>
      </c>
      <c r="F647" t="s">
        <v>2662</v>
      </c>
      <c r="G647" t="s">
        <v>5</v>
      </c>
      <c r="H647" t="s">
        <v>65</v>
      </c>
      <c r="I647" t="s">
        <v>71</v>
      </c>
      <c r="J647" t="s">
        <v>72</v>
      </c>
      <c r="K647" t="s">
        <v>3</v>
      </c>
      <c r="L647" t="s">
        <v>4</v>
      </c>
      <c r="M647" t="s">
        <v>49</v>
      </c>
      <c r="N647" t="s">
        <v>2663</v>
      </c>
      <c r="O647" s="31" t="s">
        <v>2664</v>
      </c>
      <c r="P647">
        <v>220</v>
      </c>
      <c r="Q647" t="s">
        <v>70</v>
      </c>
      <c r="R647">
        <v>1</v>
      </c>
      <c r="S647" s="31">
        <v>59000</v>
      </c>
      <c r="T647" s="39">
        <v>65000</v>
      </c>
      <c r="U647">
        <v>11666.67</v>
      </c>
      <c r="V647">
        <v>5000</v>
      </c>
      <c r="W647">
        <v>0</v>
      </c>
      <c r="X647" s="39">
        <v>21333.33</v>
      </c>
      <c r="Y647">
        <v>0</v>
      </c>
      <c r="Z647" s="31">
        <v>48333.33</v>
      </c>
      <c r="AA647">
        <v>8</v>
      </c>
      <c r="AB647" s="3">
        <f t="shared" si="32"/>
        <v>48333.33</v>
      </c>
      <c r="AC647" t="str">
        <f>IF(AB647-S647&lt;0,"YES","NO")</f>
        <v>YES</v>
      </c>
      <c r="AD647">
        <f>IF(AC647="NO",0,AB647-S647)</f>
        <v>-10666.669999999998</v>
      </c>
      <c r="AE647" s="43">
        <v>0.08</v>
      </c>
      <c r="AF647" s="3">
        <f t="shared" si="33"/>
        <v>-9876.5462962962938</v>
      </c>
      <c r="AG647" s="45">
        <f t="shared" si="34"/>
        <v>-10864.200925925925</v>
      </c>
      <c r="AH647" s="55"/>
    </row>
    <row r="648" spans="1:34" x14ac:dyDescent="0.25">
      <c r="A648" t="s">
        <v>2657</v>
      </c>
      <c r="B648" t="s">
        <v>2658</v>
      </c>
      <c r="C648" t="s">
        <v>2659</v>
      </c>
      <c r="D648" t="s">
        <v>2660</v>
      </c>
      <c r="E648" t="s">
        <v>2661</v>
      </c>
      <c r="F648" t="s">
        <v>2662</v>
      </c>
      <c r="G648" t="s">
        <v>5</v>
      </c>
      <c r="H648" t="s">
        <v>65</v>
      </c>
      <c r="I648" t="s">
        <v>73</v>
      </c>
      <c r="J648" t="s">
        <v>74</v>
      </c>
      <c r="K648" t="s">
        <v>3</v>
      </c>
      <c r="L648" t="s">
        <v>4</v>
      </c>
      <c r="M648" t="s">
        <v>49</v>
      </c>
      <c r="N648" t="s">
        <v>2663</v>
      </c>
      <c r="O648" s="31" t="s">
        <v>2664</v>
      </c>
      <c r="P648">
        <v>220</v>
      </c>
      <c r="Q648" t="s">
        <v>70</v>
      </c>
      <c r="R648">
        <v>1</v>
      </c>
      <c r="S648" s="31">
        <v>59000</v>
      </c>
      <c r="T648" s="39">
        <v>65000</v>
      </c>
      <c r="U648">
        <v>11666.67</v>
      </c>
      <c r="V648">
        <v>5000</v>
      </c>
      <c r="W648">
        <v>0</v>
      </c>
      <c r="X648" s="39">
        <v>21333.33</v>
      </c>
      <c r="Y648">
        <v>0</v>
      </c>
      <c r="Z648" s="31">
        <v>48333.33</v>
      </c>
      <c r="AA648">
        <v>8</v>
      </c>
      <c r="AB648" s="3">
        <f t="shared" si="32"/>
        <v>48333.33</v>
      </c>
      <c r="AC648" t="str">
        <f>IF(AB648-S648&lt;0,"YES","NO")</f>
        <v>YES</v>
      </c>
      <c r="AD648">
        <f>IF(AC648="NO",0,AB648-S648)</f>
        <v>-10666.669999999998</v>
      </c>
      <c r="AE648" s="43">
        <v>0.08</v>
      </c>
      <c r="AF648" s="3">
        <f t="shared" si="33"/>
        <v>-9876.5462962962938</v>
      </c>
      <c r="AG648" s="45">
        <f t="shared" si="34"/>
        <v>-10864.200925925925</v>
      </c>
      <c r="AH648" s="55"/>
    </row>
    <row r="649" spans="1:34" x14ac:dyDescent="0.25">
      <c r="A649" t="s">
        <v>2665</v>
      </c>
      <c r="B649" t="s">
        <v>2666</v>
      </c>
      <c r="C649" t="s">
        <v>2667</v>
      </c>
      <c r="D649" t="s">
        <v>2668</v>
      </c>
      <c r="E649" t="s">
        <v>2669</v>
      </c>
      <c r="F649" t="s">
        <v>2670</v>
      </c>
      <c r="G649" t="s">
        <v>5</v>
      </c>
      <c r="H649" t="s">
        <v>61</v>
      </c>
      <c r="I649" t="s">
        <v>84</v>
      </c>
      <c r="J649" t="s">
        <v>85</v>
      </c>
      <c r="K649" t="s">
        <v>3</v>
      </c>
      <c r="L649" t="s">
        <v>4</v>
      </c>
      <c r="M649" t="s">
        <v>49</v>
      </c>
      <c r="N649" t="s">
        <v>2671</v>
      </c>
      <c r="O649" s="31" t="s">
        <v>2672</v>
      </c>
      <c r="P649">
        <v>100</v>
      </c>
      <c r="Q649" t="s">
        <v>86</v>
      </c>
      <c r="R649">
        <v>1</v>
      </c>
      <c r="S649" s="31">
        <v>0</v>
      </c>
      <c r="T649" s="39">
        <v>0</v>
      </c>
      <c r="U649">
        <v>0</v>
      </c>
      <c r="V649">
        <v>0</v>
      </c>
      <c r="W649">
        <v>0</v>
      </c>
      <c r="X649" s="39">
        <v>0</v>
      </c>
      <c r="Y649">
        <v>0</v>
      </c>
      <c r="Z649" s="31">
        <v>0</v>
      </c>
      <c r="AA649">
        <v>8</v>
      </c>
      <c r="AB649" s="3">
        <f t="shared" si="32"/>
        <v>0</v>
      </c>
      <c r="AC649" t="str">
        <f>IF(AB649-S649&lt;0,"YES","NO")</f>
        <v>NO</v>
      </c>
      <c r="AD649">
        <f>IF(AC649="NO",0,AB649-S649)</f>
        <v>0</v>
      </c>
      <c r="AE649" s="43">
        <v>0.08</v>
      </c>
      <c r="AF649" s="3">
        <f t="shared" si="33"/>
        <v>0</v>
      </c>
      <c r="AG649" s="45">
        <f t="shared" si="34"/>
        <v>0</v>
      </c>
      <c r="AH649" s="55"/>
    </row>
    <row r="650" spans="1:34" x14ac:dyDescent="0.25">
      <c r="A650" t="s">
        <v>2665</v>
      </c>
      <c r="B650" t="s">
        <v>2666</v>
      </c>
      <c r="C650" t="s">
        <v>2667</v>
      </c>
      <c r="D650" t="s">
        <v>2668</v>
      </c>
      <c r="E650" t="s">
        <v>2669</v>
      </c>
      <c r="F650" t="s">
        <v>2670</v>
      </c>
      <c r="G650" t="s">
        <v>5</v>
      </c>
      <c r="H650" t="s">
        <v>65</v>
      </c>
      <c r="I650" t="s">
        <v>78</v>
      </c>
      <c r="J650" t="s">
        <v>79</v>
      </c>
      <c r="K650" t="s">
        <v>3</v>
      </c>
      <c r="L650" t="s">
        <v>4</v>
      </c>
      <c r="M650" t="s">
        <v>49</v>
      </c>
      <c r="N650" t="s">
        <v>2671</v>
      </c>
      <c r="O650" s="31" t="s">
        <v>2672</v>
      </c>
      <c r="P650">
        <v>220</v>
      </c>
      <c r="R650">
        <v>2</v>
      </c>
      <c r="S650" s="31">
        <v>150000</v>
      </c>
      <c r="T650" s="39">
        <v>160000</v>
      </c>
      <c r="U650">
        <v>20000</v>
      </c>
      <c r="V650">
        <v>10000</v>
      </c>
      <c r="W650">
        <v>0</v>
      </c>
      <c r="X650" s="39">
        <v>46000</v>
      </c>
      <c r="Y650">
        <v>0</v>
      </c>
      <c r="Z650" s="31">
        <v>130000</v>
      </c>
      <c r="AA650">
        <v>8</v>
      </c>
      <c r="AB650" s="3">
        <f t="shared" si="32"/>
        <v>130000</v>
      </c>
      <c r="AC650" t="str">
        <f>IF(AB650-S650&lt;0,"YES","NO")</f>
        <v>YES</v>
      </c>
      <c r="AD650">
        <f>IF(AC650="NO",0,AB650-S650)</f>
        <v>-20000</v>
      </c>
      <c r="AE650" s="43">
        <v>0.08</v>
      </c>
      <c r="AF650" s="3">
        <f t="shared" si="33"/>
        <v>-18518.518518518518</v>
      </c>
      <c r="AG650" s="45">
        <f t="shared" si="34"/>
        <v>-20370.370370370372</v>
      </c>
      <c r="AH650" s="55"/>
    </row>
    <row r="651" spans="1:34" x14ac:dyDescent="0.25">
      <c r="A651" t="s">
        <v>2673</v>
      </c>
      <c r="B651" t="s">
        <v>2674</v>
      </c>
      <c r="C651" t="s">
        <v>2675</v>
      </c>
      <c r="D651" t="s">
        <v>2676</v>
      </c>
      <c r="E651" t="s">
        <v>2677</v>
      </c>
      <c r="F651" t="s">
        <v>2678</v>
      </c>
      <c r="G651" t="s">
        <v>5</v>
      </c>
      <c r="H651" t="s">
        <v>61</v>
      </c>
      <c r="I651" t="s">
        <v>62</v>
      </c>
      <c r="J651" t="s">
        <v>63</v>
      </c>
      <c r="K651" t="s">
        <v>3</v>
      </c>
      <c r="L651" t="s">
        <v>4</v>
      </c>
      <c r="M651" t="s">
        <v>49</v>
      </c>
      <c r="N651" t="s">
        <v>2679</v>
      </c>
      <c r="O651" s="31" t="s">
        <v>2680</v>
      </c>
      <c r="P651">
        <v>20000</v>
      </c>
      <c r="Q651" t="s">
        <v>64</v>
      </c>
      <c r="R651">
        <v>1</v>
      </c>
      <c r="S651" s="31">
        <v>0</v>
      </c>
      <c r="T651" s="39">
        <v>0</v>
      </c>
      <c r="U651">
        <v>0</v>
      </c>
      <c r="V651">
        <v>0</v>
      </c>
      <c r="W651">
        <v>0</v>
      </c>
      <c r="X651" s="39">
        <v>0</v>
      </c>
      <c r="Y651">
        <v>0</v>
      </c>
      <c r="Z651" s="31">
        <v>0</v>
      </c>
      <c r="AA651">
        <v>8</v>
      </c>
      <c r="AB651" s="3">
        <f t="shared" si="32"/>
        <v>0</v>
      </c>
      <c r="AC651" t="str">
        <f>IF(AB651-S651&lt;0,"YES","NO")</f>
        <v>NO</v>
      </c>
      <c r="AD651">
        <f>IF(AC651="NO",0,AB651-S651)</f>
        <v>0</v>
      </c>
      <c r="AE651" s="43">
        <v>0.08</v>
      </c>
      <c r="AF651" s="3">
        <f t="shared" si="33"/>
        <v>0</v>
      </c>
      <c r="AG651" s="45">
        <f t="shared" si="34"/>
        <v>0</v>
      </c>
      <c r="AH651" s="55"/>
    </row>
    <row r="652" spans="1:34" x14ac:dyDescent="0.25">
      <c r="A652" t="s">
        <v>2673</v>
      </c>
      <c r="B652" t="s">
        <v>2674</v>
      </c>
      <c r="C652" t="s">
        <v>2675</v>
      </c>
      <c r="D652" t="s">
        <v>2676</v>
      </c>
      <c r="E652" t="s">
        <v>2677</v>
      </c>
      <c r="F652" t="s">
        <v>2678</v>
      </c>
      <c r="G652" t="s">
        <v>5</v>
      </c>
      <c r="H652" t="s">
        <v>61</v>
      </c>
      <c r="I652" t="s">
        <v>84</v>
      </c>
      <c r="J652" t="s">
        <v>85</v>
      </c>
      <c r="K652" t="s">
        <v>3</v>
      </c>
      <c r="L652" t="s">
        <v>4</v>
      </c>
      <c r="M652" t="s">
        <v>49</v>
      </c>
      <c r="N652" t="s">
        <v>2679</v>
      </c>
      <c r="O652" s="31" t="s">
        <v>2680</v>
      </c>
      <c r="P652">
        <v>100</v>
      </c>
      <c r="Q652" t="s">
        <v>86</v>
      </c>
      <c r="R652">
        <v>1</v>
      </c>
      <c r="S652" s="31">
        <v>0</v>
      </c>
      <c r="T652" s="39">
        <v>0</v>
      </c>
      <c r="U652">
        <v>0</v>
      </c>
      <c r="V652">
        <v>0</v>
      </c>
      <c r="W652">
        <v>0</v>
      </c>
      <c r="X652" s="39">
        <v>0</v>
      </c>
      <c r="Y652">
        <v>0</v>
      </c>
      <c r="Z652" s="31">
        <v>0</v>
      </c>
      <c r="AA652">
        <v>8</v>
      </c>
      <c r="AB652" s="3">
        <f t="shared" si="32"/>
        <v>0</v>
      </c>
      <c r="AC652" t="str">
        <f>IF(AB652-S652&lt;0,"YES","NO")</f>
        <v>NO</v>
      </c>
      <c r="AD652">
        <f>IF(AC652="NO",0,AB652-S652)</f>
        <v>0</v>
      </c>
      <c r="AE652" s="43">
        <v>0.08</v>
      </c>
      <c r="AF652" s="3">
        <f t="shared" si="33"/>
        <v>0</v>
      </c>
      <c r="AG652" s="45">
        <f t="shared" si="34"/>
        <v>0</v>
      </c>
      <c r="AH652" s="55"/>
    </row>
    <row r="653" spans="1:34" x14ac:dyDescent="0.25">
      <c r="A653" t="s">
        <v>2673</v>
      </c>
      <c r="B653" t="s">
        <v>2674</v>
      </c>
      <c r="C653" t="s">
        <v>2675</v>
      </c>
      <c r="D653" t="s">
        <v>2676</v>
      </c>
      <c r="E653" t="s">
        <v>2677</v>
      </c>
      <c r="F653" t="s">
        <v>2678</v>
      </c>
      <c r="G653" t="s">
        <v>5</v>
      </c>
      <c r="H653" t="s">
        <v>65</v>
      </c>
      <c r="I653" t="s">
        <v>87</v>
      </c>
      <c r="J653" t="s">
        <v>88</v>
      </c>
      <c r="K653" t="s">
        <v>3</v>
      </c>
      <c r="L653" t="s">
        <v>4</v>
      </c>
      <c r="M653" t="s">
        <v>49</v>
      </c>
      <c r="N653" t="s">
        <v>2679</v>
      </c>
      <c r="O653" s="31" t="s">
        <v>2680</v>
      </c>
      <c r="P653">
        <v>220</v>
      </c>
      <c r="Q653" t="s">
        <v>89</v>
      </c>
      <c r="R653">
        <v>1</v>
      </c>
      <c r="S653" s="31">
        <v>59000</v>
      </c>
      <c r="T653" s="39">
        <v>70000</v>
      </c>
      <c r="U653">
        <v>0</v>
      </c>
      <c r="V653">
        <v>6500</v>
      </c>
      <c r="W653">
        <v>0</v>
      </c>
      <c r="X653" s="39">
        <v>11430</v>
      </c>
      <c r="Y653">
        <v>0</v>
      </c>
      <c r="Z653" s="31">
        <v>63500</v>
      </c>
      <c r="AA653">
        <v>8</v>
      </c>
      <c r="AB653" s="3">
        <f t="shared" si="32"/>
        <v>63500</v>
      </c>
      <c r="AC653" t="str">
        <f>IF(AB653-S653&lt;0,"YES","NO")</f>
        <v>NO</v>
      </c>
      <c r="AD653">
        <f>IF(AC653="NO",0,AB653-S653)</f>
        <v>0</v>
      </c>
      <c r="AE653" s="43">
        <v>0.08</v>
      </c>
      <c r="AF653" s="3">
        <f t="shared" si="33"/>
        <v>0</v>
      </c>
      <c r="AG653" s="45">
        <f t="shared" si="34"/>
        <v>0</v>
      </c>
      <c r="AH653" s="55"/>
    </row>
    <row r="654" spans="1:34" x14ac:dyDescent="0.25">
      <c r="A654" t="s">
        <v>2673</v>
      </c>
      <c r="B654" t="s">
        <v>2674</v>
      </c>
      <c r="C654" t="s">
        <v>2675</v>
      </c>
      <c r="D654" t="s">
        <v>2676</v>
      </c>
      <c r="E654" t="s">
        <v>2677</v>
      </c>
      <c r="F654" t="s">
        <v>2678</v>
      </c>
      <c r="G654" t="s">
        <v>5</v>
      </c>
      <c r="H654" t="s">
        <v>65</v>
      </c>
      <c r="I654" t="s">
        <v>90</v>
      </c>
      <c r="J654" t="s">
        <v>91</v>
      </c>
      <c r="K654" t="s">
        <v>3</v>
      </c>
      <c r="L654" t="s">
        <v>4</v>
      </c>
      <c r="M654" t="s">
        <v>49</v>
      </c>
      <c r="N654" t="s">
        <v>2679</v>
      </c>
      <c r="O654" s="31" t="s">
        <v>2680</v>
      </c>
      <c r="P654">
        <v>220</v>
      </c>
      <c r="Q654" t="s">
        <v>92</v>
      </c>
      <c r="R654">
        <v>1</v>
      </c>
      <c r="S654" s="31">
        <v>59000</v>
      </c>
      <c r="T654" s="39">
        <v>70000</v>
      </c>
      <c r="U654">
        <v>0</v>
      </c>
      <c r="V654">
        <v>6500</v>
      </c>
      <c r="W654">
        <v>0</v>
      </c>
      <c r="X654" s="39">
        <v>11430</v>
      </c>
      <c r="Y654">
        <v>0</v>
      </c>
      <c r="Z654" s="31">
        <v>63500</v>
      </c>
      <c r="AA654">
        <v>8</v>
      </c>
      <c r="AB654" s="3">
        <f t="shared" si="32"/>
        <v>63500</v>
      </c>
      <c r="AC654" t="str">
        <f>IF(AB654-S654&lt;0,"YES","NO")</f>
        <v>NO</v>
      </c>
      <c r="AD654">
        <f>IF(AC654="NO",0,AB654-S654)</f>
        <v>0</v>
      </c>
      <c r="AE654" s="43">
        <v>0.08</v>
      </c>
      <c r="AF654" s="3">
        <f t="shared" si="33"/>
        <v>0</v>
      </c>
      <c r="AG654" s="45">
        <f t="shared" si="34"/>
        <v>0</v>
      </c>
      <c r="AH654" s="55"/>
    </row>
    <row r="655" spans="1:34" x14ac:dyDescent="0.25">
      <c r="A655" t="s">
        <v>2673</v>
      </c>
      <c r="B655" t="s">
        <v>2674</v>
      </c>
      <c r="C655" t="s">
        <v>2675</v>
      </c>
      <c r="D655" t="s">
        <v>2676</v>
      </c>
      <c r="E655" t="s">
        <v>2677</v>
      </c>
      <c r="F655" t="s">
        <v>2678</v>
      </c>
      <c r="G655" t="s">
        <v>5</v>
      </c>
      <c r="H655" t="s">
        <v>65</v>
      </c>
      <c r="I655" t="s">
        <v>66</v>
      </c>
      <c r="J655" t="s">
        <v>67</v>
      </c>
      <c r="K655" t="s">
        <v>3</v>
      </c>
      <c r="L655" t="s">
        <v>4</v>
      </c>
      <c r="M655" t="s">
        <v>49</v>
      </c>
      <c r="N655" t="s">
        <v>2679</v>
      </c>
      <c r="O655" s="31" t="s">
        <v>2680</v>
      </c>
      <c r="P655">
        <v>220</v>
      </c>
      <c r="R655">
        <v>1</v>
      </c>
      <c r="S655" s="31">
        <v>75000</v>
      </c>
      <c r="T655" s="39">
        <v>80000</v>
      </c>
      <c r="U655">
        <v>11666.67</v>
      </c>
      <c r="V655">
        <v>4333.33</v>
      </c>
      <c r="W655">
        <v>0</v>
      </c>
      <c r="X655" s="39">
        <v>23186.67</v>
      </c>
      <c r="Y655">
        <v>0</v>
      </c>
      <c r="Z655" s="31">
        <v>64000</v>
      </c>
      <c r="AA655">
        <v>8</v>
      </c>
      <c r="AB655" s="3">
        <f t="shared" si="32"/>
        <v>64000</v>
      </c>
      <c r="AC655" t="str">
        <f>IF(AB655-S655&lt;0,"YES","NO")</f>
        <v>YES</v>
      </c>
      <c r="AD655">
        <f>IF(AC655="NO",0,AB655-S655)</f>
        <v>-11000</v>
      </c>
      <c r="AE655" s="43">
        <v>0.08</v>
      </c>
      <c r="AF655" s="3">
        <f t="shared" si="33"/>
        <v>-10185.185185185184</v>
      </c>
      <c r="AG655" s="45">
        <f t="shared" si="34"/>
        <v>-11203.703703703704</v>
      </c>
      <c r="AH655" s="55"/>
    </row>
    <row r="656" spans="1:34" x14ac:dyDescent="0.25">
      <c r="A656" t="s">
        <v>2673</v>
      </c>
      <c r="B656" t="s">
        <v>2674</v>
      </c>
      <c r="C656" t="s">
        <v>2675</v>
      </c>
      <c r="D656" t="s">
        <v>2676</v>
      </c>
      <c r="E656" t="s">
        <v>2677</v>
      </c>
      <c r="F656" t="s">
        <v>2678</v>
      </c>
      <c r="G656" t="s">
        <v>5</v>
      </c>
      <c r="H656" t="s">
        <v>65</v>
      </c>
      <c r="I656" t="s">
        <v>78</v>
      </c>
      <c r="J656" t="s">
        <v>79</v>
      </c>
      <c r="K656" t="s">
        <v>3</v>
      </c>
      <c r="L656" t="s">
        <v>4</v>
      </c>
      <c r="M656" t="s">
        <v>49</v>
      </c>
      <c r="N656" t="s">
        <v>2679</v>
      </c>
      <c r="O656" s="31" t="s">
        <v>2680</v>
      </c>
      <c r="P656">
        <v>220</v>
      </c>
      <c r="R656">
        <v>1</v>
      </c>
      <c r="S656" s="31">
        <v>75000</v>
      </c>
      <c r="T656" s="39">
        <v>80000</v>
      </c>
      <c r="U656">
        <v>11666.67</v>
      </c>
      <c r="V656">
        <v>4333.33</v>
      </c>
      <c r="W656">
        <v>0</v>
      </c>
      <c r="X656" s="39">
        <v>23186.67</v>
      </c>
      <c r="Y656">
        <v>0</v>
      </c>
      <c r="Z656" s="31">
        <v>64000</v>
      </c>
      <c r="AA656">
        <v>8</v>
      </c>
      <c r="AB656" s="3">
        <f t="shared" si="32"/>
        <v>64000</v>
      </c>
      <c r="AC656" t="str">
        <f>IF(AB656-S656&lt;0,"YES","NO")</f>
        <v>YES</v>
      </c>
      <c r="AD656">
        <f>IF(AC656="NO",0,AB656-S656)</f>
        <v>-11000</v>
      </c>
      <c r="AE656" s="43">
        <v>0.08</v>
      </c>
      <c r="AF656" s="3">
        <f t="shared" si="33"/>
        <v>-10185.185185185184</v>
      </c>
      <c r="AG656" s="45">
        <f t="shared" si="34"/>
        <v>-11203.703703703704</v>
      </c>
      <c r="AH656" s="55"/>
    </row>
    <row r="657" spans="1:34" x14ac:dyDescent="0.25">
      <c r="A657" t="s">
        <v>2673</v>
      </c>
      <c r="B657" t="s">
        <v>2674</v>
      </c>
      <c r="C657" t="s">
        <v>2675</v>
      </c>
      <c r="D657" t="s">
        <v>2676</v>
      </c>
      <c r="E657" t="s">
        <v>2677</v>
      </c>
      <c r="F657" t="s">
        <v>2678</v>
      </c>
      <c r="G657" t="s">
        <v>5</v>
      </c>
      <c r="H657" t="s">
        <v>65</v>
      </c>
      <c r="I657" t="s">
        <v>80</v>
      </c>
      <c r="J657" t="s">
        <v>81</v>
      </c>
      <c r="K657" t="s">
        <v>3</v>
      </c>
      <c r="L657" t="s">
        <v>4</v>
      </c>
      <c r="M657" t="s">
        <v>49</v>
      </c>
      <c r="N657" t="s">
        <v>2679</v>
      </c>
      <c r="O657" s="31" t="s">
        <v>2680</v>
      </c>
      <c r="P657">
        <v>220</v>
      </c>
      <c r="R657">
        <v>1</v>
      </c>
      <c r="S657" s="31">
        <v>75000</v>
      </c>
      <c r="T657" s="39">
        <v>80000</v>
      </c>
      <c r="U657">
        <v>11666.67</v>
      </c>
      <c r="V657">
        <v>4333.33</v>
      </c>
      <c r="W657">
        <v>0</v>
      </c>
      <c r="X657" s="39">
        <v>23186.67</v>
      </c>
      <c r="Y657">
        <v>0</v>
      </c>
      <c r="Z657" s="31">
        <v>64000</v>
      </c>
      <c r="AA657">
        <v>8</v>
      </c>
      <c r="AB657" s="3">
        <f t="shared" si="32"/>
        <v>64000</v>
      </c>
      <c r="AC657" t="str">
        <f>IF(AB657-S657&lt;0,"YES","NO")</f>
        <v>YES</v>
      </c>
      <c r="AD657">
        <f>IF(AC657="NO",0,AB657-S657)</f>
        <v>-11000</v>
      </c>
      <c r="AE657" s="43">
        <v>0.08</v>
      </c>
      <c r="AF657" s="3">
        <f t="shared" si="33"/>
        <v>-10185.185185185184</v>
      </c>
      <c r="AG657" s="45">
        <f t="shared" si="34"/>
        <v>-11203.703703703704</v>
      </c>
      <c r="AH657" s="55"/>
    </row>
    <row r="658" spans="1:34" x14ac:dyDescent="0.25">
      <c r="A658" t="s">
        <v>2673</v>
      </c>
      <c r="B658" t="s">
        <v>2674</v>
      </c>
      <c r="C658" t="s">
        <v>2675</v>
      </c>
      <c r="D658" t="s">
        <v>2676</v>
      </c>
      <c r="E658" t="s">
        <v>2677</v>
      </c>
      <c r="F658" t="s">
        <v>2678</v>
      </c>
      <c r="G658" t="s">
        <v>5</v>
      </c>
      <c r="H658" t="s">
        <v>65</v>
      </c>
      <c r="I658" t="s">
        <v>104</v>
      </c>
      <c r="J658" t="s">
        <v>105</v>
      </c>
      <c r="K658" t="s">
        <v>3</v>
      </c>
      <c r="L658" t="s">
        <v>4</v>
      </c>
      <c r="M658" t="s">
        <v>49</v>
      </c>
      <c r="N658" t="s">
        <v>2679</v>
      </c>
      <c r="O658" s="31" t="s">
        <v>2680</v>
      </c>
      <c r="P658">
        <v>380</v>
      </c>
      <c r="R658">
        <v>1</v>
      </c>
      <c r="S658" s="31">
        <v>66000</v>
      </c>
      <c r="T658" s="39">
        <v>70000</v>
      </c>
      <c r="U658">
        <v>0</v>
      </c>
      <c r="V658">
        <v>0</v>
      </c>
      <c r="W658">
        <v>0</v>
      </c>
      <c r="X658" s="39">
        <v>12600</v>
      </c>
      <c r="Y658">
        <v>0</v>
      </c>
      <c r="Z658" s="31">
        <v>70000</v>
      </c>
      <c r="AA658">
        <v>8</v>
      </c>
      <c r="AB658" s="3">
        <f t="shared" si="32"/>
        <v>70000</v>
      </c>
      <c r="AC658" t="str">
        <f>IF(AB658-S658&lt;0,"YES","NO")</f>
        <v>NO</v>
      </c>
      <c r="AD658">
        <f>IF(AC658="NO",0,AB658-S658)</f>
        <v>0</v>
      </c>
      <c r="AE658" s="43">
        <v>0.08</v>
      </c>
      <c r="AF658" s="3">
        <f t="shared" si="33"/>
        <v>0</v>
      </c>
      <c r="AG658" s="45">
        <f t="shared" si="34"/>
        <v>0</v>
      </c>
      <c r="AH658" s="55"/>
    </row>
    <row r="659" spans="1:34" x14ac:dyDescent="0.25">
      <c r="A659" t="s">
        <v>2673</v>
      </c>
      <c r="B659" t="s">
        <v>2674</v>
      </c>
      <c r="C659" t="s">
        <v>2675</v>
      </c>
      <c r="D659" t="s">
        <v>2676</v>
      </c>
      <c r="E659" t="s">
        <v>2677</v>
      </c>
      <c r="F659" t="s">
        <v>2678</v>
      </c>
      <c r="G659" t="s">
        <v>5</v>
      </c>
      <c r="H659" t="s">
        <v>65</v>
      </c>
      <c r="I659" t="s">
        <v>109</v>
      </c>
      <c r="J659" t="s">
        <v>110</v>
      </c>
      <c r="K659" t="s">
        <v>3</v>
      </c>
      <c r="L659" t="s">
        <v>4</v>
      </c>
      <c r="M659" t="s">
        <v>49</v>
      </c>
      <c r="N659" t="s">
        <v>2679</v>
      </c>
      <c r="O659" s="31" t="s">
        <v>2680</v>
      </c>
      <c r="P659">
        <v>380</v>
      </c>
      <c r="R659">
        <v>1</v>
      </c>
      <c r="S659" s="31">
        <v>66000</v>
      </c>
      <c r="T659" s="39">
        <v>70000</v>
      </c>
      <c r="U659">
        <v>0</v>
      </c>
      <c r="V659">
        <v>0</v>
      </c>
      <c r="W659">
        <v>0</v>
      </c>
      <c r="X659" s="39">
        <v>12600</v>
      </c>
      <c r="Y659">
        <v>0</v>
      </c>
      <c r="Z659" s="31">
        <v>70000</v>
      </c>
      <c r="AA659">
        <v>8</v>
      </c>
      <c r="AB659" s="3">
        <f t="shared" si="32"/>
        <v>70000</v>
      </c>
      <c r="AC659" t="str">
        <f>IF(AB659-S659&lt;0,"YES","NO")</f>
        <v>NO</v>
      </c>
      <c r="AD659">
        <f>IF(AC659="NO",0,AB659-S659)</f>
        <v>0</v>
      </c>
      <c r="AE659" s="43">
        <v>0.08</v>
      </c>
      <c r="AF659" s="3">
        <f t="shared" si="33"/>
        <v>0</v>
      </c>
      <c r="AG659" s="45">
        <f t="shared" si="34"/>
        <v>0</v>
      </c>
      <c r="AH659" s="55"/>
    </row>
    <row r="660" spans="1:34" x14ac:dyDescent="0.25">
      <c r="A660" t="s">
        <v>2681</v>
      </c>
      <c r="B660" t="s">
        <v>2682</v>
      </c>
      <c r="C660" t="s">
        <v>2683</v>
      </c>
      <c r="D660" t="s">
        <v>2684</v>
      </c>
      <c r="E660" t="s">
        <v>2685</v>
      </c>
      <c r="F660" t="s">
        <v>2686</v>
      </c>
      <c r="G660" t="s">
        <v>5</v>
      </c>
      <c r="H660" t="s">
        <v>61</v>
      </c>
      <c r="I660" t="s">
        <v>62</v>
      </c>
      <c r="J660" t="s">
        <v>63</v>
      </c>
      <c r="K660" t="s">
        <v>3</v>
      </c>
      <c r="L660" t="s">
        <v>4</v>
      </c>
      <c r="M660" t="s">
        <v>49</v>
      </c>
      <c r="N660" t="s">
        <v>2687</v>
      </c>
      <c r="O660" s="31" t="s">
        <v>2688</v>
      </c>
      <c r="P660">
        <v>20000</v>
      </c>
      <c r="Q660" t="s">
        <v>64</v>
      </c>
      <c r="R660">
        <v>1</v>
      </c>
      <c r="S660" s="31">
        <v>0</v>
      </c>
      <c r="T660" s="39">
        <v>0</v>
      </c>
      <c r="U660">
        <v>0</v>
      </c>
      <c r="V660">
        <v>0</v>
      </c>
      <c r="W660">
        <v>0</v>
      </c>
      <c r="X660" s="39">
        <v>0</v>
      </c>
      <c r="Y660">
        <v>0</v>
      </c>
      <c r="Z660" s="31">
        <v>0</v>
      </c>
      <c r="AA660">
        <v>8</v>
      </c>
      <c r="AB660" s="3">
        <f t="shared" si="32"/>
        <v>0</v>
      </c>
      <c r="AC660" t="str">
        <f>IF(AB660-S660&lt;0,"YES","NO")</f>
        <v>NO</v>
      </c>
      <c r="AD660">
        <f>IF(AC660="NO",0,AB660-S660)</f>
        <v>0</v>
      </c>
      <c r="AE660" s="43">
        <v>0.08</v>
      </c>
      <c r="AF660" s="3">
        <f t="shared" si="33"/>
        <v>0</v>
      </c>
      <c r="AG660" s="45">
        <f t="shared" si="34"/>
        <v>0</v>
      </c>
      <c r="AH660" s="55"/>
    </row>
    <row r="661" spans="1:34" x14ac:dyDescent="0.25">
      <c r="A661" t="s">
        <v>2681</v>
      </c>
      <c r="B661" t="s">
        <v>2682</v>
      </c>
      <c r="C661" t="s">
        <v>2683</v>
      </c>
      <c r="D661" t="s">
        <v>2684</v>
      </c>
      <c r="E661" t="s">
        <v>2685</v>
      </c>
      <c r="F661" t="s">
        <v>2686</v>
      </c>
      <c r="G661" t="s">
        <v>5</v>
      </c>
      <c r="H661" t="s">
        <v>65</v>
      </c>
      <c r="I661" t="s">
        <v>78</v>
      </c>
      <c r="J661" t="s">
        <v>79</v>
      </c>
      <c r="K661" t="s">
        <v>3</v>
      </c>
      <c r="L661" t="s">
        <v>4</v>
      </c>
      <c r="M661" t="s">
        <v>49</v>
      </c>
      <c r="N661" t="s">
        <v>2687</v>
      </c>
      <c r="O661" s="31" t="s">
        <v>2688</v>
      </c>
      <c r="P661">
        <v>220</v>
      </c>
      <c r="R661">
        <v>2</v>
      </c>
      <c r="S661" s="31">
        <v>150000</v>
      </c>
      <c r="T661" s="39">
        <v>160000</v>
      </c>
      <c r="U661">
        <v>20000</v>
      </c>
      <c r="V661">
        <v>10000</v>
      </c>
      <c r="W661">
        <v>0</v>
      </c>
      <c r="X661" s="39">
        <v>46000</v>
      </c>
      <c r="Y661">
        <v>0</v>
      </c>
      <c r="Z661" s="31">
        <v>130000</v>
      </c>
      <c r="AA661">
        <v>8</v>
      </c>
      <c r="AB661" s="3">
        <f t="shared" si="32"/>
        <v>130000</v>
      </c>
      <c r="AC661" t="str">
        <f>IF(AB661-S661&lt;0,"YES","NO")</f>
        <v>YES</v>
      </c>
      <c r="AD661">
        <f>IF(AC661="NO",0,AB661-S661)</f>
        <v>-20000</v>
      </c>
      <c r="AE661" s="43">
        <v>0.08</v>
      </c>
      <c r="AF661" s="3">
        <f t="shared" si="33"/>
        <v>-18518.518518518518</v>
      </c>
      <c r="AG661" s="45">
        <f t="shared" si="34"/>
        <v>-20370.370370370372</v>
      </c>
      <c r="AH661" s="55"/>
    </row>
    <row r="662" spans="1:34" x14ac:dyDescent="0.25">
      <c r="A662" t="s">
        <v>2689</v>
      </c>
      <c r="B662" t="s">
        <v>2690</v>
      </c>
      <c r="C662" t="s">
        <v>2691</v>
      </c>
      <c r="D662" t="s">
        <v>2692</v>
      </c>
      <c r="E662" t="s">
        <v>2693</v>
      </c>
      <c r="F662" t="s">
        <v>2694</v>
      </c>
      <c r="G662" t="s">
        <v>5</v>
      </c>
      <c r="H662" t="s">
        <v>61</v>
      </c>
      <c r="I662" t="s">
        <v>93</v>
      </c>
      <c r="J662" t="s">
        <v>94</v>
      </c>
      <c r="K662" t="s">
        <v>3</v>
      </c>
      <c r="L662" t="s">
        <v>4</v>
      </c>
      <c r="M662" t="s">
        <v>49</v>
      </c>
      <c r="N662" t="s">
        <v>2695</v>
      </c>
      <c r="O662" s="31" t="s">
        <v>2696</v>
      </c>
      <c r="P662">
        <v>20</v>
      </c>
      <c r="Q662" t="s">
        <v>86</v>
      </c>
      <c r="R662">
        <v>1</v>
      </c>
      <c r="S662" s="31">
        <v>0</v>
      </c>
      <c r="T662" s="39">
        <v>0</v>
      </c>
      <c r="U662">
        <v>0</v>
      </c>
      <c r="V662">
        <v>0</v>
      </c>
      <c r="W662">
        <v>0</v>
      </c>
      <c r="X662" s="39">
        <v>0</v>
      </c>
      <c r="Y662">
        <v>0</v>
      </c>
      <c r="Z662" s="31">
        <v>0</v>
      </c>
      <c r="AA662">
        <v>8</v>
      </c>
      <c r="AB662" s="3">
        <f t="shared" si="32"/>
        <v>0</v>
      </c>
      <c r="AC662" t="str">
        <f>IF(AB662-S662&lt;0,"YES","NO")</f>
        <v>NO</v>
      </c>
      <c r="AD662">
        <f>IF(AC662="NO",0,AB662-S662)</f>
        <v>0</v>
      </c>
      <c r="AE662" s="43">
        <v>0.08</v>
      </c>
      <c r="AF662" s="3">
        <f t="shared" si="33"/>
        <v>0</v>
      </c>
      <c r="AG662" s="45">
        <f t="shared" si="34"/>
        <v>0</v>
      </c>
      <c r="AH662" s="55"/>
    </row>
    <row r="663" spans="1:34" x14ac:dyDescent="0.25">
      <c r="A663" t="s">
        <v>2689</v>
      </c>
      <c r="B663" t="s">
        <v>2690</v>
      </c>
      <c r="C663" t="s">
        <v>2691</v>
      </c>
      <c r="D663" t="s">
        <v>2692</v>
      </c>
      <c r="E663" t="s">
        <v>2693</v>
      </c>
      <c r="F663" t="s">
        <v>2694</v>
      </c>
      <c r="G663" t="s">
        <v>5</v>
      </c>
      <c r="H663" t="s">
        <v>65</v>
      </c>
      <c r="I663" t="s">
        <v>95</v>
      </c>
      <c r="J663" t="s">
        <v>96</v>
      </c>
      <c r="K663" t="s">
        <v>3</v>
      </c>
      <c r="L663" t="s">
        <v>4</v>
      </c>
      <c r="M663" t="s">
        <v>49</v>
      </c>
      <c r="N663" t="s">
        <v>2695</v>
      </c>
      <c r="O663" s="31" t="s">
        <v>2696</v>
      </c>
      <c r="P663">
        <v>200</v>
      </c>
      <c r="R663">
        <v>6</v>
      </c>
      <c r="S663" s="31">
        <v>432000</v>
      </c>
      <c r="T663" s="39">
        <v>480000</v>
      </c>
      <c r="U663">
        <v>75000</v>
      </c>
      <c r="V663">
        <v>40000.019999999997</v>
      </c>
      <c r="W663">
        <v>0</v>
      </c>
      <c r="X663" s="39">
        <v>129750</v>
      </c>
      <c r="Y663">
        <v>0</v>
      </c>
      <c r="Z663" s="31">
        <v>364999.98</v>
      </c>
      <c r="AA663">
        <v>8</v>
      </c>
      <c r="AB663" s="3">
        <f t="shared" si="32"/>
        <v>364999.98</v>
      </c>
      <c r="AC663" t="str">
        <f>IF(AB663-S663&lt;0,"YES","NO")</f>
        <v>YES</v>
      </c>
      <c r="AD663">
        <f>IF(AC663="NO",0,AB663-S663)</f>
        <v>-67000.020000000019</v>
      </c>
      <c r="AE663" s="43">
        <v>0.08</v>
      </c>
      <c r="AF663" s="3">
        <f t="shared" si="33"/>
        <v>-62037.055555555569</v>
      </c>
      <c r="AG663" s="45">
        <f t="shared" si="34"/>
        <v>-68240.761111111133</v>
      </c>
      <c r="AH663" s="55"/>
    </row>
    <row r="664" spans="1:34" x14ac:dyDescent="0.25">
      <c r="A664" t="s">
        <v>2697</v>
      </c>
      <c r="B664" t="s">
        <v>2698</v>
      </c>
      <c r="C664" t="s">
        <v>2699</v>
      </c>
      <c r="D664" t="s">
        <v>2700</v>
      </c>
      <c r="E664" t="s">
        <v>2701</v>
      </c>
      <c r="F664" t="s">
        <v>2702</v>
      </c>
      <c r="G664" t="s">
        <v>5</v>
      </c>
      <c r="H664" t="s">
        <v>61</v>
      </c>
      <c r="I664" t="s">
        <v>75</v>
      </c>
      <c r="J664" t="s">
        <v>76</v>
      </c>
      <c r="K664" t="s">
        <v>3</v>
      </c>
      <c r="L664" t="s">
        <v>4</v>
      </c>
      <c r="M664" t="s">
        <v>49</v>
      </c>
      <c r="N664" t="s">
        <v>2703</v>
      </c>
      <c r="O664" s="31" t="s">
        <v>2704</v>
      </c>
      <c r="P664">
        <v>20</v>
      </c>
      <c r="Q664" t="s">
        <v>77</v>
      </c>
      <c r="R664">
        <v>1</v>
      </c>
      <c r="S664" s="31">
        <v>0</v>
      </c>
      <c r="T664" s="39">
        <v>0</v>
      </c>
      <c r="U664">
        <v>0</v>
      </c>
      <c r="V664">
        <v>0</v>
      </c>
      <c r="W664">
        <v>0</v>
      </c>
      <c r="X664" s="39">
        <v>0</v>
      </c>
      <c r="Y664">
        <v>0</v>
      </c>
      <c r="Z664" s="31">
        <v>0</v>
      </c>
      <c r="AA664">
        <v>8</v>
      </c>
      <c r="AB664" s="3">
        <f t="shared" si="32"/>
        <v>0</v>
      </c>
      <c r="AC664" t="str">
        <f>IF(AB664-S664&lt;0,"YES","NO")</f>
        <v>NO</v>
      </c>
      <c r="AD664">
        <f>IF(AC664="NO",0,AB664-S664)</f>
        <v>0</v>
      </c>
      <c r="AE664" s="43">
        <v>0.08</v>
      </c>
      <c r="AF664" s="3">
        <f t="shared" si="33"/>
        <v>0</v>
      </c>
      <c r="AG664" s="45">
        <f t="shared" si="34"/>
        <v>0</v>
      </c>
      <c r="AH664" s="55"/>
    </row>
    <row r="665" spans="1:34" x14ac:dyDescent="0.25">
      <c r="A665" t="s">
        <v>2697</v>
      </c>
      <c r="B665" t="s">
        <v>2698</v>
      </c>
      <c r="C665" t="s">
        <v>2699</v>
      </c>
      <c r="D665" t="s">
        <v>2700</v>
      </c>
      <c r="E665" t="s">
        <v>2701</v>
      </c>
      <c r="F665" t="s">
        <v>2702</v>
      </c>
      <c r="G665" t="s">
        <v>5</v>
      </c>
      <c r="H665" t="s">
        <v>65</v>
      </c>
      <c r="I665" t="s">
        <v>78</v>
      </c>
      <c r="J665" t="s">
        <v>79</v>
      </c>
      <c r="K665" t="s">
        <v>3</v>
      </c>
      <c r="L665" t="s">
        <v>4</v>
      </c>
      <c r="M665" t="s">
        <v>49</v>
      </c>
      <c r="N665" t="s">
        <v>2703</v>
      </c>
      <c r="O665" s="31" t="s">
        <v>2704</v>
      </c>
      <c r="P665">
        <v>220</v>
      </c>
      <c r="R665">
        <v>12</v>
      </c>
      <c r="S665" s="31">
        <v>900000</v>
      </c>
      <c r="T665" s="39">
        <v>960000</v>
      </c>
      <c r="U665">
        <v>75000</v>
      </c>
      <c r="V665">
        <v>50000.04</v>
      </c>
      <c r="W665">
        <v>0</v>
      </c>
      <c r="X665" s="39">
        <v>250350</v>
      </c>
      <c r="Y665">
        <v>0</v>
      </c>
      <c r="Z665" s="31">
        <v>834999.96</v>
      </c>
      <c r="AA665">
        <v>8</v>
      </c>
      <c r="AB665" s="3">
        <f t="shared" si="32"/>
        <v>834999.96</v>
      </c>
      <c r="AC665" t="str">
        <f>IF(AB665-S665&lt;0,"YES","NO")</f>
        <v>YES</v>
      </c>
      <c r="AD665">
        <f>IF(AC665="NO",0,AB665-S665)</f>
        <v>-65000.040000000037</v>
      </c>
      <c r="AE665" s="43">
        <v>0.08</v>
      </c>
      <c r="AF665" s="3">
        <f t="shared" si="33"/>
        <v>-60185.222222222255</v>
      </c>
      <c r="AG665" s="45">
        <f t="shared" si="34"/>
        <v>-66203.744444444485</v>
      </c>
      <c r="AH665" s="55"/>
    </row>
    <row r="666" spans="1:34" x14ac:dyDescent="0.25">
      <c r="A666" t="s">
        <v>2705</v>
      </c>
      <c r="B666" t="s">
        <v>2706</v>
      </c>
      <c r="C666" t="s">
        <v>2707</v>
      </c>
      <c r="D666" t="s">
        <v>2635</v>
      </c>
      <c r="E666" t="s">
        <v>2708</v>
      </c>
      <c r="F666" t="s">
        <v>2709</v>
      </c>
      <c r="G666" t="s">
        <v>5</v>
      </c>
      <c r="H666" t="s">
        <v>61</v>
      </c>
      <c r="I666" t="s">
        <v>62</v>
      </c>
      <c r="J666" t="s">
        <v>63</v>
      </c>
      <c r="K666" t="s">
        <v>3</v>
      </c>
      <c r="L666" t="s">
        <v>4</v>
      </c>
      <c r="M666" t="s">
        <v>49</v>
      </c>
      <c r="N666" t="s">
        <v>2710</v>
      </c>
      <c r="O666" s="31" t="s">
        <v>2711</v>
      </c>
      <c r="P666">
        <v>20000</v>
      </c>
      <c r="Q666" t="s">
        <v>64</v>
      </c>
      <c r="R666">
        <v>1</v>
      </c>
      <c r="S666" s="31">
        <v>0</v>
      </c>
      <c r="T666" s="39">
        <v>0</v>
      </c>
      <c r="U666">
        <v>0</v>
      </c>
      <c r="V666">
        <v>0</v>
      </c>
      <c r="W666">
        <v>0</v>
      </c>
      <c r="X666" s="39">
        <v>0</v>
      </c>
      <c r="Y666">
        <v>0</v>
      </c>
      <c r="Z666" s="31">
        <v>0</v>
      </c>
      <c r="AA666">
        <v>8</v>
      </c>
      <c r="AB666" s="3">
        <f t="shared" si="32"/>
        <v>0</v>
      </c>
      <c r="AC666" t="str">
        <f>IF(AB666-S666&lt;0,"YES","NO")</f>
        <v>NO</v>
      </c>
      <c r="AD666">
        <f>IF(AC666="NO",0,AB666-S666)</f>
        <v>0</v>
      </c>
      <c r="AE666" s="43">
        <v>0.08</v>
      </c>
      <c r="AF666" s="3">
        <f t="shared" si="33"/>
        <v>0</v>
      </c>
      <c r="AG666" s="45">
        <f t="shared" si="34"/>
        <v>0</v>
      </c>
      <c r="AH666" s="55"/>
    </row>
    <row r="667" spans="1:34" x14ac:dyDescent="0.25">
      <c r="A667" t="s">
        <v>2705</v>
      </c>
      <c r="B667" t="s">
        <v>2706</v>
      </c>
      <c r="C667" t="s">
        <v>2707</v>
      </c>
      <c r="D667" t="s">
        <v>2635</v>
      </c>
      <c r="E667" t="s">
        <v>2708</v>
      </c>
      <c r="F667" t="s">
        <v>2709</v>
      </c>
      <c r="G667" t="s">
        <v>5</v>
      </c>
      <c r="H667" t="s">
        <v>61</v>
      </c>
      <c r="I667" t="s">
        <v>84</v>
      </c>
      <c r="J667" t="s">
        <v>85</v>
      </c>
      <c r="K667" t="s">
        <v>3</v>
      </c>
      <c r="L667" t="s">
        <v>4</v>
      </c>
      <c r="M667" t="s">
        <v>49</v>
      </c>
      <c r="N667" t="s">
        <v>2710</v>
      </c>
      <c r="O667" s="31" t="s">
        <v>2711</v>
      </c>
      <c r="P667">
        <v>100</v>
      </c>
      <c r="Q667" t="s">
        <v>86</v>
      </c>
      <c r="R667">
        <v>1</v>
      </c>
      <c r="S667" s="31">
        <v>0</v>
      </c>
      <c r="T667" s="39">
        <v>0</v>
      </c>
      <c r="U667">
        <v>0</v>
      </c>
      <c r="V667">
        <v>0</v>
      </c>
      <c r="W667">
        <v>0</v>
      </c>
      <c r="X667" s="39">
        <v>0</v>
      </c>
      <c r="Y667">
        <v>0</v>
      </c>
      <c r="Z667" s="31">
        <v>0</v>
      </c>
      <c r="AA667">
        <v>8</v>
      </c>
      <c r="AB667" s="3">
        <f t="shared" si="32"/>
        <v>0</v>
      </c>
      <c r="AC667" t="str">
        <f>IF(AB667-S667&lt;0,"YES","NO")</f>
        <v>NO</v>
      </c>
      <c r="AD667">
        <f>IF(AC667="NO",0,AB667-S667)</f>
        <v>0</v>
      </c>
      <c r="AE667" s="43">
        <v>0.08</v>
      </c>
      <c r="AF667" s="3">
        <f t="shared" si="33"/>
        <v>0</v>
      </c>
      <c r="AG667" s="45">
        <f t="shared" si="34"/>
        <v>0</v>
      </c>
      <c r="AH667" s="55"/>
    </row>
    <row r="668" spans="1:34" x14ac:dyDescent="0.25">
      <c r="A668" t="s">
        <v>2705</v>
      </c>
      <c r="B668" t="s">
        <v>2706</v>
      </c>
      <c r="C668" t="s">
        <v>2707</v>
      </c>
      <c r="D668" t="s">
        <v>2635</v>
      </c>
      <c r="E668" t="s">
        <v>2708</v>
      </c>
      <c r="F668" t="s">
        <v>2709</v>
      </c>
      <c r="G668" t="s">
        <v>5</v>
      </c>
      <c r="H668" t="s">
        <v>65</v>
      </c>
      <c r="I668" t="s">
        <v>71</v>
      </c>
      <c r="J668" t="s">
        <v>72</v>
      </c>
      <c r="K668" t="s">
        <v>3</v>
      </c>
      <c r="L668" t="s">
        <v>4</v>
      </c>
      <c r="M668" t="s">
        <v>49</v>
      </c>
      <c r="N668" t="s">
        <v>2710</v>
      </c>
      <c r="O668" s="31" t="s">
        <v>2711</v>
      </c>
      <c r="P668">
        <v>220</v>
      </c>
      <c r="Q668" t="s">
        <v>70</v>
      </c>
      <c r="R668">
        <v>2</v>
      </c>
      <c r="S668" s="31">
        <v>118000</v>
      </c>
      <c r="T668" s="39">
        <v>130000</v>
      </c>
      <c r="U668">
        <v>5974</v>
      </c>
      <c r="V668">
        <v>12000</v>
      </c>
      <c r="W668">
        <v>0</v>
      </c>
      <c r="X668" s="39">
        <v>21657</v>
      </c>
      <c r="Y668">
        <v>0</v>
      </c>
      <c r="Z668" s="31">
        <v>112026</v>
      </c>
      <c r="AA668">
        <v>8</v>
      </c>
      <c r="AB668" s="3">
        <f t="shared" si="32"/>
        <v>112026</v>
      </c>
      <c r="AC668" t="str">
        <f>IF(AB668-S668&lt;0,"YES","NO")</f>
        <v>YES</v>
      </c>
      <c r="AD668">
        <f>IF(AC668="NO",0,AB668-S668)</f>
        <v>-5974</v>
      </c>
      <c r="AE668" s="43">
        <v>0.08</v>
      </c>
      <c r="AF668" s="3">
        <f t="shared" si="33"/>
        <v>-5531.4814814814808</v>
      </c>
      <c r="AG668" s="45">
        <f t="shared" si="34"/>
        <v>-6084.6296296296296</v>
      </c>
      <c r="AH668" s="55"/>
    </row>
    <row r="669" spans="1:34" x14ac:dyDescent="0.25">
      <c r="A669" t="s">
        <v>2705</v>
      </c>
      <c r="B669" t="s">
        <v>2706</v>
      </c>
      <c r="C669" t="s">
        <v>2707</v>
      </c>
      <c r="D669" t="s">
        <v>2635</v>
      </c>
      <c r="E669" t="s">
        <v>2708</v>
      </c>
      <c r="F669" t="s">
        <v>2709</v>
      </c>
      <c r="G669" t="s">
        <v>5</v>
      </c>
      <c r="H669" t="s">
        <v>65</v>
      </c>
      <c r="I669" t="s">
        <v>87</v>
      </c>
      <c r="J669" t="s">
        <v>88</v>
      </c>
      <c r="K669" t="s">
        <v>3</v>
      </c>
      <c r="L669" t="s">
        <v>4</v>
      </c>
      <c r="M669" t="s">
        <v>49</v>
      </c>
      <c r="N669" t="s">
        <v>2710</v>
      </c>
      <c r="O669" s="31" t="s">
        <v>2711</v>
      </c>
      <c r="P669">
        <v>220</v>
      </c>
      <c r="Q669" t="s">
        <v>89</v>
      </c>
      <c r="R669">
        <v>2</v>
      </c>
      <c r="S669" s="31">
        <v>118000</v>
      </c>
      <c r="T669" s="39">
        <v>140000</v>
      </c>
      <c r="U669">
        <v>6431</v>
      </c>
      <c r="V669">
        <v>13000</v>
      </c>
      <c r="W669">
        <v>0</v>
      </c>
      <c r="X669" s="39">
        <v>23311</v>
      </c>
      <c r="Y669">
        <v>0</v>
      </c>
      <c r="Z669" s="31">
        <v>120569</v>
      </c>
      <c r="AA669">
        <v>8</v>
      </c>
      <c r="AB669" s="3">
        <f t="shared" si="32"/>
        <v>120569</v>
      </c>
      <c r="AC669" t="str">
        <f>IF(AB669-S669&lt;0,"YES","NO")</f>
        <v>NO</v>
      </c>
      <c r="AD669">
        <f>IF(AC669="NO",0,AB669-S669)</f>
        <v>0</v>
      </c>
      <c r="AE669" s="43">
        <v>0.08</v>
      </c>
      <c r="AF669" s="3">
        <f t="shared" si="33"/>
        <v>0</v>
      </c>
      <c r="AG669" s="45">
        <f t="shared" si="34"/>
        <v>0</v>
      </c>
      <c r="AH669" s="55"/>
    </row>
    <row r="670" spans="1:34" x14ac:dyDescent="0.25">
      <c r="A670" t="s">
        <v>2705</v>
      </c>
      <c r="B670" t="s">
        <v>2706</v>
      </c>
      <c r="C670" t="s">
        <v>2707</v>
      </c>
      <c r="D670" t="s">
        <v>2635</v>
      </c>
      <c r="E670" t="s">
        <v>2708</v>
      </c>
      <c r="F670" t="s">
        <v>2709</v>
      </c>
      <c r="G670" t="s">
        <v>5</v>
      </c>
      <c r="H670" t="s">
        <v>65</v>
      </c>
      <c r="I670" t="s">
        <v>66</v>
      </c>
      <c r="J670" t="s">
        <v>67</v>
      </c>
      <c r="K670" t="s">
        <v>3</v>
      </c>
      <c r="L670" t="s">
        <v>4</v>
      </c>
      <c r="M670" t="s">
        <v>49</v>
      </c>
      <c r="N670" t="s">
        <v>2710</v>
      </c>
      <c r="O670" s="31" t="s">
        <v>2711</v>
      </c>
      <c r="P670">
        <v>220</v>
      </c>
      <c r="R670">
        <v>2</v>
      </c>
      <c r="S670" s="31">
        <v>150000</v>
      </c>
      <c r="T670" s="39">
        <v>160000</v>
      </c>
      <c r="U670">
        <v>7595</v>
      </c>
      <c r="V670">
        <v>10000</v>
      </c>
      <c r="W670">
        <v>0</v>
      </c>
      <c r="X670" s="39">
        <v>27532</v>
      </c>
      <c r="Y670">
        <v>0</v>
      </c>
      <c r="Z670" s="31">
        <v>142405</v>
      </c>
      <c r="AA670">
        <v>8</v>
      </c>
      <c r="AB670" s="3">
        <f t="shared" si="32"/>
        <v>142405</v>
      </c>
      <c r="AC670" t="str">
        <f>IF(AB670-S670&lt;0,"YES","NO")</f>
        <v>YES</v>
      </c>
      <c r="AD670">
        <f>IF(AC670="NO",0,AB670-S670)</f>
        <v>-7595</v>
      </c>
      <c r="AE670" s="43">
        <v>0.08</v>
      </c>
      <c r="AF670" s="3">
        <f t="shared" si="33"/>
        <v>-7032.4074074074069</v>
      </c>
      <c r="AG670" s="45">
        <f t="shared" si="34"/>
        <v>-7735.6481481481478</v>
      </c>
      <c r="AH670" s="55"/>
    </row>
    <row r="671" spans="1:34" x14ac:dyDescent="0.25">
      <c r="A671" t="s">
        <v>2712</v>
      </c>
      <c r="B671" t="s">
        <v>2713</v>
      </c>
      <c r="C671" t="s">
        <v>2714</v>
      </c>
      <c r="D671" t="s">
        <v>2715</v>
      </c>
      <c r="E671" t="s">
        <v>2716</v>
      </c>
      <c r="F671" t="s">
        <v>2717</v>
      </c>
      <c r="G671" t="s">
        <v>5</v>
      </c>
      <c r="H671" t="s">
        <v>61</v>
      </c>
      <c r="I671" t="s">
        <v>84</v>
      </c>
      <c r="J671" t="s">
        <v>85</v>
      </c>
      <c r="K671" t="s">
        <v>3</v>
      </c>
      <c r="L671" t="s">
        <v>4</v>
      </c>
      <c r="M671" t="s">
        <v>49</v>
      </c>
      <c r="N671" t="s">
        <v>2718</v>
      </c>
      <c r="O671" s="31" t="s">
        <v>2719</v>
      </c>
      <c r="P671">
        <v>100</v>
      </c>
      <c r="Q671" t="s">
        <v>86</v>
      </c>
      <c r="R671">
        <v>1</v>
      </c>
      <c r="S671" s="31">
        <v>0</v>
      </c>
      <c r="T671" s="39">
        <v>0</v>
      </c>
      <c r="U671">
        <v>0</v>
      </c>
      <c r="V671">
        <v>0</v>
      </c>
      <c r="W671">
        <v>0</v>
      </c>
      <c r="X671" s="39">
        <v>0</v>
      </c>
      <c r="Y671">
        <v>0</v>
      </c>
      <c r="Z671" s="31">
        <v>0</v>
      </c>
      <c r="AA671">
        <v>8</v>
      </c>
      <c r="AB671" s="3">
        <f t="shared" si="32"/>
        <v>0</v>
      </c>
      <c r="AC671" t="str">
        <f>IF(AB671-S671&lt;0,"YES","NO")</f>
        <v>NO</v>
      </c>
      <c r="AD671">
        <f>IF(AC671="NO",0,AB671-S671)</f>
        <v>0</v>
      </c>
      <c r="AE671" s="43">
        <v>0.08</v>
      </c>
      <c r="AF671" s="3">
        <f t="shared" si="33"/>
        <v>0</v>
      </c>
      <c r="AG671" s="45">
        <f t="shared" si="34"/>
        <v>0</v>
      </c>
      <c r="AH671" s="55"/>
    </row>
    <row r="672" spans="1:34" x14ac:dyDescent="0.25">
      <c r="A672" t="s">
        <v>2712</v>
      </c>
      <c r="B672" t="s">
        <v>2713</v>
      </c>
      <c r="C672" t="s">
        <v>2714</v>
      </c>
      <c r="D672" t="s">
        <v>2715</v>
      </c>
      <c r="E672" t="s">
        <v>2716</v>
      </c>
      <c r="F672" t="s">
        <v>2717</v>
      </c>
      <c r="G672" t="s">
        <v>5</v>
      </c>
      <c r="H672" t="s">
        <v>65</v>
      </c>
      <c r="I672" t="s">
        <v>66</v>
      </c>
      <c r="J672" t="s">
        <v>67</v>
      </c>
      <c r="K672" t="s">
        <v>3</v>
      </c>
      <c r="L672" t="s">
        <v>4</v>
      </c>
      <c r="M672" t="s">
        <v>49</v>
      </c>
      <c r="N672" t="s">
        <v>2718</v>
      </c>
      <c r="O672" s="31" t="s">
        <v>2719</v>
      </c>
      <c r="P672">
        <v>220</v>
      </c>
      <c r="R672">
        <v>6</v>
      </c>
      <c r="S672" s="31">
        <v>450000</v>
      </c>
      <c r="T672" s="39">
        <v>480000</v>
      </c>
      <c r="U672">
        <v>79999.98</v>
      </c>
      <c r="V672">
        <v>48000</v>
      </c>
      <c r="W672">
        <v>0</v>
      </c>
      <c r="X672" s="39">
        <v>136320</v>
      </c>
      <c r="Y672">
        <v>0</v>
      </c>
      <c r="Z672" s="31">
        <v>352000.02</v>
      </c>
      <c r="AA672">
        <v>8</v>
      </c>
      <c r="AB672" s="3">
        <f t="shared" si="32"/>
        <v>352000.02</v>
      </c>
      <c r="AC672" t="str">
        <f>IF(AB672-S672&lt;0,"YES","NO")</f>
        <v>YES</v>
      </c>
      <c r="AD672">
        <f>IF(AC672="NO",0,AB672-S672)</f>
        <v>-97999.979999999981</v>
      </c>
      <c r="AE672" s="43">
        <v>0.08</v>
      </c>
      <c r="AF672" s="3">
        <f t="shared" si="33"/>
        <v>-90740.722222222204</v>
      </c>
      <c r="AG672" s="45">
        <f t="shared" si="34"/>
        <v>-99814.794444444429</v>
      </c>
      <c r="AH672" s="55"/>
    </row>
    <row r="673" spans="1:34" x14ac:dyDescent="0.25">
      <c r="A673" t="s">
        <v>2720</v>
      </c>
      <c r="B673" t="s">
        <v>2721</v>
      </c>
      <c r="C673" t="s">
        <v>2722</v>
      </c>
      <c r="D673" t="s">
        <v>2723</v>
      </c>
      <c r="E673" t="s">
        <v>2724</v>
      </c>
      <c r="F673" t="s">
        <v>2725</v>
      </c>
      <c r="G673" t="s">
        <v>5</v>
      </c>
      <c r="H673" t="s">
        <v>61</v>
      </c>
      <c r="I673" t="s">
        <v>84</v>
      </c>
      <c r="J673" t="s">
        <v>85</v>
      </c>
      <c r="K673" t="s">
        <v>3</v>
      </c>
      <c r="L673" t="s">
        <v>4</v>
      </c>
      <c r="M673" t="s">
        <v>49</v>
      </c>
      <c r="N673" t="s">
        <v>2726</v>
      </c>
      <c r="O673" s="31" t="s">
        <v>2727</v>
      </c>
      <c r="P673">
        <v>100</v>
      </c>
      <c r="Q673" t="s">
        <v>86</v>
      </c>
      <c r="R673">
        <v>1</v>
      </c>
      <c r="S673" s="31">
        <v>0</v>
      </c>
      <c r="T673" s="39">
        <v>0</v>
      </c>
      <c r="U673">
        <v>0</v>
      </c>
      <c r="V673">
        <v>0</v>
      </c>
      <c r="W673">
        <v>0</v>
      </c>
      <c r="X673" s="39">
        <v>0</v>
      </c>
      <c r="Y673">
        <v>0</v>
      </c>
      <c r="Z673" s="31">
        <v>0</v>
      </c>
      <c r="AA673">
        <v>8</v>
      </c>
      <c r="AB673" s="3">
        <f t="shared" si="32"/>
        <v>0</v>
      </c>
      <c r="AC673" t="str">
        <f>IF(AB673-S673&lt;0,"YES","NO")</f>
        <v>NO</v>
      </c>
      <c r="AD673">
        <f>IF(AC673="NO",0,AB673-S673)</f>
        <v>0</v>
      </c>
      <c r="AE673" s="43">
        <v>0.08</v>
      </c>
      <c r="AF673" s="3">
        <f t="shared" si="33"/>
        <v>0</v>
      </c>
      <c r="AG673" s="45">
        <f t="shared" si="34"/>
        <v>0</v>
      </c>
      <c r="AH673" s="55"/>
    </row>
    <row r="674" spans="1:34" x14ac:dyDescent="0.25">
      <c r="A674" t="s">
        <v>2720</v>
      </c>
      <c r="B674" t="s">
        <v>2721</v>
      </c>
      <c r="C674" t="s">
        <v>2722</v>
      </c>
      <c r="D674" t="s">
        <v>2723</v>
      </c>
      <c r="E674" t="s">
        <v>2724</v>
      </c>
      <c r="F674" t="s">
        <v>2725</v>
      </c>
      <c r="G674" t="s">
        <v>5</v>
      </c>
      <c r="H674" t="s">
        <v>65</v>
      </c>
      <c r="I674" t="s">
        <v>80</v>
      </c>
      <c r="J674" t="s">
        <v>81</v>
      </c>
      <c r="K674" t="s">
        <v>3</v>
      </c>
      <c r="L674" t="s">
        <v>4</v>
      </c>
      <c r="M674" t="s">
        <v>49</v>
      </c>
      <c r="N674" t="s">
        <v>2726</v>
      </c>
      <c r="O674" s="31" t="s">
        <v>2727</v>
      </c>
      <c r="P674">
        <v>220</v>
      </c>
      <c r="R674">
        <v>3</v>
      </c>
      <c r="S674" s="31">
        <v>225000</v>
      </c>
      <c r="T674" s="39">
        <v>240000</v>
      </c>
      <c r="U674">
        <v>35000.01</v>
      </c>
      <c r="V674">
        <v>60000</v>
      </c>
      <c r="W674">
        <v>0</v>
      </c>
      <c r="X674" s="39">
        <v>66896.009999999995</v>
      </c>
      <c r="Y674">
        <v>0</v>
      </c>
      <c r="Z674" s="31">
        <v>144999.99</v>
      </c>
      <c r="AA674">
        <v>8</v>
      </c>
      <c r="AB674" s="3">
        <f t="shared" si="32"/>
        <v>144999.99</v>
      </c>
      <c r="AC674" t="str">
        <f>IF(AB674-S674&lt;0,"YES","NO")</f>
        <v>YES</v>
      </c>
      <c r="AD674">
        <f>IF(AC674="NO",0,AB674-S674)</f>
        <v>-80000.010000000009</v>
      </c>
      <c r="AE674" s="43">
        <v>0.08</v>
      </c>
      <c r="AF674" s="3">
        <f t="shared" si="33"/>
        <v>-74074.083333333343</v>
      </c>
      <c r="AG674" s="45">
        <f t="shared" si="34"/>
        <v>-81481.491666666683</v>
      </c>
      <c r="AH674" s="55"/>
    </row>
    <row r="675" spans="1:34" x14ac:dyDescent="0.25">
      <c r="A675" t="s">
        <v>2728</v>
      </c>
      <c r="B675" t="s">
        <v>2729</v>
      </c>
      <c r="C675" t="s">
        <v>2730</v>
      </c>
      <c r="D675" t="s">
        <v>2731</v>
      </c>
      <c r="E675" t="s">
        <v>2732</v>
      </c>
      <c r="F675" t="s">
        <v>2733</v>
      </c>
      <c r="G675" t="s">
        <v>5</v>
      </c>
      <c r="H675" t="s">
        <v>61</v>
      </c>
      <c r="I675" t="s">
        <v>84</v>
      </c>
      <c r="J675" t="s">
        <v>85</v>
      </c>
      <c r="K675" t="s">
        <v>3</v>
      </c>
      <c r="L675" t="s">
        <v>4</v>
      </c>
      <c r="M675" t="s">
        <v>49</v>
      </c>
      <c r="N675" t="s">
        <v>2734</v>
      </c>
      <c r="O675" s="31" t="s">
        <v>2735</v>
      </c>
      <c r="P675">
        <v>100</v>
      </c>
      <c r="Q675" t="s">
        <v>86</v>
      </c>
      <c r="R675">
        <v>1</v>
      </c>
      <c r="S675" s="31">
        <v>0</v>
      </c>
      <c r="T675" s="39">
        <v>0</v>
      </c>
      <c r="U675">
        <v>0</v>
      </c>
      <c r="V675">
        <v>0</v>
      </c>
      <c r="W675">
        <v>0</v>
      </c>
      <c r="X675" s="39">
        <v>0</v>
      </c>
      <c r="Y675">
        <v>0</v>
      </c>
      <c r="Z675" s="31">
        <v>0</v>
      </c>
      <c r="AA675">
        <v>8</v>
      </c>
      <c r="AB675" s="3">
        <f t="shared" si="32"/>
        <v>0</v>
      </c>
      <c r="AC675" t="str">
        <f>IF(AB675-S675&lt;0,"YES","NO")</f>
        <v>NO</v>
      </c>
      <c r="AD675">
        <f>IF(AC675="NO",0,AB675-S675)</f>
        <v>0</v>
      </c>
      <c r="AE675" s="43">
        <v>0.08</v>
      </c>
      <c r="AF675" s="3">
        <f t="shared" si="33"/>
        <v>0</v>
      </c>
      <c r="AG675" s="45">
        <f t="shared" si="34"/>
        <v>0</v>
      </c>
      <c r="AH675" s="55"/>
    </row>
    <row r="676" spans="1:34" x14ac:dyDescent="0.25">
      <c r="A676" t="s">
        <v>2728</v>
      </c>
      <c r="B676" t="s">
        <v>2729</v>
      </c>
      <c r="C676" t="s">
        <v>2730</v>
      </c>
      <c r="D676" t="s">
        <v>2731</v>
      </c>
      <c r="E676" t="s">
        <v>2732</v>
      </c>
      <c r="F676" t="s">
        <v>2733</v>
      </c>
      <c r="G676" t="s">
        <v>5</v>
      </c>
      <c r="H676" t="s">
        <v>65</v>
      </c>
      <c r="I676" t="s">
        <v>78</v>
      </c>
      <c r="J676" t="s">
        <v>79</v>
      </c>
      <c r="K676" t="s">
        <v>3</v>
      </c>
      <c r="L676" t="s">
        <v>4</v>
      </c>
      <c r="M676" t="s">
        <v>49</v>
      </c>
      <c r="N676" t="s">
        <v>2734</v>
      </c>
      <c r="O676" s="31" t="s">
        <v>2735</v>
      </c>
      <c r="P676">
        <v>220</v>
      </c>
      <c r="R676">
        <v>2</v>
      </c>
      <c r="S676" s="31">
        <v>150000</v>
      </c>
      <c r="T676" s="39">
        <v>160000</v>
      </c>
      <c r="U676">
        <v>20000</v>
      </c>
      <c r="V676">
        <v>10000</v>
      </c>
      <c r="W676">
        <v>0</v>
      </c>
      <c r="X676" s="39">
        <v>40000</v>
      </c>
      <c r="Y676">
        <v>0</v>
      </c>
      <c r="Z676" s="31">
        <v>130000</v>
      </c>
      <c r="AA676">
        <v>8</v>
      </c>
      <c r="AB676" s="3">
        <f t="shared" si="32"/>
        <v>130000</v>
      </c>
      <c r="AC676" t="str">
        <f>IF(AB676-S676&lt;0,"YES","NO")</f>
        <v>YES</v>
      </c>
      <c r="AD676">
        <f>IF(AC676="NO",0,AB676-S676)</f>
        <v>-20000</v>
      </c>
      <c r="AE676" s="43">
        <v>0.08</v>
      </c>
      <c r="AF676" s="3">
        <f t="shared" si="33"/>
        <v>-18518.518518518518</v>
      </c>
      <c r="AG676" s="45">
        <f t="shared" si="34"/>
        <v>-20370.370370370372</v>
      </c>
      <c r="AH676" s="55"/>
    </row>
    <row r="677" spans="1:34" x14ac:dyDescent="0.25">
      <c r="A677" t="s">
        <v>2736</v>
      </c>
      <c r="B677" t="s">
        <v>2737</v>
      </c>
      <c r="C677" t="s">
        <v>2738</v>
      </c>
      <c r="D677" t="s">
        <v>2739</v>
      </c>
      <c r="E677" t="s">
        <v>2740</v>
      </c>
      <c r="F677" t="s">
        <v>2741</v>
      </c>
      <c r="G677" t="s">
        <v>5</v>
      </c>
      <c r="H677" t="s">
        <v>61</v>
      </c>
      <c r="I677" t="s">
        <v>75</v>
      </c>
      <c r="J677" t="s">
        <v>76</v>
      </c>
      <c r="K677" t="s">
        <v>3</v>
      </c>
      <c r="L677" t="s">
        <v>4</v>
      </c>
      <c r="M677" t="s">
        <v>49</v>
      </c>
      <c r="N677" t="s">
        <v>2742</v>
      </c>
      <c r="O677" s="31" t="s">
        <v>2743</v>
      </c>
      <c r="P677">
        <v>20</v>
      </c>
      <c r="Q677" t="s">
        <v>77</v>
      </c>
      <c r="R677">
        <v>1</v>
      </c>
      <c r="S677" s="31">
        <v>0</v>
      </c>
      <c r="T677" s="39">
        <v>0</v>
      </c>
      <c r="U677">
        <v>0</v>
      </c>
      <c r="V677">
        <v>0</v>
      </c>
      <c r="W677">
        <v>0</v>
      </c>
      <c r="X677" s="39">
        <v>0</v>
      </c>
      <c r="Y677">
        <v>0</v>
      </c>
      <c r="Z677" s="31">
        <v>0</v>
      </c>
      <c r="AA677">
        <v>8</v>
      </c>
      <c r="AB677" s="3">
        <f t="shared" si="32"/>
        <v>0</v>
      </c>
      <c r="AC677" t="str">
        <f>IF(AB677-S677&lt;0,"YES","NO")</f>
        <v>NO</v>
      </c>
      <c r="AD677">
        <f>IF(AC677="NO",0,AB677-S677)</f>
        <v>0</v>
      </c>
      <c r="AE677" s="43">
        <v>0.08</v>
      </c>
      <c r="AF677" s="3">
        <f t="shared" si="33"/>
        <v>0</v>
      </c>
      <c r="AG677" s="45">
        <f t="shared" si="34"/>
        <v>0</v>
      </c>
      <c r="AH677" s="55"/>
    </row>
    <row r="678" spans="1:34" x14ac:dyDescent="0.25">
      <c r="A678" t="s">
        <v>2736</v>
      </c>
      <c r="B678" t="s">
        <v>2737</v>
      </c>
      <c r="C678" t="s">
        <v>2738</v>
      </c>
      <c r="D678" t="s">
        <v>2739</v>
      </c>
      <c r="E678" t="s">
        <v>2740</v>
      </c>
      <c r="F678" t="s">
        <v>2741</v>
      </c>
      <c r="G678" t="s">
        <v>5</v>
      </c>
      <c r="H678" t="s">
        <v>65</v>
      </c>
      <c r="I678" t="s">
        <v>66</v>
      </c>
      <c r="J678" t="s">
        <v>67</v>
      </c>
      <c r="K678" t="s">
        <v>3</v>
      </c>
      <c r="L678" t="s">
        <v>4</v>
      </c>
      <c r="M678" t="s">
        <v>49</v>
      </c>
      <c r="N678" t="s">
        <v>2742</v>
      </c>
      <c r="O678" s="31" t="s">
        <v>2743</v>
      </c>
      <c r="P678">
        <v>220</v>
      </c>
      <c r="R678">
        <v>2</v>
      </c>
      <c r="S678" s="31">
        <v>150000</v>
      </c>
      <c r="T678" s="39">
        <v>160000</v>
      </c>
      <c r="U678">
        <v>25000</v>
      </c>
      <c r="V678">
        <v>8333.34</v>
      </c>
      <c r="W678">
        <v>0</v>
      </c>
      <c r="X678" s="39">
        <v>45266.66</v>
      </c>
      <c r="Y678">
        <v>0</v>
      </c>
      <c r="Z678" s="31">
        <v>126666.66</v>
      </c>
      <c r="AA678">
        <v>8</v>
      </c>
      <c r="AB678" s="3">
        <f t="shared" si="32"/>
        <v>126666.66</v>
      </c>
      <c r="AC678" t="str">
        <f>IF(AB678-S678&lt;0,"YES","NO")</f>
        <v>YES</v>
      </c>
      <c r="AD678">
        <f>IF(AC678="NO",0,AB678-S678)</f>
        <v>-23333.339999999997</v>
      </c>
      <c r="AE678" s="43">
        <v>0.08</v>
      </c>
      <c r="AF678" s="3">
        <f t="shared" si="33"/>
        <v>-21604.944444444438</v>
      </c>
      <c r="AG678" s="45">
        <f t="shared" si="34"/>
        <v>-23765.438888888883</v>
      </c>
      <c r="AH678" s="55"/>
    </row>
    <row r="679" spans="1:34" x14ac:dyDescent="0.25">
      <c r="A679" t="s">
        <v>2736</v>
      </c>
      <c r="B679" t="s">
        <v>2737</v>
      </c>
      <c r="C679" t="s">
        <v>2738</v>
      </c>
      <c r="D679" t="s">
        <v>2739</v>
      </c>
      <c r="E679" t="s">
        <v>2740</v>
      </c>
      <c r="F679" t="s">
        <v>2741</v>
      </c>
      <c r="G679" t="s">
        <v>5</v>
      </c>
      <c r="H679" t="s">
        <v>65</v>
      </c>
      <c r="I679" t="s">
        <v>78</v>
      </c>
      <c r="J679" t="s">
        <v>79</v>
      </c>
      <c r="K679" t="s">
        <v>3</v>
      </c>
      <c r="L679" t="s">
        <v>4</v>
      </c>
      <c r="M679" t="s">
        <v>49</v>
      </c>
      <c r="N679" t="s">
        <v>2742</v>
      </c>
      <c r="O679" s="31" t="s">
        <v>2743</v>
      </c>
      <c r="P679">
        <v>220</v>
      </c>
      <c r="R679">
        <v>2</v>
      </c>
      <c r="S679" s="31">
        <v>150000</v>
      </c>
      <c r="T679" s="39">
        <v>160000</v>
      </c>
      <c r="U679">
        <v>25000</v>
      </c>
      <c r="V679">
        <v>8333.34</v>
      </c>
      <c r="W679">
        <v>0</v>
      </c>
      <c r="X679" s="39">
        <v>45266.66</v>
      </c>
      <c r="Y679">
        <v>0</v>
      </c>
      <c r="Z679" s="31">
        <v>126666.66</v>
      </c>
      <c r="AA679">
        <v>8</v>
      </c>
      <c r="AB679" s="3">
        <f t="shared" si="32"/>
        <v>126666.66</v>
      </c>
      <c r="AC679" t="str">
        <f>IF(AB679-S679&lt;0,"YES","NO")</f>
        <v>YES</v>
      </c>
      <c r="AD679">
        <f>IF(AC679="NO",0,AB679-S679)</f>
        <v>-23333.339999999997</v>
      </c>
      <c r="AE679" s="43">
        <v>0.08</v>
      </c>
      <c r="AF679" s="3">
        <f t="shared" si="33"/>
        <v>-21604.944444444438</v>
      </c>
      <c r="AG679" s="45">
        <f t="shared" si="34"/>
        <v>-23765.438888888883</v>
      </c>
      <c r="AH679" s="55"/>
    </row>
    <row r="680" spans="1:34" x14ac:dyDescent="0.25">
      <c r="A680" t="s">
        <v>2736</v>
      </c>
      <c r="B680" t="s">
        <v>2737</v>
      </c>
      <c r="C680" t="s">
        <v>2738</v>
      </c>
      <c r="D680" t="s">
        <v>2739</v>
      </c>
      <c r="E680" t="s">
        <v>2740</v>
      </c>
      <c r="F680" t="s">
        <v>2741</v>
      </c>
      <c r="G680" t="s">
        <v>5</v>
      </c>
      <c r="H680" t="s">
        <v>65</v>
      </c>
      <c r="I680" t="s">
        <v>80</v>
      </c>
      <c r="J680" t="s">
        <v>81</v>
      </c>
      <c r="K680" t="s">
        <v>3</v>
      </c>
      <c r="L680" t="s">
        <v>4</v>
      </c>
      <c r="M680" t="s">
        <v>49</v>
      </c>
      <c r="N680" t="s">
        <v>2742</v>
      </c>
      <c r="O680" s="31" t="s">
        <v>2743</v>
      </c>
      <c r="P680">
        <v>220</v>
      </c>
      <c r="R680">
        <v>2</v>
      </c>
      <c r="S680" s="31">
        <v>150000</v>
      </c>
      <c r="T680" s="39">
        <v>160000</v>
      </c>
      <c r="U680">
        <v>25000</v>
      </c>
      <c r="V680">
        <v>8333.34</v>
      </c>
      <c r="W680">
        <v>0</v>
      </c>
      <c r="X680" s="39">
        <v>45266.66</v>
      </c>
      <c r="Y680">
        <v>0</v>
      </c>
      <c r="Z680" s="31">
        <v>126666.66</v>
      </c>
      <c r="AA680">
        <v>8</v>
      </c>
      <c r="AB680" s="3">
        <f t="shared" si="32"/>
        <v>126666.66</v>
      </c>
      <c r="AC680" t="str">
        <f>IF(AB680-S680&lt;0,"YES","NO")</f>
        <v>YES</v>
      </c>
      <c r="AD680">
        <f>IF(AC680="NO",0,AB680-S680)</f>
        <v>-23333.339999999997</v>
      </c>
      <c r="AE680" s="43">
        <v>0.08</v>
      </c>
      <c r="AF680" s="3">
        <f t="shared" si="33"/>
        <v>-21604.944444444438</v>
      </c>
      <c r="AG680" s="45">
        <f t="shared" si="34"/>
        <v>-23765.438888888883</v>
      </c>
      <c r="AH680" s="55"/>
    </row>
    <row r="681" spans="1:34" x14ac:dyDescent="0.25">
      <c r="A681" t="s">
        <v>2744</v>
      </c>
      <c r="B681" t="s">
        <v>2745</v>
      </c>
      <c r="C681" t="s">
        <v>2746</v>
      </c>
      <c r="D681" t="s">
        <v>2747</v>
      </c>
      <c r="E681" t="s">
        <v>2748</v>
      </c>
      <c r="F681" t="s">
        <v>2749</v>
      </c>
      <c r="G681" t="s">
        <v>5</v>
      </c>
      <c r="H681" t="s">
        <v>61</v>
      </c>
      <c r="I681" t="s">
        <v>84</v>
      </c>
      <c r="J681" t="s">
        <v>85</v>
      </c>
      <c r="K681" t="s">
        <v>3</v>
      </c>
      <c r="L681" t="s">
        <v>4</v>
      </c>
      <c r="M681" t="s">
        <v>49</v>
      </c>
      <c r="N681" t="s">
        <v>2750</v>
      </c>
      <c r="O681" s="31" t="s">
        <v>2751</v>
      </c>
      <c r="P681">
        <v>100</v>
      </c>
      <c r="Q681" t="s">
        <v>86</v>
      </c>
      <c r="R681">
        <v>1</v>
      </c>
      <c r="S681" s="31">
        <v>0</v>
      </c>
      <c r="T681" s="39">
        <v>0</v>
      </c>
      <c r="U681">
        <v>0</v>
      </c>
      <c r="V681">
        <v>0</v>
      </c>
      <c r="W681">
        <v>0</v>
      </c>
      <c r="X681" s="39">
        <v>0</v>
      </c>
      <c r="Y681">
        <v>0</v>
      </c>
      <c r="Z681" s="31">
        <v>0</v>
      </c>
      <c r="AA681">
        <v>8</v>
      </c>
      <c r="AB681" s="3">
        <f t="shared" si="32"/>
        <v>0</v>
      </c>
      <c r="AC681" t="str">
        <f>IF(AB681-S681&lt;0,"YES","NO")</f>
        <v>NO</v>
      </c>
      <c r="AD681">
        <f>IF(AC681="NO",0,AB681-S681)</f>
        <v>0</v>
      </c>
      <c r="AE681" s="43">
        <v>0.08</v>
      </c>
      <c r="AF681" s="3">
        <f t="shared" si="33"/>
        <v>0</v>
      </c>
      <c r="AG681" s="45">
        <f t="shared" si="34"/>
        <v>0</v>
      </c>
      <c r="AH681" s="55"/>
    </row>
    <row r="682" spans="1:34" x14ac:dyDescent="0.25">
      <c r="A682" t="s">
        <v>2744</v>
      </c>
      <c r="B682" t="s">
        <v>2745</v>
      </c>
      <c r="C682" t="s">
        <v>2746</v>
      </c>
      <c r="D682" t="s">
        <v>2747</v>
      </c>
      <c r="E682" t="s">
        <v>2748</v>
      </c>
      <c r="F682" t="s">
        <v>2749</v>
      </c>
      <c r="G682" t="s">
        <v>5</v>
      </c>
      <c r="H682" t="s">
        <v>65</v>
      </c>
      <c r="I682" t="s">
        <v>66</v>
      </c>
      <c r="J682" t="s">
        <v>67</v>
      </c>
      <c r="K682" t="s">
        <v>3</v>
      </c>
      <c r="L682" t="s">
        <v>4</v>
      </c>
      <c r="M682" t="s">
        <v>49</v>
      </c>
      <c r="N682" t="s">
        <v>2750</v>
      </c>
      <c r="O682" s="31" t="s">
        <v>2751</v>
      </c>
      <c r="P682">
        <v>220</v>
      </c>
      <c r="R682">
        <v>2</v>
      </c>
      <c r="S682" s="31">
        <v>150000</v>
      </c>
      <c r="T682" s="39">
        <v>160000</v>
      </c>
      <c r="U682">
        <v>20000</v>
      </c>
      <c r="V682">
        <v>16000</v>
      </c>
      <c r="W682">
        <v>0</v>
      </c>
      <c r="X682" s="39">
        <v>44800</v>
      </c>
      <c r="Y682">
        <v>0</v>
      </c>
      <c r="Z682" s="31">
        <v>124000</v>
      </c>
      <c r="AA682">
        <v>8</v>
      </c>
      <c r="AB682" s="3">
        <f t="shared" si="32"/>
        <v>124000</v>
      </c>
      <c r="AC682" t="str">
        <f>IF(AB682-S682&lt;0,"YES","NO")</f>
        <v>YES</v>
      </c>
      <c r="AD682">
        <f>IF(AC682="NO",0,AB682-S682)</f>
        <v>-26000</v>
      </c>
      <c r="AE682" s="43">
        <v>0.08</v>
      </c>
      <c r="AF682" s="3">
        <f t="shared" si="33"/>
        <v>-24074.074074074073</v>
      </c>
      <c r="AG682" s="45">
        <f t="shared" si="34"/>
        <v>-26481.481481481482</v>
      </c>
      <c r="AH682" s="55"/>
    </row>
    <row r="683" spans="1:34" x14ac:dyDescent="0.25">
      <c r="A683" t="s">
        <v>2752</v>
      </c>
      <c r="B683" t="s">
        <v>2753</v>
      </c>
      <c r="C683" t="s">
        <v>2754</v>
      </c>
      <c r="D683" t="s">
        <v>2755</v>
      </c>
      <c r="E683" t="s">
        <v>2756</v>
      </c>
      <c r="F683" t="s">
        <v>2757</v>
      </c>
      <c r="G683" t="s">
        <v>5</v>
      </c>
      <c r="H683" t="s">
        <v>61</v>
      </c>
      <c r="I683" t="s">
        <v>97</v>
      </c>
      <c r="J683" t="s">
        <v>98</v>
      </c>
      <c r="K683" t="s">
        <v>3</v>
      </c>
      <c r="L683" t="s">
        <v>4</v>
      </c>
      <c r="M683" t="s">
        <v>49</v>
      </c>
      <c r="N683" t="s">
        <v>2758</v>
      </c>
      <c r="O683" s="31" t="s">
        <v>2759</v>
      </c>
      <c r="P683">
        <v>20</v>
      </c>
      <c r="Q683" t="s">
        <v>99</v>
      </c>
      <c r="R683">
        <v>1</v>
      </c>
      <c r="S683" s="31">
        <v>0</v>
      </c>
      <c r="T683" s="39">
        <v>0</v>
      </c>
      <c r="U683">
        <v>0</v>
      </c>
      <c r="V683">
        <v>0</v>
      </c>
      <c r="W683">
        <v>0</v>
      </c>
      <c r="X683" s="39">
        <v>0</v>
      </c>
      <c r="Y683">
        <v>0</v>
      </c>
      <c r="Z683" s="31">
        <v>0</v>
      </c>
      <c r="AA683">
        <v>8</v>
      </c>
      <c r="AB683" s="3">
        <f t="shared" si="32"/>
        <v>0</v>
      </c>
      <c r="AC683" t="str">
        <f>IF(AB683-S683&lt;0,"YES","NO")</f>
        <v>NO</v>
      </c>
      <c r="AD683">
        <f>IF(AC683="NO",0,AB683-S683)</f>
        <v>0</v>
      </c>
      <c r="AE683" s="43">
        <v>0.08</v>
      </c>
      <c r="AF683" s="3">
        <f t="shared" si="33"/>
        <v>0</v>
      </c>
      <c r="AG683" s="45">
        <f t="shared" si="34"/>
        <v>0</v>
      </c>
      <c r="AH683" s="55"/>
    </row>
    <row r="684" spans="1:34" x14ac:dyDescent="0.25">
      <c r="A684" t="s">
        <v>2752</v>
      </c>
      <c r="B684" t="s">
        <v>2753</v>
      </c>
      <c r="C684" t="s">
        <v>2754</v>
      </c>
      <c r="D684" t="s">
        <v>2755</v>
      </c>
      <c r="E684" t="s">
        <v>2756</v>
      </c>
      <c r="F684" t="s">
        <v>2757</v>
      </c>
      <c r="G684" t="s">
        <v>5</v>
      </c>
      <c r="H684" t="s">
        <v>65</v>
      </c>
      <c r="I684" t="s">
        <v>100</v>
      </c>
      <c r="J684" t="s">
        <v>101</v>
      </c>
      <c r="K684" t="s">
        <v>3</v>
      </c>
      <c r="L684" t="s">
        <v>4</v>
      </c>
      <c r="M684" t="s">
        <v>49</v>
      </c>
      <c r="N684" t="s">
        <v>2758</v>
      </c>
      <c r="O684" s="31" t="s">
        <v>2759</v>
      </c>
      <c r="P684">
        <v>200</v>
      </c>
      <c r="R684">
        <v>2</v>
      </c>
      <c r="S684" s="31">
        <v>144000</v>
      </c>
      <c r="T684" s="39">
        <v>160000</v>
      </c>
      <c r="U684">
        <v>0</v>
      </c>
      <c r="V684">
        <v>16000</v>
      </c>
      <c r="W684">
        <v>0</v>
      </c>
      <c r="X684" s="39">
        <v>28800</v>
      </c>
      <c r="Y684">
        <v>0</v>
      </c>
      <c r="Z684" s="31">
        <v>144000</v>
      </c>
      <c r="AA684">
        <v>8</v>
      </c>
      <c r="AB684" s="3">
        <f t="shared" si="32"/>
        <v>144000</v>
      </c>
      <c r="AC684" t="str">
        <f>IF(AB684-S684&lt;0,"YES","NO")</f>
        <v>NO</v>
      </c>
      <c r="AD684">
        <f>IF(AC684="NO",0,AB684-S684)</f>
        <v>0</v>
      </c>
      <c r="AE684" s="43">
        <v>0.08</v>
      </c>
      <c r="AF684" s="3">
        <f t="shared" si="33"/>
        <v>0</v>
      </c>
      <c r="AG684" s="45">
        <f t="shared" si="34"/>
        <v>0</v>
      </c>
      <c r="AH684" s="55"/>
    </row>
    <row r="685" spans="1:34" x14ac:dyDescent="0.25">
      <c r="A685" t="s">
        <v>2752</v>
      </c>
      <c r="B685" t="s">
        <v>2760</v>
      </c>
      <c r="C685" t="s">
        <v>2761</v>
      </c>
      <c r="D685" t="s">
        <v>2762</v>
      </c>
      <c r="E685" t="s">
        <v>2763</v>
      </c>
      <c r="F685" t="s">
        <v>2764</v>
      </c>
      <c r="G685" t="s">
        <v>5</v>
      </c>
      <c r="H685" t="s">
        <v>61</v>
      </c>
      <c r="I685" t="s">
        <v>84</v>
      </c>
      <c r="J685" t="s">
        <v>85</v>
      </c>
      <c r="K685" t="s">
        <v>3</v>
      </c>
      <c r="L685" t="s">
        <v>4</v>
      </c>
      <c r="M685" t="s">
        <v>49</v>
      </c>
      <c r="N685" t="s">
        <v>2765</v>
      </c>
      <c r="O685" s="31" t="s">
        <v>2766</v>
      </c>
      <c r="P685">
        <v>100</v>
      </c>
      <c r="Q685" t="s">
        <v>86</v>
      </c>
      <c r="R685">
        <v>1</v>
      </c>
      <c r="S685" s="31">
        <v>0</v>
      </c>
      <c r="T685" s="39">
        <v>0</v>
      </c>
      <c r="U685">
        <v>0</v>
      </c>
      <c r="V685">
        <v>0</v>
      </c>
      <c r="W685">
        <v>0</v>
      </c>
      <c r="X685" s="39">
        <v>0</v>
      </c>
      <c r="Y685">
        <v>0</v>
      </c>
      <c r="Z685" s="31">
        <v>0</v>
      </c>
      <c r="AA685">
        <v>8</v>
      </c>
      <c r="AB685" s="3">
        <f t="shared" si="32"/>
        <v>0</v>
      </c>
      <c r="AC685" t="str">
        <f>IF(AB685-S685&lt;0,"YES","NO")</f>
        <v>NO</v>
      </c>
      <c r="AD685">
        <f>IF(AC685="NO",0,AB685-S685)</f>
        <v>0</v>
      </c>
      <c r="AE685" s="43">
        <v>0.08</v>
      </c>
      <c r="AF685" s="3">
        <f t="shared" si="33"/>
        <v>0</v>
      </c>
      <c r="AG685" s="45">
        <f t="shared" si="34"/>
        <v>0</v>
      </c>
      <c r="AH685" s="55"/>
    </row>
    <row r="686" spans="1:34" x14ac:dyDescent="0.25">
      <c r="A686" t="s">
        <v>2752</v>
      </c>
      <c r="B686" t="s">
        <v>2760</v>
      </c>
      <c r="C686" t="s">
        <v>2761</v>
      </c>
      <c r="D686" t="s">
        <v>2762</v>
      </c>
      <c r="E686" t="s">
        <v>2763</v>
      </c>
      <c r="F686" t="s">
        <v>2764</v>
      </c>
      <c r="G686" t="s">
        <v>5</v>
      </c>
      <c r="H686" t="s">
        <v>61</v>
      </c>
      <c r="I686" t="s">
        <v>84</v>
      </c>
      <c r="J686" t="s">
        <v>85</v>
      </c>
      <c r="K686" t="s">
        <v>3</v>
      </c>
      <c r="L686" t="s">
        <v>4</v>
      </c>
      <c r="M686" t="s">
        <v>49</v>
      </c>
      <c r="N686" t="s">
        <v>2765</v>
      </c>
      <c r="O686" s="31" t="s">
        <v>2766</v>
      </c>
      <c r="P686">
        <v>100</v>
      </c>
      <c r="Q686" t="s">
        <v>86</v>
      </c>
      <c r="R686">
        <v>1</v>
      </c>
      <c r="S686" s="31">
        <v>0</v>
      </c>
      <c r="T686" s="39">
        <v>0</v>
      </c>
      <c r="U686">
        <v>0</v>
      </c>
      <c r="V686">
        <v>0</v>
      </c>
      <c r="W686">
        <v>0</v>
      </c>
      <c r="X686" s="39">
        <v>0</v>
      </c>
      <c r="Y686">
        <v>0</v>
      </c>
      <c r="Z686" s="31">
        <v>0</v>
      </c>
      <c r="AA686">
        <v>8</v>
      </c>
      <c r="AB686" s="3">
        <f t="shared" si="32"/>
        <v>0</v>
      </c>
      <c r="AC686" t="str">
        <f>IF(AB686-S686&lt;0,"YES","NO")</f>
        <v>NO</v>
      </c>
      <c r="AD686">
        <f>IF(AC686="NO",0,AB686-S686)</f>
        <v>0</v>
      </c>
      <c r="AE686" s="43">
        <v>0.08</v>
      </c>
      <c r="AF686" s="3">
        <f t="shared" si="33"/>
        <v>0</v>
      </c>
      <c r="AG686" s="45">
        <f t="shared" si="34"/>
        <v>0</v>
      </c>
      <c r="AH686" s="55"/>
    </row>
    <row r="687" spans="1:34" x14ac:dyDescent="0.25">
      <c r="A687" t="s">
        <v>2752</v>
      </c>
      <c r="B687" t="s">
        <v>2760</v>
      </c>
      <c r="C687" t="s">
        <v>2761</v>
      </c>
      <c r="D687" t="s">
        <v>2762</v>
      </c>
      <c r="E687" t="s">
        <v>2763</v>
      </c>
      <c r="F687" t="s">
        <v>2764</v>
      </c>
      <c r="G687" t="s">
        <v>5</v>
      </c>
      <c r="H687" t="s">
        <v>65</v>
      </c>
      <c r="I687" t="s">
        <v>71</v>
      </c>
      <c r="J687" t="s">
        <v>72</v>
      </c>
      <c r="K687" t="s">
        <v>3</v>
      </c>
      <c r="L687" t="s">
        <v>4</v>
      </c>
      <c r="M687" t="s">
        <v>49</v>
      </c>
      <c r="N687" t="s">
        <v>2765</v>
      </c>
      <c r="O687" s="31" t="s">
        <v>2766</v>
      </c>
      <c r="P687">
        <v>220</v>
      </c>
      <c r="Q687" t="s">
        <v>70</v>
      </c>
      <c r="R687">
        <v>3</v>
      </c>
      <c r="S687" s="31">
        <v>177000</v>
      </c>
      <c r="T687" s="39">
        <v>195000</v>
      </c>
      <c r="U687">
        <v>15260.01</v>
      </c>
      <c r="V687">
        <v>19500</v>
      </c>
      <c r="W687">
        <v>0</v>
      </c>
      <c r="X687" s="39">
        <v>47307.99</v>
      </c>
      <c r="Y687">
        <v>0</v>
      </c>
      <c r="Z687" s="31">
        <v>160239.99</v>
      </c>
      <c r="AA687">
        <v>8</v>
      </c>
      <c r="AB687" s="3">
        <f t="shared" si="32"/>
        <v>160239.99</v>
      </c>
      <c r="AC687" t="str">
        <f>IF(AB687-S687&lt;0,"YES","NO")</f>
        <v>YES</v>
      </c>
      <c r="AD687">
        <f>IF(AC687="NO",0,AB687-S687)</f>
        <v>-16760.010000000009</v>
      </c>
      <c r="AE687" s="43">
        <v>0.08</v>
      </c>
      <c r="AF687" s="3">
        <f t="shared" si="33"/>
        <v>-15518.527777777785</v>
      </c>
      <c r="AG687" s="45">
        <f t="shared" si="34"/>
        <v>-17070.380555555563</v>
      </c>
      <c r="AH687" s="55"/>
    </row>
    <row r="688" spans="1:34" x14ac:dyDescent="0.25">
      <c r="A688" t="s">
        <v>2752</v>
      </c>
      <c r="B688" t="s">
        <v>2760</v>
      </c>
      <c r="C688" t="s">
        <v>2761</v>
      </c>
      <c r="D688" t="s">
        <v>2762</v>
      </c>
      <c r="E688" t="s">
        <v>2763</v>
      </c>
      <c r="F688" t="s">
        <v>2764</v>
      </c>
      <c r="G688" t="s">
        <v>5</v>
      </c>
      <c r="H688" t="s">
        <v>65</v>
      </c>
      <c r="I688" t="s">
        <v>66</v>
      </c>
      <c r="J688" t="s">
        <v>67</v>
      </c>
      <c r="K688" t="s">
        <v>3</v>
      </c>
      <c r="L688" t="s">
        <v>4</v>
      </c>
      <c r="M688" t="s">
        <v>49</v>
      </c>
      <c r="N688" t="s">
        <v>2765</v>
      </c>
      <c r="O688" s="31" t="s">
        <v>2766</v>
      </c>
      <c r="P688">
        <v>220</v>
      </c>
      <c r="R688">
        <v>1</v>
      </c>
      <c r="S688" s="31">
        <v>75000</v>
      </c>
      <c r="T688" s="39">
        <v>80000</v>
      </c>
      <c r="U688">
        <v>6580</v>
      </c>
      <c r="V688">
        <v>4333.33</v>
      </c>
      <c r="W688">
        <v>0</v>
      </c>
      <c r="X688" s="39">
        <v>20397.34</v>
      </c>
      <c r="Y688">
        <v>0</v>
      </c>
      <c r="Z688" s="31">
        <v>69086.67</v>
      </c>
      <c r="AA688">
        <v>8</v>
      </c>
      <c r="AB688" s="3">
        <f t="shared" si="32"/>
        <v>69086.67</v>
      </c>
      <c r="AC688" t="str">
        <f>IF(AB688-S688&lt;0,"YES","NO")</f>
        <v>YES</v>
      </c>
      <c r="AD688">
        <f>IF(AC688="NO",0,AB688-S688)</f>
        <v>-5913.3300000000017</v>
      </c>
      <c r="AE688" s="43">
        <v>0.08</v>
      </c>
      <c r="AF688" s="3">
        <f t="shared" si="33"/>
        <v>-5475.3055555555566</v>
      </c>
      <c r="AG688" s="45">
        <f t="shared" si="34"/>
        <v>-6022.8361111111126</v>
      </c>
      <c r="AH688" s="55"/>
    </row>
    <row r="689" spans="1:34" x14ac:dyDescent="0.25">
      <c r="A689" t="s">
        <v>2752</v>
      </c>
      <c r="B689" t="s">
        <v>2760</v>
      </c>
      <c r="C689" t="s">
        <v>2761</v>
      </c>
      <c r="D689" t="s">
        <v>2762</v>
      </c>
      <c r="E689" t="s">
        <v>2763</v>
      </c>
      <c r="F689" t="s">
        <v>2764</v>
      </c>
      <c r="G689" t="s">
        <v>5</v>
      </c>
      <c r="H689" t="s">
        <v>65</v>
      </c>
      <c r="I689" t="s">
        <v>78</v>
      </c>
      <c r="J689" t="s">
        <v>79</v>
      </c>
      <c r="K689" t="s">
        <v>3</v>
      </c>
      <c r="L689" t="s">
        <v>4</v>
      </c>
      <c r="M689" t="s">
        <v>49</v>
      </c>
      <c r="N689" t="s">
        <v>2765</v>
      </c>
      <c r="O689" s="31" t="s">
        <v>2766</v>
      </c>
      <c r="P689">
        <v>220</v>
      </c>
      <c r="R689">
        <v>1</v>
      </c>
      <c r="S689" s="31">
        <v>75000</v>
      </c>
      <c r="T689" s="39">
        <v>80000</v>
      </c>
      <c r="U689">
        <v>6580</v>
      </c>
      <c r="V689">
        <v>4333.33</v>
      </c>
      <c r="W689">
        <v>0</v>
      </c>
      <c r="X689" s="39">
        <v>20397.34</v>
      </c>
      <c r="Y689">
        <v>0</v>
      </c>
      <c r="Z689" s="31">
        <v>69086.67</v>
      </c>
      <c r="AA689">
        <v>8</v>
      </c>
      <c r="AB689" s="3">
        <f t="shared" si="32"/>
        <v>69086.67</v>
      </c>
      <c r="AC689" t="str">
        <f>IF(AB689-S689&lt;0,"YES","NO")</f>
        <v>YES</v>
      </c>
      <c r="AD689">
        <f>IF(AC689="NO",0,AB689-S689)</f>
        <v>-5913.3300000000017</v>
      </c>
      <c r="AE689" s="43">
        <v>0.08</v>
      </c>
      <c r="AF689" s="3">
        <f t="shared" si="33"/>
        <v>-5475.3055555555566</v>
      </c>
      <c r="AG689" s="45">
        <f t="shared" si="34"/>
        <v>-6022.8361111111126</v>
      </c>
      <c r="AH689" s="55"/>
    </row>
    <row r="690" spans="1:34" x14ac:dyDescent="0.25">
      <c r="A690" t="s">
        <v>2752</v>
      </c>
      <c r="B690" t="s">
        <v>2760</v>
      </c>
      <c r="C690" t="s">
        <v>2761</v>
      </c>
      <c r="D690" t="s">
        <v>2762</v>
      </c>
      <c r="E690" t="s">
        <v>2763</v>
      </c>
      <c r="F690" t="s">
        <v>2764</v>
      </c>
      <c r="G690" t="s">
        <v>5</v>
      </c>
      <c r="H690" t="s">
        <v>65</v>
      </c>
      <c r="I690" t="s">
        <v>80</v>
      </c>
      <c r="J690" t="s">
        <v>81</v>
      </c>
      <c r="K690" t="s">
        <v>3</v>
      </c>
      <c r="L690" t="s">
        <v>4</v>
      </c>
      <c r="M690" t="s">
        <v>49</v>
      </c>
      <c r="N690" t="s">
        <v>2765</v>
      </c>
      <c r="O690" s="31" t="s">
        <v>2766</v>
      </c>
      <c r="P690">
        <v>220</v>
      </c>
      <c r="R690">
        <v>1</v>
      </c>
      <c r="S690" s="31">
        <v>75000</v>
      </c>
      <c r="T690" s="39">
        <v>80000</v>
      </c>
      <c r="U690">
        <v>6580</v>
      </c>
      <c r="V690">
        <v>4333.33</v>
      </c>
      <c r="W690">
        <v>0</v>
      </c>
      <c r="X690" s="39">
        <v>20397.34</v>
      </c>
      <c r="Y690">
        <v>0</v>
      </c>
      <c r="Z690" s="31">
        <v>69086.67</v>
      </c>
      <c r="AA690">
        <v>8</v>
      </c>
      <c r="AB690" s="3">
        <f t="shared" si="32"/>
        <v>69086.67</v>
      </c>
      <c r="AC690" t="str">
        <f>IF(AB690-S690&lt;0,"YES","NO")</f>
        <v>YES</v>
      </c>
      <c r="AD690">
        <f>IF(AC690="NO",0,AB690-S690)</f>
        <v>-5913.3300000000017</v>
      </c>
      <c r="AE690" s="43">
        <v>0.08</v>
      </c>
      <c r="AF690" s="3">
        <f t="shared" si="33"/>
        <v>-5475.3055555555566</v>
      </c>
      <c r="AG690" s="45">
        <f t="shared" si="34"/>
        <v>-6022.8361111111126</v>
      </c>
      <c r="AH690" s="55"/>
    </row>
    <row r="691" spans="1:34" x14ac:dyDescent="0.25">
      <c r="A691" t="s">
        <v>2752</v>
      </c>
      <c r="B691" t="s">
        <v>2760</v>
      </c>
      <c r="C691" t="s">
        <v>2761</v>
      </c>
      <c r="D691" t="s">
        <v>2762</v>
      </c>
      <c r="E691" t="s">
        <v>2763</v>
      </c>
      <c r="F691" t="s">
        <v>2764</v>
      </c>
      <c r="G691" t="s">
        <v>5</v>
      </c>
      <c r="H691" t="s">
        <v>65</v>
      </c>
      <c r="I691" t="s">
        <v>82</v>
      </c>
      <c r="J691" t="s">
        <v>83</v>
      </c>
      <c r="K691" t="s">
        <v>3</v>
      </c>
      <c r="L691" t="s">
        <v>4</v>
      </c>
      <c r="M691" t="s">
        <v>49</v>
      </c>
      <c r="N691" t="s">
        <v>2765</v>
      </c>
      <c r="O691" s="31" t="s">
        <v>2766</v>
      </c>
      <c r="P691">
        <v>220</v>
      </c>
      <c r="R691">
        <v>2</v>
      </c>
      <c r="S691" s="31">
        <v>150000</v>
      </c>
      <c r="T691" s="39">
        <v>160000</v>
      </c>
      <c r="U691">
        <v>0</v>
      </c>
      <c r="V691">
        <v>10000</v>
      </c>
      <c r="W691">
        <v>0</v>
      </c>
      <c r="X691" s="39">
        <v>30000</v>
      </c>
      <c r="Y691">
        <v>0</v>
      </c>
      <c r="Z691" s="31">
        <v>150000</v>
      </c>
      <c r="AA691">
        <v>8</v>
      </c>
      <c r="AB691" s="3">
        <f t="shared" si="32"/>
        <v>150000</v>
      </c>
      <c r="AC691" t="str">
        <f>IF(AB691-S691&lt;0,"YES","NO")</f>
        <v>NO</v>
      </c>
      <c r="AD691">
        <f>IF(AC691="NO",0,AB691-S691)</f>
        <v>0</v>
      </c>
      <c r="AE691" s="43">
        <v>0.08</v>
      </c>
      <c r="AF691" s="3">
        <f t="shared" si="33"/>
        <v>0</v>
      </c>
      <c r="AG691" s="45">
        <f t="shared" si="34"/>
        <v>0</v>
      </c>
      <c r="AH691" s="55"/>
    </row>
    <row r="692" spans="1:34" x14ac:dyDescent="0.25">
      <c r="A692" t="s">
        <v>2767</v>
      </c>
      <c r="B692" t="s">
        <v>2768</v>
      </c>
      <c r="C692" t="s">
        <v>2738</v>
      </c>
      <c r="D692" t="s">
        <v>2769</v>
      </c>
      <c r="E692" t="s">
        <v>2770</v>
      </c>
      <c r="F692" t="s">
        <v>2771</v>
      </c>
      <c r="G692" t="s">
        <v>5</v>
      </c>
      <c r="H692" t="s">
        <v>61</v>
      </c>
      <c r="I692" t="s">
        <v>84</v>
      </c>
      <c r="J692" t="s">
        <v>85</v>
      </c>
      <c r="K692" t="s">
        <v>3</v>
      </c>
      <c r="L692" t="s">
        <v>4</v>
      </c>
      <c r="M692" t="s">
        <v>49</v>
      </c>
      <c r="N692" t="s">
        <v>2772</v>
      </c>
      <c r="O692" s="31" t="s">
        <v>2773</v>
      </c>
      <c r="P692">
        <v>100</v>
      </c>
      <c r="Q692" t="s">
        <v>86</v>
      </c>
      <c r="R692">
        <v>1</v>
      </c>
      <c r="S692" s="31">
        <v>0</v>
      </c>
      <c r="T692" s="39">
        <v>0</v>
      </c>
      <c r="U692">
        <v>0</v>
      </c>
      <c r="V692">
        <v>0</v>
      </c>
      <c r="W692">
        <v>0</v>
      </c>
      <c r="X692" s="39">
        <v>0</v>
      </c>
      <c r="Y692">
        <v>0</v>
      </c>
      <c r="Z692" s="31">
        <v>0</v>
      </c>
      <c r="AA692">
        <v>8</v>
      </c>
      <c r="AB692" s="3">
        <f t="shared" si="32"/>
        <v>0</v>
      </c>
      <c r="AC692" t="str">
        <f>IF(AB692-S692&lt;0,"YES","NO")</f>
        <v>NO</v>
      </c>
      <c r="AD692">
        <f>IF(AC692="NO",0,AB692-S692)</f>
        <v>0</v>
      </c>
      <c r="AE692" s="43">
        <v>0.08</v>
      </c>
      <c r="AF692" s="3">
        <f t="shared" si="33"/>
        <v>0</v>
      </c>
      <c r="AG692" s="45">
        <f t="shared" si="34"/>
        <v>0</v>
      </c>
      <c r="AH692" s="55"/>
    </row>
    <row r="693" spans="1:34" x14ac:dyDescent="0.25">
      <c r="A693" t="s">
        <v>2767</v>
      </c>
      <c r="B693" t="s">
        <v>2768</v>
      </c>
      <c r="C693" t="s">
        <v>2738</v>
      </c>
      <c r="D693" t="s">
        <v>2769</v>
      </c>
      <c r="E693" t="s">
        <v>2770</v>
      </c>
      <c r="F693" t="s">
        <v>2771</v>
      </c>
      <c r="G693" t="s">
        <v>5</v>
      </c>
      <c r="H693" t="s">
        <v>65</v>
      </c>
      <c r="I693" t="s">
        <v>82</v>
      </c>
      <c r="J693" t="s">
        <v>83</v>
      </c>
      <c r="K693" t="s">
        <v>3</v>
      </c>
      <c r="L693" t="s">
        <v>4</v>
      </c>
      <c r="M693" t="s">
        <v>49</v>
      </c>
      <c r="N693" t="s">
        <v>2772</v>
      </c>
      <c r="O693" s="31" t="s">
        <v>2773</v>
      </c>
      <c r="P693">
        <v>220</v>
      </c>
      <c r="R693">
        <v>2</v>
      </c>
      <c r="S693" s="31">
        <v>150000</v>
      </c>
      <c r="T693" s="39">
        <v>160000</v>
      </c>
      <c r="U693">
        <v>20000</v>
      </c>
      <c r="V693">
        <v>10000</v>
      </c>
      <c r="W693">
        <v>0</v>
      </c>
      <c r="X693" s="39">
        <v>40000</v>
      </c>
      <c r="Y693">
        <v>0</v>
      </c>
      <c r="Z693" s="31">
        <v>130000</v>
      </c>
      <c r="AA693">
        <v>8</v>
      </c>
      <c r="AB693" s="3">
        <f t="shared" si="32"/>
        <v>130000</v>
      </c>
      <c r="AC693" t="str">
        <f>IF(AB693-S693&lt;0,"YES","NO")</f>
        <v>YES</v>
      </c>
      <c r="AD693">
        <f>IF(AC693="NO",0,AB693-S693)</f>
        <v>-20000</v>
      </c>
      <c r="AE693" s="43">
        <v>0.08</v>
      </c>
      <c r="AF693" s="3">
        <f t="shared" si="33"/>
        <v>-18518.518518518518</v>
      </c>
      <c r="AG693" s="45">
        <f t="shared" si="34"/>
        <v>-20370.370370370372</v>
      </c>
      <c r="AH693" s="55"/>
    </row>
    <row r="694" spans="1:34" x14ac:dyDescent="0.25">
      <c r="A694" t="s">
        <v>2774</v>
      </c>
      <c r="B694" t="s">
        <v>2775</v>
      </c>
      <c r="C694" t="s">
        <v>2776</v>
      </c>
      <c r="D694" t="s">
        <v>2777</v>
      </c>
      <c r="E694" t="s">
        <v>2778</v>
      </c>
      <c r="F694" t="s">
        <v>2779</v>
      </c>
      <c r="G694" t="s">
        <v>54</v>
      </c>
      <c r="H694" t="s">
        <v>65</v>
      </c>
      <c r="I694" t="s">
        <v>66</v>
      </c>
      <c r="J694" t="s">
        <v>67</v>
      </c>
      <c r="K694" t="s">
        <v>3</v>
      </c>
      <c r="L694" t="s">
        <v>4</v>
      </c>
      <c r="M694" t="s">
        <v>49</v>
      </c>
      <c r="N694" t="s">
        <v>2780</v>
      </c>
      <c r="O694" s="31" t="s">
        <v>2781</v>
      </c>
      <c r="P694">
        <v>220</v>
      </c>
      <c r="R694">
        <v>2</v>
      </c>
      <c r="S694" s="31">
        <v>150000</v>
      </c>
      <c r="T694" s="39">
        <v>160000</v>
      </c>
      <c r="U694">
        <v>0</v>
      </c>
      <c r="V694">
        <v>30000</v>
      </c>
      <c r="W694">
        <v>0</v>
      </c>
      <c r="X694" s="39">
        <v>0</v>
      </c>
      <c r="Y694">
        <v>0</v>
      </c>
      <c r="Z694" s="31">
        <v>130000</v>
      </c>
      <c r="AA694">
        <v>8</v>
      </c>
      <c r="AB694" s="3">
        <f t="shared" si="32"/>
        <v>130000</v>
      </c>
      <c r="AC694" t="str">
        <f>IF(AB694-S694&lt;0,"YES","NO")</f>
        <v>YES</v>
      </c>
      <c r="AD694">
        <f>IF(AC694="NO",0,AB694-S694)</f>
        <v>-20000</v>
      </c>
      <c r="AE694" s="43">
        <v>0.08</v>
      </c>
      <c r="AF694" s="3">
        <f t="shared" si="33"/>
        <v>-18518.518518518518</v>
      </c>
      <c r="AG694" s="45">
        <f t="shared" si="34"/>
        <v>-20370.370370370372</v>
      </c>
      <c r="AH694" s="55"/>
    </row>
    <row r="695" spans="1:34" x14ac:dyDescent="0.25">
      <c r="A695" t="s">
        <v>2782</v>
      </c>
      <c r="B695" t="s">
        <v>2783</v>
      </c>
      <c r="C695" t="s">
        <v>2784</v>
      </c>
      <c r="D695" t="s">
        <v>2785</v>
      </c>
      <c r="E695" t="s">
        <v>2786</v>
      </c>
      <c r="F695" t="s">
        <v>2787</v>
      </c>
      <c r="G695" t="s">
        <v>5</v>
      </c>
      <c r="H695" t="s">
        <v>61</v>
      </c>
      <c r="I695" t="s">
        <v>84</v>
      </c>
      <c r="J695" t="s">
        <v>85</v>
      </c>
      <c r="K695" t="s">
        <v>3</v>
      </c>
      <c r="L695" t="s">
        <v>4</v>
      </c>
      <c r="M695" t="s">
        <v>49</v>
      </c>
      <c r="N695" t="s">
        <v>2788</v>
      </c>
      <c r="O695" s="31" t="s">
        <v>2789</v>
      </c>
      <c r="P695">
        <v>100</v>
      </c>
      <c r="Q695" t="s">
        <v>86</v>
      </c>
      <c r="R695">
        <v>1</v>
      </c>
      <c r="S695" s="31">
        <v>0</v>
      </c>
      <c r="T695" s="39">
        <v>0</v>
      </c>
      <c r="U695">
        <v>0</v>
      </c>
      <c r="V695">
        <v>0</v>
      </c>
      <c r="W695">
        <v>0</v>
      </c>
      <c r="X695" s="39">
        <v>0</v>
      </c>
      <c r="Y695">
        <v>0</v>
      </c>
      <c r="Z695" s="31">
        <v>0</v>
      </c>
      <c r="AA695">
        <v>8</v>
      </c>
      <c r="AB695" s="3">
        <f t="shared" si="32"/>
        <v>0</v>
      </c>
      <c r="AC695" t="str">
        <f>IF(AB695-S695&lt;0,"YES","NO")</f>
        <v>NO</v>
      </c>
      <c r="AD695">
        <f>IF(AC695="NO",0,AB695-S695)</f>
        <v>0</v>
      </c>
      <c r="AE695" s="43">
        <v>0.08</v>
      </c>
      <c r="AF695" s="3">
        <f t="shared" si="33"/>
        <v>0</v>
      </c>
      <c r="AG695" s="45">
        <f t="shared" si="34"/>
        <v>0</v>
      </c>
      <c r="AH695" s="55"/>
    </row>
    <row r="696" spans="1:34" x14ac:dyDescent="0.25">
      <c r="A696" t="s">
        <v>2782</v>
      </c>
      <c r="B696" t="s">
        <v>2783</v>
      </c>
      <c r="C696" t="s">
        <v>2784</v>
      </c>
      <c r="D696" t="s">
        <v>2785</v>
      </c>
      <c r="E696" t="s">
        <v>2786</v>
      </c>
      <c r="F696" t="s">
        <v>2787</v>
      </c>
      <c r="G696" t="s">
        <v>5</v>
      </c>
      <c r="H696" t="s">
        <v>65</v>
      </c>
      <c r="I696" t="s">
        <v>78</v>
      </c>
      <c r="J696" t="s">
        <v>79</v>
      </c>
      <c r="K696" t="s">
        <v>3</v>
      </c>
      <c r="L696" t="s">
        <v>4</v>
      </c>
      <c r="M696" t="s">
        <v>49</v>
      </c>
      <c r="N696" t="s">
        <v>2788</v>
      </c>
      <c r="O696" s="31" t="s">
        <v>2789</v>
      </c>
      <c r="P696">
        <v>220</v>
      </c>
      <c r="R696">
        <v>2</v>
      </c>
      <c r="S696" s="31">
        <v>150000</v>
      </c>
      <c r="T696" s="39">
        <v>160000</v>
      </c>
      <c r="U696">
        <v>20000</v>
      </c>
      <c r="V696">
        <v>10000</v>
      </c>
      <c r="W696">
        <v>0</v>
      </c>
      <c r="X696" s="39">
        <v>40000</v>
      </c>
      <c r="Y696">
        <v>0</v>
      </c>
      <c r="Z696" s="31">
        <v>130000</v>
      </c>
      <c r="AA696">
        <v>8</v>
      </c>
      <c r="AB696" s="3">
        <f t="shared" si="32"/>
        <v>130000</v>
      </c>
      <c r="AC696" t="str">
        <f>IF(AB696-S696&lt;0,"YES","NO")</f>
        <v>YES</v>
      </c>
      <c r="AD696">
        <f>IF(AC696="NO",0,AB696-S696)</f>
        <v>-20000</v>
      </c>
      <c r="AE696" s="43">
        <v>0.08</v>
      </c>
      <c r="AF696" s="3">
        <f t="shared" si="33"/>
        <v>-18518.518518518518</v>
      </c>
      <c r="AG696" s="45">
        <f t="shared" si="34"/>
        <v>-20370.370370370372</v>
      </c>
      <c r="AH696" s="55"/>
    </row>
    <row r="697" spans="1:34" x14ac:dyDescent="0.25">
      <c r="A697" t="s">
        <v>2790</v>
      </c>
      <c r="B697" t="s">
        <v>2791</v>
      </c>
      <c r="C697" t="s">
        <v>2792</v>
      </c>
      <c r="D697" t="s">
        <v>2793</v>
      </c>
      <c r="E697" t="s">
        <v>2794</v>
      </c>
      <c r="F697" t="s">
        <v>2795</v>
      </c>
      <c r="G697" t="s">
        <v>5</v>
      </c>
      <c r="H697" t="s">
        <v>61</v>
      </c>
      <c r="I697" t="s">
        <v>84</v>
      </c>
      <c r="J697" t="s">
        <v>85</v>
      </c>
      <c r="K697" t="s">
        <v>3</v>
      </c>
      <c r="L697" t="s">
        <v>4</v>
      </c>
      <c r="M697" t="s">
        <v>49</v>
      </c>
      <c r="N697" t="s">
        <v>2796</v>
      </c>
      <c r="O697" s="31" t="s">
        <v>2797</v>
      </c>
      <c r="P697">
        <v>100</v>
      </c>
      <c r="Q697" t="s">
        <v>86</v>
      </c>
      <c r="R697">
        <v>1</v>
      </c>
      <c r="S697" s="31">
        <v>0</v>
      </c>
      <c r="T697" s="39">
        <v>0</v>
      </c>
      <c r="U697">
        <v>0</v>
      </c>
      <c r="V697">
        <v>0</v>
      </c>
      <c r="W697">
        <v>0</v>
      </c>
      <c r="X697" s="39">
        <v>0</v>
      </c>
      <c r="Y697">
        <v>0</v>
      </c>
      <c r="Z697" s="31">
        <v>0</v>
      </c>
      <c r="AA697">
        <v>8</v>
      </c>
      <c r="AB697" s="3">
        <f t="shared" si="32"/>
        <v>0</v>
      </c>
      <c r="AC697" t="str">
        <f>IF(AB697-S697&lt;0,"YES","NO")</f>
        <v>NO</v>
      </c>
      <c r="AD697">
        <f>IF(AC697="NO",0,AB697-S697)</f>
        <v>0</v>
      </c>
      <c r="AE697" s="43">
        <v>0.08</v>
      </c>
      <c r="AF697" s="3">
        <f t="shared" si="33"/>
        <v>0</v>
      </c>
      <c r="AG697" s="45">
        <f t="shared" si="34"/>
        <v>0</v>
      </c>
      <c r="AH697" s="55"/>
    </row>
    <row r="698" spans="1:34" x14ac:dyDescent="0.25">
      <c r="A698" t="s">
        <v>2790</v>
      </c>
      <c r="B698" t="s">
        <v>2791</v>
      </c>
      <c r="C698" t="s">
        <v>2792</v>
      </c>
      <c r="D698" t="s">
        <v>2793</v>
      </c>
      <c r="E698" t="s">
        <v>2794</v>
      </c>
      <c r="F698" t="s">
        <v>2795</v>
      </c>
      <c r="G698" t="s">
        <v>5</v>
      </c>
      <c r="H698" t="s">
        <v>65</v>
      </c>
      <c r="I698" t="s">
        <v>66</v>
      </c>
      <c r="J698" t="s">
        <v>67</v>
      </c>
      <c r="K698" t="s">
        <v>3</v>
      </c>
      <c r="L698" t="s">
        <v>4</v>
      </c>
      <c r="M698" t="s">
        <v>49</v>
      </c>
      <c r="N698" t="s">
        <v>2796</v>
      </c>
      <c r="O698" s="31" t="s">
        <v>2797</v>
      </c>
      <c r="P698">
        <v>220</v>
      </c>
      <c r="R698">
        <v>6</v>
      </c>
      <c r="S698" s="31">
        <v>450000</v>
      </c>
      <c r="T698" s="39">
        <v>480000</v>
      </c>
      <c r="U698">
        <v>79999.98</v>
      </c>
      <c r="V698">
        <v>48000</v>
      </c>
      <c r="W698">
        <v>0</v>
      </c>
      <c r="X698" s="39">
        <v>150400.01999999999</v>
      </c>
      <c r="Y698">
        <v>0</v>
      </c>
      <c r="Z698" s="31">
        <v>352000.02</v>
      </c>
      <c r="AA698">
        <v>8</v>
      </c>
      <c r="AB698" s="3">
        <f t="shared" si="32"/>
        <v>352000.02</v>
      </c>
      <c r="AC698" t="str">
        <f>IF(AB698-S698&lt;0,"YES","NO")</f>
        <v>YES</v>
      </c>
      <c r="AD698">
        <f>IF(AC698="NO",0,AB698-S698)</f>
        <v>-97999.979999999981</v>
      </c>
      <c r="AE698" s="43">
        <v>0.08</v>
      </c>
      <c r="AF698" s="3">
        <f t="shared" si="33"/>
        <v>-90740.722222222204</v>
      </c>
      <c r="AG698" s="45">
        <f t="shared" si="34"/>
        <v>-99814.794444444429</v>
      </c>
      <c r="AH698" s="55"/>
    </row>
    <row r="699" spans="1:34" x14ac:dyDescent="0.25">
      <c r="A699" t="s">
        <v>2798</v>
      </c>
      <c r="B699" t="s">
        <v>2799</v>
      </c>
      <c r="C699" t="s">
        <v>2800</v>
      </c>
      <c r="D699" t="s">
        <v>2801</v>
      </c>
      <c r="E699" t="s">
        <v>2802</v>
      </c>
      <c r="F699" t="s">
        <v>2803</v>
      </c>
      <c r="G699" t="s">
        <v>5</v>
      </c>
      <c r="H699" t="s">
        <v>61</v>
      </c>
      <c r="I699" t="s">
        <v>84</v>
      </c>
      <c r="J699" t="s">
        <v>85</v>
      </c>
      <c r="K699" t="s">
        <v>3</v>
      </c>
      <c r="L699" t="s">
        <v>4</v>
      </c>
      <c r="M699" t="s">
        <v>49</v>
      </c>
      <c r="N699" t="s">
        <v>2804</v>
      </c>
      <c r="O699" s="31" t="s">
        <v>2805</v>
      </c>
      <c r="P699">
        <v>100</v>
      </c>
      <c r="Q699" t="s">
        <v>86</v>
      </c>
      <c r="R699">
        <v>1</v>
      </c>
      <c r="S699" s="31">
        <v>0</v>
      </c>
      <c r="T699" s="39">
        <v>0</v>
      </c>
      <c r="U699">
        <v>0</v>
      </c>
      <c r="V699">
        <v>0</v>
      </c>
      <c r="W699">
        <v>0</v>
      </c>
      <c r="X699" s="39">
        <v>0</v>
      </c>
      <c r="Y699">
        <v>0</v>
      </c>
      <c r="Z699" s="31">
        <v>0</v>
      </c>
      <c r="AA699">
        <v>8</v>
      </c>
      <c r="AB699" s="3">
        <f t="shared" si="32"/>
        <v>0</v>
      </c>
      <c r="AC699" t="str">
        <f>IF(AB699-S699&lt;0,"YES","NO")</f>
        <v>NO</v>
      </c>
      <c r="AD699">
        <f>IF(AC699="NO",0,AB699-S699)</f>
        <v>0</v>
      </c>
      <c r="AE699" s="43">
        <v>0.08</v>
      </c>
      <c r="AF699" s="3">
        <f t="shared" si="33"/>
        <v>0</v>
      </c>
      <c r="AG699" s="45">
        <f t="shared" si="34"/>
        <v>0</v>
      </c>
      <c r="AH699" s="55"/>
    </row>
    <row r="700" spans="1:34" x14ac:dyDescent="0.25">
      <c r="A700" t="s">
        <v>2798</v>
      </c>
      <c r="B700" t="s">
        <v>2799</v>
      </c>
      <c r="C700" t="s">
        <v>2800</v>
      </c>
      <c r="D700" t="s">
        <v>2801</v>
      </c>
      <c r="E700" t="s">
        <v>2802</v>
      </c>
      <c r="F700" t="s">
        <v>2803</v>
      </c>
      <c r="G700" t="s">
        <v>5</v>
      </c>
      <c r="H700" t="s">
        <v>65</v>
      </c>
      <c r="I700" t="s">
        <v>66</v>
      </c>
      <c r="J700" t="s">
        <v>67</v>
      </c>
      <c r="K700" t="s">
        <v>3</v>
      </c>
      <c r="L700" t="s">
        <v>4</v>
      </c>
      <c r="M700" t="s">
        <v>49</v>
      </c>
      <c r="N700" t="s">
        <v>2804</v>
      </c>
      <c r="O700" s="31" t="s">
        <v>2805</v>
      </c>
      <c r="P700">
        <v>220</v>
      </c>
      <c r="R700">
        <v>1</v>
      </c>
      <c r="S700" s="31">
        <v>75000</v>
      </c>
      <c r="T700" s="39">
        <v>80000</v>
      </c>
      <c r="U700">
        <v>11666.67</v>
      </c>
      <c r="V700">
        <v>4333.33</v>
      </c>
      <c r="W700">
        <v>0</v>
      </c>
      <c r="X700" s="39">
        <v>24466.67</v>
      </c>
      <c r="Y700">
        <v>0</v>
      </c>
      <c r="Z700" s="31">
        <v>64000</v>
      </c>
      <c r="AA700">
        <v>8</v>
      </c>
      <c r="AB700" s="3">
        <f t="shared" si="32"/>
        <v>64000</v>
      </c>
      <c r="AC700" t="str">
        <f>IF(AB700-S700&lt;0,"YES","NO")</f>
        <v>YES</v>
      </c>
      <c r="AD700">
        <f>IF(AC700="NO",0,AB700-S700)</f>
        <v>-11000</v>
      </c>
      <c r="AE700" s="43">
        <v>0.08</v>
      </c>
      <c r="AF700" s="3">
        <f t="shared" si="33"/>
        <v>-10185.185185185184</v>
      </c>
      <c r="AG700" s="45">
        <f t="shared" si="34"/>
        <v>-11203.703703703704</v>
      </c>
      <c r="AH700" s="55"/>
    </row>
    <row r="701" spans="1:34" x14ac:dyDescent="0.25">
      <c r="A701" t="s">
        <v>2798</v>
      </c>
      <c r="B701" t="s">
        <v>2799</v>
      </c>
      <c r="C701" t="s">
        <v>2800</v>
      </c>
      <c r="D701" t="s">
        <v>2801</v>
      </c>
      <c r="E701" t="s">
        <v>2802</v>
      </c>
      <c r="F701" t="s">
        <v>2803</v>
      </c>
      <c r="G701" t="s">
        <v>5</v>
      </c>
      <c r="H701" t="s">
        <v>65</v>
      </c>
      <c r="I701" t="s">
        <v>78</v>
      </c>
      <c r="J701" t="s">
        <v>79</v>
      </c>
      <c r="K701" t="s">
        <v>3</v>
      </c>
      <c r="L701" t="s">
        <v>4</v>
      </c>
      <c r="M701" t="s">
        <v>49</v>
      </c>
      <c r="N701" t="s">
        <v>2804</v>
      </c>
      <c r="O701" s="31" t="s">
        <v>2805</v>
      </c>
      <c r="P701">
        <v>220</v>
      </c>
      <c r="R701">
        <v>1</v>
      </c>
      <c r="S701" s="31">
        <v>75000</v>
      </c>
      <c r="T701" s="39">
        <v>80000</v>
      </c>
      <c r="U701">
        <v>11666.67</v>
      </c>
      <c r="V701">
        <v>4333.33</v>
      </c>
      <c r="W701">
        <v>0</v>
      </c>
      <c r="X701" s="39">
        <v>24466.67</v>
      </c>
      <c r="Y701">
        <v>0</v>
      </c>
      <c r="Z701" s="31">
        <v>64000</v>
      </c>
      <c r="AA701">
        <v>8</v>
      </c>
      <c r="AB701" s="3">
        <f t="shared" si="32"/>
        <v>64000</v>
      </c>
      <c r="AC701" t="str">
        <f>IF(AB701-S701&lt;0,"YES","NO")</f>
        <v>YES</v>
      </c>
      <c r="AD701">
        <f>IF(AC701="NO",0,AB701-S701)</f>
        <v>-11000</v>
      </c>
      <c r="AE701" s="43">
        <v>0.08</v>
      </c>
      <c r="AF701" s="3">
        <f t="shared" si="33"/>
        <v>-10185.185185185184</v>
      </c>
      <c r="AG701" s="45">
        <f t="shared" si="34"/>
        <v>-11203.703703703704</v>
      </c>
      <c r="AH701" s="55"/>
    </row>
    <row r="702" spans="1:34" x14ac:dyDescent="0.25">
      <c r="A702" t="s">
        <v>2798</v>
      </c>
      <c r="B702" t="s">
        <v>2799</v>
      </c>
      <c r="C702" t="s">
        <v>2800</v>
      </c>
      <c r="D702" t="s">
        <v>2801</v>
      </c>
      <c r="E702" t="s">
        <v>2802</v>
      </c>
      <c r="F702" t="s">
        <v>2803</v>
      </c>
      <c r="G702" t="s">
        <v>5</v>
      </c>
      <c r="H702" t="s">
        <v>65</v>
      </c>
      <c r="I702" t="s">
        <v>80</v>
      </c>
      <c r="J702" t="s">
        <v>81</v>
      </c>
      <c r="K702" t="s">
        <v>3</v>
      </c>
      <c r="L702" t="s">
        <v>4</v>
      </c>
      <c r="M702" t="s">
        <v>49</v>
      </c>
      <c r="N702" t="s">
        <v>2804</v>
      </c>
      <c r="O702" s="31" t="s">
        <v>2805</v>
      </c>
      <c r="P702">
        <v>220</v>
      </c>
      <c r="R702">
        <v>1</v>
      </c>
      <c r="S702" s="31">
        <v>75000</v>
      </c>
      <c r="T702" s="39">
        <v>80000</v>
      </c>
      <c r="U702">
        <v>11666.67</v>
      </c>
      <c r="V702">
        <v>4333.33</v>
      </c>
      <c r="W702">
        <v>0</v>
      </c>
      <c r="X702" s="39">
        <v>24466.67</v>
      </c>
      <c r="Y702">
        <v>0</v>
      </c>
      <c r="Z702" s="31">
        <v>64000</v>
      </c>
      <c r="AA702">
        <v>8</v>
      </c>
      <c r="AB702" s="3">
        <f t="shared" si="32"/>
        <v>64000</v>
      </c>
      <c r="AC702" t="str">
        <f>IF(AB702-S702&lt;0,"YES","NO")</f>
        <v>YES</v>
      </c>
      <c r="AD702">
        <f>IF(AC702="NO",0,AB702-S702)</f>
        <v>-11000</v>
      </c>
      <c r="AE702" s="43">
        <v>0.08</v>
      </c>
      <c r="AF702" s="3">
        <f t="shared" si="33"/>
        <v>-10185.185185185184</v>
      </c>
      <c r="AG702" s="45">
        <f t="shared" si="34"/>
        <v>-11203.703703703704</v>
      </c>
      <c r="AH702" s="55"/>
    </row>
    <row r="703" spans="1:34" x14ac:dyDescent="0.25">
      <c r="A703" t="s">
        <v>2806</v>
      </c>
      <c r="B703" t="s">
        <v>2807</v>
      </c>
      <c r="C703" t="s">
        <v>2808</v>
      </c>
      <c r="D703" t="s">
        <v>2809</v>
      </c>
      <c r="E703" t="s">
        <v>2810</v>
      </c>
      <c r="F703" t="s">
        <v>2811</v>
      </c>
      <c r="G703" t="s">
        <v>5</v>
      </c>
      <c r="H703" t="s">
        <v>61</v>
      </c>
      <c r="I703" t="s">
        <v>75</v>
      </c>
      <c r="J703" t="s">
        <v>76</v>
      </c>
      <c r="K703" t="s">
        <v>3</v>
      </c>
      <c r="L703" t="s">
        <v>4</v>
      </c>
      <c r="M703" t="s">
        <v>49</v>
      </c>
      <c r="N703" t="s">
        <v>2812</v>
      </c>
      <c r="O703" s="31" t="s">
        <v>2813</v>
      </c>
      <c r="P703">
        <v>20</v>
      </c>
      <c r="Q703" t="s">
        <v>77</v>
      </c>
      <c r="R703">
        <v>1</v>
      </c>
      <c r="S703" s="31">
        <v>0</v>
      </c>
      <c r="T703" s="39">
        <v>0</v>
      </c>
      <c r="U703">
        <v>0</v>
      </c>
      <c r="V703">
        <v>0</v>
      </c>
      <c r="W703">
        <v>0</v>
      </c>
      <c r="X703" s="39">
        <v>0</v>
      </c>
      <c r="Y703">
        <v>0</v>
      </c>
      <c r="Z703" s="31">
        <v>0</v>
      </c>
      <c r="AA703">
        <v>8</v>
      </c>
      <c r="AB703" s="3">
        <f t="shared" si="32"/>
        <v>0</v>
      </c>
      <c r="AC703" t="str">
        <f>IF(AB703-S703&lt;0,"YES","NO")</f>
        <v>NO</v>
      </c>
      <c r="AD703">
        <f>IF(AC703="NO",0,AB703-S703)</f>
        <v>0</v>
      </c>
      <c r="AE703" s="43">
        <v>0.08</v>
      </c>
      <c r="AF703" s="3">
        <f t="shared" si="33"/>
        <v>0</v>
      </c>
      <c r="AG703" s="45">
        <f t="shared" si="34"/>
        <v>0</v>
      </c>
      <c r="AH703" s="55"/>
    </row>
    <row r="704" spans="1:34" x14ac:dyDescent="0.25">
      <c r="A704" t="s">
        <v>2806</v>
      </c>
      <c r="B704" t="s">
        <v>2807</v>
      </c>
      <c r="C704" t="s">
        <v>2808</v>
      </c>
      <c r="D704" t="s">
        <v>2809</v>
      </c>
      <c r="E704" t="s">
        <v>2810</v>
      </c>
      <c r="F704" t="s">
        <v>2811</v>
      </c>
      <c r="G704" t="s">
        <v>5</v>
      </c>
      <c r="H704" t="s">
        <v>65</v>
      </c>
      <c r="I704" t="s">
        <v>66</v>
      </c>
      <c r="J704" t="s">
        <v>67</v>
      </c>
      <c r="K704" t="s">
        <v>3</v>
      </c>
      <c r="L704" t="s">
        <v>4</v>
      </c>
      <c r="M704" t="s">
        <v>49</v>
      </c>
      <c r="N704" t="s">
        <v>2812</v>
      </c>
      <c r="O704" s="31" t="s">
        <v>2813</v>
      </c>
      <c r="P704">
        <v>220</v>
      </c>
      <c r="R704">
        <v>2</v>
      </c>
      <c r="S704" s="31">
        <v>150000</v>
      </c>
      <c r="T704" s="39">
        <v>160000</v>
      </c>
      <c r="U704">
        <v>25000</v>
      </c>
      <c r="V704">
        <v>8333.34</v>
      </c>
      <c r="W704">
        <v>0</v>
      </c>
      <c r="X704" s="39">
        <v>44000</v>
      </c>
      <c r="Y704">
        <v>0</v>
      </c>
      <c r="Z704" s="31">
        <v>126666.66</v>
      </c>
      <c r="AA704">
        <v>8</v>
      </c>
      <c r="AB704" s="3">
        <f t="shared" si="32"/>
        <v>126666.66</v>
      </c>
      <c r="AC704" t="str">
        <f>IF(AB704-S704&lt;0,"YES","NO")</f>
        <v>YES</v>
      </c>
      <c r="AD704">
        <f>IF(AC704="NO",0,AB704-S704)</f>
        <v>-23333.339999999997</v>
      </c>
      <c r="AE704" s="43">
        <v>0.08</v>
      </c>
      <c r="AF704" s="3">
        <f t="shared" si="33"/>
        <v>-21604.944444444438</v>
      </c>
      <c r="AG704" s="45">
        <f t="shared" si="34"/>
        <v>-23765.438888888883</v>
      </c>
      <c r="AH704" s="55"/>
    </row>
    <row r="705" spans="1:34" x14ac:dyDescent="0.25">
      <c r="A705" t="s">
        <v>2806</v>
      </c>
      <c r="B705" t="s">
        <v>2807</v>
      </c>
      <c r="C705" t="s">
        <v>2808</v>
      </c>
      <c r="D705" t="s">
        <v>2809</v>
      </c>
      <c r="E705" t="s">
        <v>2810</v>
      </c>
      <c r="F705" t="s">
        <v>2811</v>
      </c>
      <c r="G705" t="s">
        <v>5</v>
      </c>
      <c r="H705" t="s">
        <v>65</v>
      </c>
      <c r="I705" t="s">
        <v>78</v>
      </c>
      <c r="J705" t="s">
        <v>79</v>
      </c>
      <c r="K705" t="s">
        <v>3</v>
      </c>
      <c r="L705" t="s">
        <v>4</v>
      </c>
      <c r="M705" t="s">
        <v>49</v>
      </c>
      <c r="N705" t="s">
        <v>2812</v>
      </c>
      <c r="O705" s="31" t="s">
        <v>2813</v>
      </c>
      <c r="P705">
        <v>220</v>
      </c>
      <c r="R705">
        <v>2</v>
      </c>
      <c r="S705" s="31">
        <v>150000</v>
      </c>
      <c r="T705" s="39">
        <v>160000</v>
      </c>
      <c r="U705">
        <v>25000</v>
      </c>
      <c r="V705">
        <v>8333.34</v>
      </c>
      <c r="W705">
        <v>0</v>
      </c>
      <c r="X705" s="39">
        <v>44000</v>
      </c>
      <c r="Y705">
        <v>0</v>
      </c>
      <c r="Z705" s="31">
        <v>126666.66</v>
      </c>
      <c r="AA705">
        <v>8</v>
      </c>
      <c r="AB705" s="3">
        <f t="shared" si="32"/>
        <v>126666.66</v>
      </c>
      <c r="AC705" t="str">
        <f>IF(AB705-S705&lt;0,"YES","NO")</f>
        <v>YES</v>
      </c>
      <c r="AD705">
        <f>IF(AC705="NO",0,AB705-S705)</f>
        <v>-23333.339999999997</v>
      </c>
      <c r="AE705" s="43">
        <v>0.08</v>
      </c>
      <c r="AF705" s="3">
        <f t="shared" si="33"/>
        <v>-21604.944444444438</v>
      </c>
      <c r="AG705" s="45">
        <f t="shared" si="34"/>
        <v>-23765.438888888883</v>
      </c>
      <c r="AH705" s="55"/>
    </row>
    <row r="706" spans="1:34" x14ac:dyDescent="0.25">
      <c r="A706" t="s">
        <v>2806</v>
      </c>
      <c r="B706" t="s">
        <v>2807</v>
      </c>
      <c r="C706" t="s">
        <v>2808</v>
      </c>
      <c r="D706" t="s">
        <v>2809</v>
      </c>
      <c r="E706" t="s">
        <v>2810</v>
      </c>
      <c r="F706" t="s">
        <v>2811</v>
      </c>
      <c r="G706" t="s">
        <v>5</v>
      </c>
      <c r="H706" t="s">
        <v>65</v>
      </c>
      <c r="I706" t="s">
        <v>80</v>
      </c>
      <c r="J706" t="s">
        <v>81</v>
      </c>
      <c r="K706" t="s">
        <v>3</v>
      </c>
      <c r="L706" t="s">
        <v>4</v>
      </c>
      <c r="M706" t="s">
        <v>49</v>
      </c>
      <c r="N706" t="s">
        <v>2812</v>
      </c>
      <c r="O706" s="31" t="s">
        <v>2813</v>
      </c>
      <c r="P706">
        <v>220</v>
      </c>
      <c r="R706">
        <v>2</v>
      </c>
      <c r="S706" s="31">
        <v>150000</v>
      </c>
      <c r="T706" s="39">
        <v>160000</v>
      </c>
      <c r="U706">
        <v>25000</v>
      </c>
      <c r="V706">
        <v>8333.34</v>
      </c>
      <c r="W706">
        <v>0</v>
      </c>
      <c r="X706" s="39">
        <v>44000</v>
      </c>
      <c r="Y706">
        <v>0</v>
      </c>
      <c r="Z706" s="31">
        <v>126666.66</v>
      </c>
      <c r="AA706">
        <v>8</v>
      </c>
      <c r="AB706" s="3">
        <f t="shared" si="32"/>
        <v>126666.66</v>
      </c>
      <c r="AC706" t="str">
        <f>IF(AB706-S706&lt;0,"YES","NO")</f>
        <v>YES</v>
      </c>
      <c r="AD706">
        <f>IF(AC706="NO",0,AB706-S706)</f>
        <v>-23333.339999999997</v>
      </c>
      <c r="AE706" s="43">
        <v>0.08</v>
      </c>
      <c r="AF706" s="3">
        <f t="shared" si="33"/>
        <v>-21604.944444444438</v>
      </c>
      <c r="AG706" s="45">
        <f t="shared" si="34"/>
        <v>-23765.438888888883</v>
      </c>
      <c r="AH706" s="55"/>
    </row>
    <row r="707" spans="1:34" x14ac:dyDescent="0.25">
      <c r="A707" t="s">
        <v>2814</v>
      </c>
      <c r="B707" t="s">
        <v>2815</v>
      </c>
      <c r="C707" t="s">
        <v>2816</v>
      </c>
      <c r="D707" t="s">
        <v>2817</v>
      </c>
      <c r="E707" t="s">
        <v>2818</v>
      </c>
      <c r="F707" t="s">
        <v>2819</v>
      </c>
      <c r="G707" t="s">
        <v>5</v>
      </c>
      <c r="H707" t="s">
        <v>61</v>
      </c>
      <c r="I707" t="s">
        <v>75</v>
      </c>
      <c r="J707" t="s">
        <v>76</v>
      </c>
      <c r="K707" t="s">
        <v>3</v>
      </c>
      <c r="L707" t="s">
        <v>4</v>
      </c>
      <c r="M707" t="s">
        <v>49</v>
      </c>
      <c r="N707" t="s">
        <v>2820</v>
      </c>
      <c r="O707" s="31" t="s">
        <v>2821</v>
      </c>
      <c r="P707">
        <v>20</v>
      </c>
      <c r="Q707" t="s">
        <v>77</v>
      </c>
      <c r="R707">
        <v>1</v>
      </c>
      <c r="S707" s="31">
        <v>0</v>
      </c>
      <c r="T707" s="39">
        <v>0</v>
      </c>
      <c r="U707">
        <v>0</v>
      </c>
      <c r="V707">
        <v>0</v>
      </c>
      <c r="W707">
        <v>0</v>
      </c>
      <c r="X707" s="39">
        <v>0</v>
      </c>
      <c r="Y707">
        <v>0</v>
      </c>
      <c r="Z707" s="31">
        <v>0</v>
      </c>
      <c r="AA707">
        <v>8</v>
      </c>
      <c r="AB707" s="3">
        <f t="shared" si="32"/>
        <v>0</v>
      </c>
      <c r="AC707" t="str">
        <f>IF(AB707-S707&lt;0,"YES","NO")</f>
        <v>NO</v>
      </c>
      <c r="AD707">
        <f>IF(AC707="NO",0,AB707-S707)</f>
        <v>0</v>
      </c>
      <c r="AE707" s="43">
        <v>0.08</v>
      </c>
      <c r="AF707" s="3">
        <f t="shared" si="33"/>
        <v>0</v>
      </c>
      <c r="AG707" s="45">
        <f t="shared" si="34"/>
        <v>0</v>
      </c>
      <c r="AH707" s="55"/>
    </row>
    <row r="708" spans="1:34" x14ac:dyDescent="0.25">
      <c r="A708" t="s">
        <v>2814</v>
      </c>
      <c r="B708" t="s">
        <v>2815</v>
      </c>
      <c r="C708" t="s">
        <v>2816</v>
      </c>
      <c r="D708" t="s">
        <v>2817</v>
      </c>
      <c r="E708" t="s">
        <v>2818</v>
      </c>
      <c r="F708" t="s">
        <v>2819</v>
      </c>
      <c r="G708" t="s">
        <v>5</v>
      </c>
      <c r="H708" t="s">
        <v>65</v>
      </c>
      <c r="I708" t="s">
        <v>78</v>
      </c>
      <c r="J708" t="s">
        <v>79</v>
      </c>
      <c r="K708" t="s">
        <v>3</v>
      </c>
      <c r="L708" t="s">
        <v>4</v>
      </c>
      <c r="M708" t="s">
        <v>49</v>
      </c>
      <c r="N708" t="s">
        <v>2820</v>
      </c>
      <c r="O708" s="31" t="s">
        <v>2821</v>
      </c>
      <c r="P708">
        <v>220</v>
      </c>
      <c r="R708">
        <v>6</v>
      </c>
      <c r="S708" s="31">
        <v>450000</v>
      </c>
      <c r="T708" s="39">
        <v>480000</v>
      </c>
      <c r="U708">
        <v>75000</v>
      </c>
      <c r="V708">
        <v>25000.02</v>
      </c>
      <c r="W708">
        <v>0</v>
      </c>
      <c r="X708" s="39">
        <v>166200</v>
      </c>
      <c r="Y708">
        <v>0</v>
      </c>
      <c r="Z708" s="31">
        <v>379999.98</v>
      </c>
      <c r="AA708">
        <v>8</v>
      </c>
      <c r="AB708" s="3">
        <f t="shared" si="32"/>
        <v>379999.98</v>
      </c>
      <c r="AC708" t="str">
        <f>IF(AB708-S708&lt;0,"YES","NO")</f>
        <v>YES</v>
      </c>
      <c r="AD708">
        <f>IF(AC708="NO",0,AB708-S708)</f>
        <v>-70000.020000000019</v>
      </c>
      <c r="AE708" s="43">
        <v>0.08</v>
      </c>
      <c r="AF708" s="3">
        <f t="shared" si="33"/>
        <v>-64814.833333333343</v>
      </c>
      <c r="AG708" s="45">
        <f t="shared" si="34"/>
        <v>-71296.31666666668</v>
      </c>
      <c r="AH708" s="55"/>
    </row>
    <row r="709" spans="1:34" x14ac:dyDescent="0.25">
      <c r="A709" t="s">
        <v>2822</v>
      </c>
      <c r="B709" t="s">
        <v>2823</v>
      </c>
      <c r="C709" t="s">
        <v>2824</v>
      </c>
      <c r="D709" t="s">
        <v>2825</v>
      </c>
      <c r="E709" t="s">
        <v>2826</v>
      </c>
      <c r="F709" t="s">
        <v>2827</v>
      </c>
      <c r="G709" t="s">
        <v>5</v>
      </c>
      <c r="H709" t="s">
        <v>61</v>
      </c>
      <c r="I709" t="s">
        <v>75</v>
      </c>
      <c r="J709" t="s">
        <v>76</v>
      </c>
      <c r="K709" t="s">
        <v>3</v>
      </c>
      <c r="L709" t="s">
        <v>4</v>
      </c>
      <c r="M709" t="s">
        <v>49</v>
      </c>
      <c r="N709" t="s">
        <v>2828</v>
      </c>
      <c r="O709" s="31" t="s">
        <v>2829</v>
      </c>
      <c r="P709">
        <v>20</v>
      </c>
      <c r="Q709" t="s">
        <v>77</v>
      </c>
      <c r="R709">
        <v>1</v>
      </c>
      <c r="S709" s="31">
        <v>0</v>
      </c>
      <c r="T709" s="39">
        <v>0</v>
      </c>
      <c r="U709">
        <v>0</v>
      </c>
      <c r="V709">
        <v>0</v>
      </c>
      <c r="W709">
        <v>0</v>
      </c>
      <c r="X709" s="39">
        <v>0</v>
      </c>
      <c r="Y709">
        <v>0</v>
      </c>
      <c r="Z709" s="31">
        <v>0</v>
      </c>
      <c r="AA709">
        <v>8</v>
      </c>
      <c r="AB709" s="3">
        <f t="shared" si="32"/>
        <v>0</v>
      </c>
      <c r="AC709" t="str">
        <f>IF(AB709-S709&lt;0,"YES","NO")</f>
        <v>NO</v>
      </c>
      <c r="AD709">
        <f>IF(AC709="NO",0,AB709-S709)</f>
        <v>0</v>
      </c>
      <c r="AE709" s="43">
        <v>0.08</v>
      </c>
      <c r="AF709" s="3">
        <f t="shared" si="33"/>
        <v>0</v>
      </c>
      <c r="AG709" s="45">
        <f t="shared" si="34"/>
        <v>0</v>
      </c>
      <c r="AH709" s="55"/>
    </row>
    <row r="710" spans="1:34" x14ac:dyDescent="0.25">
      <c r="A710" t="s">
        <v>2822</v>
      </c>
      <c r="B710" t="s">
        <v>2823</v>
      </c>
      <c r="C710" t="s">
        <v>2824</v>
      </c>
      <c r="D710" t="s">
        <v>2825</v>
      </c>
      <c r="E710" t="s">
        <v>2826</v>
      </c>
      <c r="F710" t="s">
        <v>2827</v>
      </c>
      <c r="G710" t="s">
        <v>5</v>
      </c>
      <c r="H710" t="s">
        <v>65</v>
      </c>
      <c r="I710" t="s">
        <v>66</v>
      </c>
      <c r="J710" t="s">
        <v>67</v>
      </c>
      <c r="K710" t="s">
        <v>3</v>
      </c>
      <c r="L710" t="s">
        <v>4</v>
      </c>
      <c r="M710" t="s">
        <v>49</v>
      </c>
      <c r="N710" t="s">
        <v>2828</v>
      </c>
      <c r="O710" s="31" t="s">
        <v>2829</v>
      </c>
      <c r="P710">
        <v>220</v>
      </c>
      <c r="R710">
        <v>2</v>
      </c>
      <c r="S710" s="31">
        <v>150000</v>
      </c>
      <c r="T710" s="39">
        <v>160000</v>
      </c>
      <c r="U710">
        <v>25000</v>
      </c>
      <c r="V710">
        <v>8333.34</v>
      </c>
      <c r="W710">
        <v>0</v>
      </c>
      <c r="X710" s="39">
        <v>52866.66</v>
      </c>
      <c r="Y710">
        <v>0</v>
      </c>
      <c r="Z710" s="31">
        <v>126666.66</v>
      </c>
      <c r="AA710">
        <v>8</v>
      </c>
      <c r="AB710" s="3">
        <f t="shared" ref="AB710:AB773" si="35">Z710</f>
        <v>126666.66</v>
      </c>
      <c r="AC710" t="str">
        <f>IF(AB710-S710&lt;0,"YES","NO")</f>
        <v>YES</v>
      </c>
      <c r="AD710">
        <f>IF(AC710="NO",0,AB710-S710)</f>
        <v>-23333.339999999997</v>
      </c>
      <c r="AE710" s="43">
        <v>0.08</v>
      </c>
      <c r="AF710" s="3">
        <f t="shared" ref="AF710:AF773" si="36">AD710/(1+AE710)</f>
        <v>-21604.944444444438</v>
      </c>
      <c r="AG710" s="45">
        <f t="shared" ref="AG710:AG773" si="37">AF710*1.1</f>
        <v>-23765.438888888883</v>
      </c>
      <c r="AH710" s="55"/>
    </row>
    <row r="711" spans="1:34" x14ac:dyDescent="0.25">
      <c r="A711" t="s">
        <v>2822</v>
      </c>
      <c r="B711" t="s">
        <v>2823</v>
      </c>
      <c r="C711" t="s">
        <v>2824</v>
      </c>
      <c r="D711" t="s">
        <v>2825</v>
      </c>
      <c r="E711" t="s">
        <v>2826</v>
      </c>
      <c r="F711" t="s">
        <v>2827</v>
      </c>
      <c r="G711" t="s">
        <v>5</v>
      </c>
      <c r="H711" t="s">
        <v>65</v>
      </c>
      <c r="I711" t="s">
        <v>78</v>
      </c>
      <c r="J711" t="s">
        <v>79</v>
      </c>
      <c r="K711" t="s">
        <v>3</v>
      </c>
      <c r="L711" t="s">
        <v>4</v>
      </c>
      <c r="M711" t="s">
        <v>49</v>
      </c>
      <c r="N711" t="s">
        <v>2828</v>
      </c>
      <c r="O711" s="31" t="s">
        <v>2829</v>
      </c>
      <c r="P711">
        <v>220</v>
      </c>
      <c r="R711">
        <v>2</v>
      </c>
      <c r="S711" s="31">
        <v>150000</v>
      </c>
      <c r="T711" s="39">
        <v>160000</v>
      </c>
      <c r="U711">
        <v>25000</v>
      </c>
      <c r="V711">
        <v>8333.34</v>
      </c>
      <c r="W711">
        <v>0</v>
      </c>
      <c r="X711" s="39">
        <v>52866.66</v>
      </c>
      <c r="Y711">
        <v>0</v>
      </c>
      <c r="Z711" s="31">
        <v>126666.66</v>
      </c>
      <c r="AA711">
        <v>8</v>
      </c>
      <c r="AB711" s="3">
        <f t="shared" si="35"/>
        <v>126666.66</v>
      </c>
      <c r="AC711" t="str">
        <f>IF(AB711-S711&lt;0,"YES","NO")</f>
        <v>YES</v>
      </c>
      <c r="AD711">
        <f>IF(AC711="NO",0,AB711-S711)</f>
        <v>-23333.339999999997</v>
      </c>
      <c r="AE711" s="43">
        <v>0.08</v>
      </c>
      <c r="AF711" s="3">
        <f t="shared" si="36"/>
        <v>-21604.944444444438</v>
      </c>
      <c r="AG711" s="45">
        <f t="shared" si="37"/>
        <v>-23765.438888888883</v>
      </c>
      <c r="AH711" s="55"/>
    </row>
    <row r="712" spans="1:34" x14ac:dyDescent="0.25">
      <c r="A712" t="s">
        <v>2822</v>
      </c>
      <c r="B712" t="s">
        <v>2823</v>
      </c>
      <c r="C712" t="s">
        <v>2824</v>
      </c>
      <c r="D712" t="s">
        <v>2825</v>
      </c>
      <c r="E712" t="s">
        <v>2826</v>
      </c>
      <c r="F712" t="s">
        <v>2827</v>
      </c>
      <c r="G712" t="s">
        <v>5</v>
      </c>
      <c r="H712" t="s">
        <v>65</v>
      </c>
      <c r="I712" t="s">
        <v>80</v>
      </c>
      <c r="J712" t="s">
        <v>81</v>
      </c>
      <c r="K712" t="s">
        <v>3</v>
      </c>
      <c r="L712" t="s">
        <v>4</v>
      </c>
      <c r="M712" t="s">
        <v>49</v>
      </c>
      <c r="N712" t="s">
        <v>2828</v>
      </c>
      <c r="O712" s="31" t="s">
        <v>2829</v>
      </c>
      <c r="P712">
        <v>220</v>
      </c>
      <c r="R712">
        <v>2</v>
      </c>
      <c r="S712" s="31">
        <v>150000</v>
      </c>
      <c r="T712" s="39">
        <v>160000</v>
      </c>
      <c r="U712">
        <v>25000</v>
      </c>
      <c r="V712">
        <v>8333.34</v>
      </c>
      <c r="W712">
        <v>0</v>
      </c>
      <c r="X712" s="39">
        <v>52866.66</v>
      </c>
      <c r="Y712">
        <v>0</v>
      </c>
      <c r="Z712" s="31">
        <v>126666.66</v>
      </c>
      <c r="AA712">
        <v>8</v>
      </c>
      <c r="AB712" s="3">
        <f t="shared" si="35"/>
        <v>126666.66</v>
      </c>
      <c r="AC712" t="str">
        <f>IF(AB712-S712&lt;0,"YES","NO")</f>
        <v>YES</v>
      </c>
      <c r="AD712">
        <f>IF(AC712="NO",0,AB712-S712)</f>
        <v>-23333.339999999997</v>
      </c>
      <c r="AE712" s="43">
        <v>0.08</v>
      </c>
      <c r="AF712" s="3">
        <f t="shared" si="36"/>
        <v>-21604.944444444438</v>
      </c>
      <c r="AG712" s="45">
        <f t="shared" si="37"/>
        <v>-23765.438888888883</v>
      </c>
      <c r="AH712" s="55"/>
    </row>
    <row r="713" spans="1:34" x14ac:dyDescent="0.25">
      <c r="A713" t="s">
        <v>2830</v>
      </c>
      <c r="B713" t="s">
        <v>2831</v>
      </c>
      <c r="C713" t="s">
        <v>2832</v>
      </c>
      <c r="D713" t="s">
        <v>2833</v>
      </c>
      <c r="E713" t="s">
        <v>2834</v>
      </c>
      <c r="F713" t="s">
        <v>2835</v>
      </c>
      <c r="G713" t="s">
        <v>5</v>
      </c>
      <c r="H713" t="s">
        <v>65</v>
      </c>
      <c r="I713" t="s">
        <v>66</v>
      </c>
      <c r="J713" t="s">
        <v>67</v>
      </c>
      <c r="K713" t="s">
        <v>3</v>
      </c>
      <c r="L713" t="s">
        <v>4</v>
      </c>
      <c r="M713" t="s">
        <v>49</v>
      </c>
      <c r="N713" t="s">
        <v>2836</v>
      </c>
      <c r="O713" s="31" t="s">
        <v>2837</v>
      </c>
      <c r="P713">
        <v>220</v>
      </c>
      <c r="R713">
        <v>3</v>
      </c>
      <c r="S713" s="31">
        <v>225000</v>
      </c>
      <c r="T713" s="39">
        <v>240000</v>
      </c>
      <c r="U713">
        <v>35000.01</v>
      </c>
      <c r="V713">
        <v>24000</v>
      </c>
      <c r="W713">
        <v>0</v>
      </c>
      <c r="X713" s="39">
        <v>71199.990000000005</v>
      </c>
      <c r="Y713">
        <v>0</v>
      </c>
      <c r="Z713" s="31">
        <v>180999.99</v>
      </c>
      <c r="AA713">
        <v>8</v>
      </c>
      <c r="AB713" s="3">
        <f t="shared" si="35"/>
        <v>180999.99</v>
      </c>
      <c r="AC713" t="str">
        <f>IF(AB713-S713&lt;0,"YES","NO")</f>
        <v>YES</v>
      </c>
      <c r="AD713">
        <f>IF(AC713="NO",0,AB713-S713)</f>
        <v>-44000.010000000009</v>
      </c>
      <c r="AE713" s="43">
        <v>0.08</v>
      </c>
      <c r="AF713" s="3">
        <f t="shared" si="36"/>
        <v>-40740.750000000007</v>
      </c>
      <c r="AG713" s="45">
        <f t="shared" si="37"/>
        <v>-44814.825000000012</v>
      </c>
      <c r="AH713" s="55"/>
    </row>
    <row r="714" spans="1:34" x14ac:dyDescent="0.25">
      <c r="A714" t="s">
        <v>2838</v>
      </c>
      <c r="B714" t="s">
        <v>2839</v>
      </c>
      <c r="C714" t="s">
        <v>2840</v>
      </c>
      <c r="D714" t="s">
        <v>2841</v>
      </c>
      <c r="E714" t="s">
        <v>2842</v>
      </c>
      <c r="F714" t="s">
        <v>2843</v>
      </c>
      <c r="G714" t="s">
        <v>5</v>
      </c>
      <c r="H714" t="s">
        <v>61</v>
      </c>
      <c r="I714" t="s">
        <v>84</v>
      </c>
      <c r="J714" t="s">
        <v>85</v>
      </c>
      <c r="K714" t="s">
        <v>3</v>
      </c>
      <c r="L714" t="s">
        <v>4</v>
      </c>
      <c r="M714" t="s">
        <v>49</v>
      </c>
      <c r="N714" t="s">
        <v>2844</v>
      </c>
      <c r="O714" s="31" t="s">
        <v>2845</v>
      </c>
      <c r="P714">
        <v>100</v>
      </c>
      <c r="Q714" t="s">
        <v>86</v>
      </c>
      <c r="R714">
        <v>1</v>
      </c>
      <c r="S714" s="31">
        <v>0</v>
      </c>
      <c r="T714" s="39">
        <v>0</v>
      </c>
      <c r="U714">
        <v>0</v>
      </c>
      <c r="V714">
        <v>0</v>
      </c>
      <c r="W714">
        <v>0</v>
      </c>
      <c r="X714" s="39">
        <v>0</v>
      </c>
      <c r="Y714">
        <v>0</v>
      </c>
      <c r="Z714" s="31">
        <v>0</v>
      </c>
      <c r="AA714">
        <v>8</v>
      </c>
      <c r="AB714" s="3">
        <f t="shared" si="35"/>
        <v>0</v>
      </c>
      <c r="AC714" t="str">
        <f>IF(AB714-S714&lt;0,"YES","NO")</f>
        <v>NO</v>
      </c>
      <c r="AD714">
        <f>IF(AC714="NO",0,AB714-S714)</f>
        <v>0</v>
      </c>
      <c r="AE714" s="43">
        <v>0.08</v>
      </c>
      <c r="AF714" s="3">
        <f t="shared" si="36"/>
        <v>0</v>
      </c>
      <c r="AG714" s="45">
        <f t="shared" si="37"/>
        <v>0</v>
      </c>
      <c r="AH714" s="55"/>
    </row>
    <row r="715" spans="1:34" x14ac:dyDescent="0.25">
      <c r="A715" t="s">
        <v>2838</v>
      </c>
      <c r="B715" t="s">
        <v>2839</v>
      </c>
      <c r="C715" t="s">
        <v>2840</v>
      </c>
      <c r="D715" t="s">
        <v>2841</v>
      </c>
      <c r="E715" t="s">
        <v>2842</v>
      </c>
      <c r="F715" t="s">
        <v>2843</v>
      </c>
      <c r="G715" t="s">
        <v>5</v>
      </c>
      <c r="H715" t="s">
        <v>65</v>
      </c>
      <c r="I715" t="s">
        <v>87</v>
      </c>
      <c r="J715" t="s">
        <v>88</v>
      </c>
      <c r="K715" t="s">
        <v>3</v>
      </c>
      <c r="L715" t="s">
        <v>4</v>
      </c>
      <c r="M715" t="s">
        <v>49</v>
      </c>
      <c r="N715" t="s">
        <v>2844</v>
      </c>
      <c r="O715" s="31" t="s">
        <v>2845</v>
      </c>
      <c r="P715">
        <v>220</v>
      </c>
      <c r="Q715" t="s">
        <v>89</v>
      </c>
      <c r="R715">
        <v>1</v>
      </c>
      <c r="S715" s="31">
        <v>59000</v>
      </c>
      <c r="T715" s="39">
        <v>70000</v>
      </c>
      <c r="U715">
        <v>0</v>
      </c>
      <c r="V715">
        <v>6500</v>
      </c>
      <c r="W715">
        <v>0</v>
      </c>
      <c r="X715" s="39">
        <v>11672.5</v>
      </c>
      <c r="Y715">
        <v>0</v>
      </c>
      <c r="Z715" s="31">
        <v>63500</v>
      </c>
      <c r="AA715">
        <v>8</v>
      </c>
      <c r="AB715" s="3">
        <f t="shared" si="35"/>
        <v>63500</v>
      </c>
      <c r="AC715" t="str">
        <f>IF(AB715-S715&lt;0,"YES","NO")</f>
        <v>NO</v>
      </c>
      <c r="AD715">
        <f>IF(AC715="NO",0,AB715-S715)</f>
        <v>0</v>
      </c>
      <c r="AE715" s="43">
        <v>0.08</v>
      </c>
      <c r="AF715" s="3">
        <f t="shared" si="36"/>
        <v>0</v>
      </c>
      <c r="AG715" s="45">
        <f t="shared" si="37"/>
        <v>0</v>
      </c>
      <c r="AH715" s="55"/>
    </row>
    <row r="716" spans="1:34" x14ac:dyDescent="0.25">
      <c r="A716" t="s">
        <v>2838</v>
      </c>
      <c r="B716" t="s">
        <v>2839</v>
      </c>
      <c r="C716" t="s">
        <v>2840</v>
      </c>
      <c r="D716" t="s">
        <v>2841</v>
      </c>
      <c r="E716" t="s">
        <v>2842</v>
      </c>
      <c r="F716" t="s">
        <v>2843</v>
      </c>
      <c r="G716" t="s">
        <v>5</v>
      </c>
      <c r="H716" t="s">
        <v>65</v>
      </c>
      <c r="I716" t="s">
        <v>90</v>
      </c>
      <c r="J716" t="s">
        <v>91</v>
      </c>
      <c r="K716" t="s">
        <v>3</v>
      </c>
      <c r="L716" t="s">
        <v>4</v>
      </c>
      <c r="M716" t="s">
        <v>49</v>
      </c>
      <c r="N716" t="s">
        <v>2844</v>
      </c>
      <c r="O716" s="31" t="s">
        <v>2845</v>
      </c>
      <c r="P716">
        <v>220</v>
      </c>
      <c r="Q716" t="s">
        <v>92</v>
      </c>
      <c r="R716">
        <v>1</v>
      </c>
      <c r="S716" s="31">
        <v>59000</v>
      </c>
      <c r="T716" s="39">
        <v>70000</v>
      </c>
      <c r="U716">
        <v>0</v>
      </c>
      <c r="V716">
        <v>6500</v>
      </c>
      <c r="W716">
        <v>0</v>
      </c>
      <c r="X716" s="39">
        <v>11672.5</v>
      </c>
      <c r="Y716">
        <v>0</v>
      </c>
      <c r="Z716" s="31">
        <v>63500</v>
      </c>
      <c r="AA716">
        <v>8</v>
      </c>
      <c r="AB716" s="3">
        <f t="shared" si="35"/>
        <v>63500</v>
      </c>
      <c r="AC716" t="str">
        <f>IF(AB716-S716&lt;0,"YES","NO")</f>
        <v>NO</v>
      </c>
      <c r="AD716">
        <f>IF(AC716="NO",0,AB716-S716)</f>
        <v>0</v>
      </c>
      <c r="AE716" s="43">
        <v>0.08</v>
      </c>
      <c r="AF716" s="3">
        <f t="shared" si="36"/>
        <v>0</v>
      </c>
      <c r="AG716" s="45">
        <f t="shared" si="37"/>
        <v>0</v>
      </c>
      <c r="AH716" s="55"/>
    </row>
    <row r="717" spans="1:34" x14ac:dyDescent="0.25">
      <c r="A717" t="s">
        <v>2838</v>
      </c>
      <c r="B717" t="s">
        <v>2839</v>
      </c>
      <c r="C717" t="s">
        <v>2840</v>
      </c>
      <c r="D717" t="s">
        <v>2841</v>
      </c>
      <c r="E717" t="s">
        <v>2842</v>
      </c>
      <c r="F717" t="s">
        <v>2843</v>
      </c>
      <c r="G717" t="s">
        <v>5</v>
      </c>
      <c r="H717" t="s">
        <v>65</v>
      </c>
      <c r="I717" t="s">
        <v>68</v>
      </c>
      <c r="J717" t="s">
        <v>69</v>
      </c>
      <c r="K717" t="s">
        <v>3</v>
      </c>
      <c r="L717" t="s">
        <v>4</v>
      </c>
      <c r="M717" t="s">
        <v>49</v>
      </c>
      <c r="N717" t="s">
        <v>2844</v>
      </c>
      <c r="O717" s="31" t="s">
        <v>2845</v>
      </c>
      <c r="P717">
        <v>220</v>
      </c>
      <c r="Q717" t="s">
        <v>70</v>
      </c>
      <c r="R717">
        <v>1</v>
      </c>
      <c r="S717" s="31">
        <v>59000</v>
      </c>
      <c r="T717" s="39">
        <v>65000</v>
      </c>
      <c r="U717">
        <v>11666.67</v>
      </c>
      <c r="V717">
        <v>5000</v>
      </c>
      <c r="W717">
        <v>0</v>
      </c>
      <c r="X717" s="39">
        <v>20551.669999999998</v>
      </c>
      <c r="Y717">
        <v>0</v>
      </c>
      <c r="Z717" s="31">
        <v>48333.33</v>
      </c>
      <c r="AA717">
        <v>8</v>
      </c>
      <c r="AB717" s="3">
        <f t="shared" si="35"/>
        <v>48333.33</v>
      </c>
      <c r="AC717" t="str">
        <f>IF(AB717-S717&lt;0,"YES","NO")</f>
        <v>YES</v>
      </c>
      <c r="AD717">
        <f>IF(AC717="NO",0,AB717-S717)</f>
        <v>-10666.669999999998</v>
      </c>
      <c r="AE717" s="43">
        <v>0.08</v>
      </c>
      <c r="AF717" s="3">
        <f t="shared" si="36"/>
        <v>-9876.5462962962938</v>
      </c>
      <c r="AG717" s="45">
        <f t="shared" si="37"/>
        <v>-10864.200925925925</v>
      </c>
      <c r="AH717" s="55"/>
    </row>
    <row r="718" spans="1:34" x14ac:dyDescent="0.25">
      <c r="A718" t="s">
        <v>2838</v>
      </c>
      <c r="B718" t="s">
        <v>2839</v>
      </c>
      <c r="C718" t="s">
        <v>2840</v>
      </c>
      <c r="D718" t="s">
        <v>2841</v>
      </c>
      <c r="E718" t="s">
        <v>2842</v>
      </c>
      <c r="F718" t="s">
        <v>2843</v>
      </c>
      <c r="G718" t="s">
        <v>5</v>
      </c>
      <c r="H718" t="s">
        <v>65</v>
      </c>
      <c r="I718" t="s">
        <v>71</v>
      </c>
      <c r="J718" t="s">
        <v>72</v>
      </c>
      <c r="K718" t="s">
        <v>3</v>
      </c>
      <c r="L718" t="s">
        <v>4</v>
      </c>
      <c r="M718" t="s">
        <v>49</v>
      </c>
      <c r="N718" t="s">
        <v>2844</v>
      </c>
      <c r="O718" s="31" t="s">
        <v>2845</v>
      </c>
      <c r="P718">
        <v>220</v>
      </c>
      <c r="Q718" t="s">
        <v>70</v>
      </c>
      <c r="R718">
        <v>1</v>
      </c>
      <c r="S718" s="31">
        <v>59000</v>
      </c>
      <c r="T718" s="39">
        <v>65000</v>
      </c>
      <c r="U718">
        <v>11666.67</v>
      </c>
      <c r="V718">
        <v>5000</v>
      </c>
      <c r="W718">
        <v>0</v>
      </c>
      <c r="X718" s="39">
        <v>20551.669999999998</v>
      </c>
      <c r="Y718">
        <v>0</v>
      </c>
      <c r="Z718" s="31">
        <v>48333.33</v>
      </c>
      <c r="AA718">
        <v>8</v>
      </c>
      <c r="AB718" s="3">
        <f t="shared" si="35"/>
        <v>48333.33</v>
      </c>
      <c r="AC718" t="str">
        <f>IF(AB718-S718&lt;0,"YES","NO")</f>
        <v>YES</v>
      </c>
      <c r="AD718">
        <f>IF(AC718="NO",0,AB718-S718)</f>
        <v>-10666.669999999998</v>
      </c>
      <c r="AE718" s="43">
        <v>0.08</v>
      </c>
      <c r="AF718" s="3">
        <f t="shared" si="36"/>
        <v>-9876.5462962962938</v>
      </c>
      <c r="AG718" s="45">
        <f t="shared" si="37"/>
        <v>-10864.200925925925</v>
      </c>
      <c r="AH718" s="55"/>
    </row>
    <row r="719" spans="1:34" x14ac:dyDescent="0.25">
      <c r="A719" t="s">
        <v>2838</v>
      </c>
      <c r="B719" t="s">
        <v>2839</v>
      </c>
      <c r="C719" t="s">
        <v>2840</v>
      </c>
      <c r="D719" t="s">
        <v>2841</v>
      </c>
      <c r="E719" t="s">
        <v>2842</v>
      </c>
      <c r="F719" t="s">
        <v>2843</v>
      </c>
      <c r="G719" t="s">
        <v>5</v>
      </c>
      <c r="H719" t="s">
        <v>65</v>
      </c>
      <c r="I719" t="s">
        <v>73</v>
      </c>
      <c r="J719" t="s">
        <v>74</v>
      </c>
      <c r="K719" t="s">
        <v>3</v>
      </c>
      <c r="L719" t="s">
        <v>4</v>
      </c>
      <c r="M719" t="s">
        <v>49</v>
      </c>
      <c r="N719" t="s">
        <v>2844</v>
      </c>
      <c r="O719" s="31" t="s">
        <v>2845</v>
      </c>
      <c r="P719">
        <v>220</v>
      </c>
      <c r="Q719" t="s">
        <v>70</v>
      </c>
      <c r="R719">
        <v>1</v>
      </c>
      <c r="S719" s="31">
        <v>59000</v>
      </c>
      <c r="T719" s="39">
        <v>65000</v>
      </c>
      <c r="U719">
        <v>11666.67</v>
      </c>
      <c r="V719">
        <v>5000</v>
      </c>
      <c r="W719">
        <v>0</v>
      </c>
      <c r="X719" s="39">
        <v>20551.669999999998</v>
      </c>
      <c r="Y719">
        <v>0</v>
      </c>
      <c r="Z719" s="31">
        <v>48333.33</v>
      </c>
      <c r="AA719">
        <v>8</v>
      </c>
      <c r="AB719" s="3">
        <f t="shared" si="35"/>
        <v>48333.33</v>
      </c>
      <c r="AC719" t="str">
        <f>IF(AB719-S719&lt;0,"YES","NO")</f>
        <v>YES</v>
      </c>
      <c r="AD719">
        <f>IF(AC719="NO",0,AB719-S719)</f>
        <v>-10666.669999999998</v>
      </c>
      <c r="AE719" s="43">
        <v>0.08</v>
      </c>
      <c r="AF719" s="3">
        <f t="shared" si="36"/>
        <v>-9876.5462962962938</v>
      </c>
      <c r="AG719" s="45">
        <f t="shared" si="37"/>
        <v>-10864.200925925925</v>
      </c>
      <c r="AH719" s="55"/>
    </row>
    <row r="720" spans="1:34" x14ac:dyDescent="0.25">
      <c r="A720" t="s">
        <v>2846</v>
      </c>
      <c r="B720" t="s">
        <v>2847</v>
      </c>
      <c r="C720" t="s">
        <v>2848</v>
      </c>
      <c r="D720" t="s">
        <v>2849</v>
      </c>
      <c r="E720" t="s">
        <v>2850</v>
      </c>
      <c r="F720" t="s">
        <v>2851</v>
      </c>
      <c r="G720" t="s">
        <v>5</v>
      </c>
      <c r="H720" t="s">
        <v>65</v>
      </c>
      <c r="I720" t="s">
        <v>66</v>
      </c>
      <c r="J720" t="s">
        <v>67</v>
      </c>
      <c r="K720" t="s">
        <v>3</v>
      </c>
      <c r="L720" t="s">
        <v>4</v>
      </c>
      <c r="M720" t="s">
        <v>49</v>
      </c>
      <c r="N720" t="s">
        <v>2852</v>
      </c>
      <c r="O720" s="31" t="s">
        <v>2853</v>
      </c>
      <c r="P720">
        <v>220</v>
      </c>
      <c r="R720">
        <v>4</v>
      </c>
      <c r="S720" s="31">
        <v>300000</v>
      </c>
      <c r="T720" s="39">
        <v>320000</v>
      </c>
      <c r="U720">
        <v>20000</v>
      </c>
      <c r="V720">
        <v>32000</v>
      </c>
      <c r="W720">
        <v>0</v>
      </c>
      <c r="X720" s="39">
        <v>49480</v>
      </c>
      <c r="Y720">
        <v>0</v>
      </c>
      <c r="Z720" s="31">
        <v>268000</v>
      </c>
      <c r="AA720">
        <v>8</v>
      </c>
      <c r="AB720" s="3">
        <f t="shared" si="35"/>
        <v>268000</v>
      </c>
      <c r="AC720" t="str">
        <f>IF(AB720-S720&lt;0,"YES","NO")</f>
        <v>YES</v>
      </c>
      <c r="AD720">
        <f>IF(AC720="NO",0,AB720-S720)</f>
        <v>-32000</v>
      </c>
      <c r="AE720" s="43">
        <v>0.08</v>
      </c>
      <c r="AF720" s="3">
        <f t="shared" si="36"/>
        <v>-29629.629629629628</v>
      </c>
      <c r="AG720" s="45">
        <f t="shared" si="37"/>
        <v>-32592.592592592595</v>
      </c>
      <c r="AH720" s="55"/>
    </row>
    <row r="721" spans="1:34" x14ac:dyDescent="0.25">
      <c r="A721" t="s">
        <v>2854</v>
      </c>
      <c r="B721" t="s">
        <v>2855</v>
      </c>
      <c r="C721" t="s">
        <v>2856</v>
      </c>
      <c r="D721" t="s">
        <v>2857</v>
      </c>
      <c r="E721" t="s">
        <v>2858</v>
      </c>
      <c r="F721" t="s">
        <v>2859</v>
      </c>
      <c r="G721" t="s">
        <v>5</v>
      </c>
      <c r="H721" t="s">
        <v>65</v>
      </c>
      <c r="I721" t="s">
        <v>71</v>
      </c>
      <c r="J721" t="s">
        <v>72</v>
      </c>
      <c r="K721" t="s">
        <v>3</v>
      </c>
      <c r="L721" t="s">
        <v>4</v>
      </c>
      <c r="M721" t="s">
        <v>49</v>
      </c>
      <c r="N721" t="s">
        <v>2860</v>
      </c>
      <c r="O721" s="31" t="s">
        <v>2861</v>
      </c>
      <c r="P721">
        <v>220</v>
      </c>
      <c r="Q721" t="s">
        <v>70</v>
      </c>
      <c r="R721">
        <v>3</v>
      </c>
      <c r="S721" s="31">
        <v>177000</v>
      </c>
      <c r="T721" s="39">
        <v>195000</v>
      </c>
      <c r="U721">
        <v>35000.01</v>
      </c>
      <c r="V721">
        <v>19500</v>
      </c>
      <c r="W721">
        <v>0</v>
      </c>
      <c r="X721" s="39">
        <v>63099.99</v>
      </c>
      <c r="Y721">
        <v>0</v>
      </c>
      <c r="Z721" s="31">
        <v>140499.99</v>
      </c>
      <c r="AA721">
        <v>8</v>
      </c>
      <c r="AB721" s="3">
        <f t="shared" si="35"/>
        <v>140499.99</v>
      </c>
      <c r="AC721" t="str">
        <f>IF(AB721-S721&lt;0,"YES","NO")</f>
        <v>YES</v>
      </c>
      <c r="AD721">
        <f>IF(AC721="NO",0,AB721-S721)</f>
        <v>-36500.010000000009</v>
      </c>
      <c r="AE721" s="43">
        <v>0.08</v>
      </c>
      <c r="AF721" s="3">
        <f t="shared" si="36"/>
        <v>-33796.305555555562</v>
      </c>
      <c r="AG721" s="45">
        <f t="shared" si="37"/>
        <v>-37175.936111111121</v>
      </c>
      <c r="AH721" s="55"/>
    </row>
    <row r="722" spans="1:34" x14ac:dyDescent="0.25">
      <c r="A722" t="s">
        <v>2862</v>
      </c>
      <c r="B722" t="s">
        <v>2863</v>
      </c>
      <c r="C722" t="s">
        <v>2864</v>
      </c>
      <c r="D722" t="s">
        <v>2865</v>
      </c>
      <c r="E722" t="s">
        <v>2866</v>
      </c>
      <c r="F722" t="s">
        <v>2867</v>
      </c>
      <c r="G722" t="s">
        <v>5</v>
      </c>
      <c r="H722" t="s">
        <v>65</v>
      </c>
      <c r="I722" t="s">
        <v>78</v>
      </c>
      <c r="J722" t="s">
        <v>79</v>
      </c>
      <c r="K722" t="s">
        <v>3</v>
      </c>
      <c r="L722" t="s">
        <v>4</v>
      </c>
      <c r="M722" t="s">
        <v>49</v>
      </c>
      <c r="N722" t="s">
        <v>2868</v>
      </c>
      <c r="O722" s="31" t="s">
        <v>2869</v>
      </c>
      <c r="P722">
        <v>220</v>
      </c>
      <c r="R722">
        <v>4</v>
      </c>
      <c r="S722" s="31">
        <v>300000</v>
      </c>
      <c r="T722" s="39">
        <v>320000</v>
      </c>
      <c r="U722">
        <v>20000</v>
      </c>
      <c r="V722">
        <v>20000</v>
      </c>
      <c r="W722">
        <v>0</v>
      </c>
      <c r="X722" s="39">
        <v>50800</v>
      </c>
      <c r="Y722">
        <v>0</v>
      </c>
      <c r="Z722" s="31">
        <v>280000</v>
      </c>
      <c r="AA722">
        <v>8</v>
      </c>
      <c r="AB722" s="3">
        <f t="shared" si="35"/>
        <v>280000</v>
      </c>
      <c r="AC722" t="str">
        <f>IF(AB722-S722&lt;0,"YES","NO")</f>
        <v>YES</v>
      </c>
      <c r="AD722">
        <f>IF(AC722="NO",0,AB722-S722)</f>
        <v>-20000</v>
      </c>
      <c r="AE722" s="43">
        <v>0.08</v>
      </c>
      <c r="AF722" s="3">
        <f t="shared" si="36"/>
        <v>-18518.518518518518</v>
      </c>
      <c r="AG722" s="45">
        <f t="shared" si="37"/>
        <v>-20370.370370370372</v>
      </c>
      <c r="AH722" s="55"/>
    </row>
    <row r="723" spans="1:34" x14ac:dyDescent="0.25">
      <c r="A723" t="s">
        <v>2870</v>
      </c>
      <c r="B723" t="s">
        <v>2871</v>
      </c>
      <c r="C723" t="s">
        <v>2872</v>
      </c>
      <c r="D723" t="s">
        <v>2873</v>
      </c>
      <c r="E723" t="s">
        <v>2874</v>
      </c>
      <c r="F723" t="s">
        <v>2875</v>
      </c>
      <c r="G723" t="s">
        <v>5</v>
      </c>
      <c r="H723" t="s">
        <v>65</v>
      </c>
      <c r="I723" t="s">
        <v>66</v>
      </c>
      <c r="J723" t="s">
        <v>67</v>
      </c>
      <c r="K723" t="s">
        <v>3</v>
      </c>
      <c r="L723" t="s">
        <v>4</v>
      </c>
      <c r="M723" t="s">
        <v>49</v>
      </c>
      <c r="N723" t="s">
        <v>2876</v>
      </c>
      <c r="O723" s="31" t="s">
        <v>2877</v>
      </c>
      <c r="P723">
        <v>220</v>
      </c>
      <c r="R723">
        <v>2</v>
      </c>
      <c r="S723" s="31">
        <v>150000</v>
      </c>
      <c r="T723" s="39">
        <v>160000</v>
      </c>
      <c r="U723">
        <v>20000</v>
      </c>
      <c r="V723">
        <v>16000</v>
      </c>
      <c r="W723">
        <v>0</v>
      </c>
      <c r="X723" s="39">
        <v>63400</v>
      </c>
      <c r="Y723">
        <v>0</v>
      </c>
      <c r="Z723" s="31">
        <v>124000</v>
      </c>
      <c r="AA723">
        <v>8</v>
      </c>
      <c r="AB723" s="3">
        <f t="shared" si="35"/>
        <v>124000</v>
      </c>
      <c r="AC723" t="str">
        <f>IF(AB723-S723&lt;0,"YES","NO")</f>
        <v>YES</v>
      </c>
      <c r="AD723">
        <f>IF(AC723="NO",0,AB723-S723)</f>
        <v>-26000</v>
      </c>
      <c r="AE723" s="43">
        <v>0.08</v>
      </c>
      <c r="AF723" s="3">
        <f t="shared" si="36"/>
        <v>-24074.074074074073</v>
      </c>
      <c r="AG723" s="45">
        <f t="shared" si="37"/>
        <v>-26481.481481481482</v>
      </c>
      <c r="AH723" s="55"/>
    </row>
    <row r="724" spans="1:34" x14ac:dyDescent="0.25">
      <c r="A724" t="s">
        <v>2878</v>
      </c>
      <c r="B724" t="s">
        <v>2879</v>
      </c>
      <c r="C724" t="s">
        <v>2880</v>
      </c>
      <c r="D724" t="s">
        <v>2881</v>
      </c>
      <c r="E724" t="s">
        <v>2882</v>
      </c>
      <c r="F724" t="s">
        <v>2883</v>
      </c>
      <c r="G724" t="s">
        <v>5</v>
      </c>
      <c r="H724" t="s">
        <v>61</v>
      </c>
      <c r="I724" t="s">
        <v>84</v>
      </c>
      <c r="J724" t="s">
        <v>85</v>
      </c>
      <c r="K724" t="s">
        <v>3</v>
      </c>
      <c r="L724" t="s">
        <v>4</v>
      </c>
      <c r="M724" t="s">
        <v>49</v>
      </c>
      <c r="N724" t="s">
        <v>2884</v>
      </c>
      <c r="O724" s="31" t="s">
        <v>2885</v>
      </c>
      <c r="P724">
        <v>100</v>
      </c>
      <c r="Q724" t="s">
        <v>86</v>
      </c>
      <c r="R724">
        <v>1</v>
      </c>
      <c r="S724" s="31">
        <v>0</v>
      </c>
      <c r="T724" s="39">
        <v>0</v>
      </c>
      <c r="U724">
        <v>0</v>
      </c>
      <c r="V724">
        <v>0</v>
      </c>
      <c r="W724">
        <v>0</v>
      </c>
      <c r="X724" s="39">
        <v>0</v>
      </c>
      <c r="Y724">
        <v>0</v>
      </c>
      <c r="Z724" s="31">
        <v>0</v>
      </c>
      <c r="AA724">
        <v>8</v>
      </c>
      <c r="AB724" s="3">
        <f t="shared" si="35"/>
        <v>0</v>
      </c>
      <c r="AC724" t="str">
        <f>IF(AB724-S724&lt;0,"YES","NO")</f>
        <v>NO</v>
      </c>
      <c r="AD724">
        <f>IF(AC724="NO",0,AB724-S724)</f>
        <v>0</v>
      </c>
      <c r="AE724" s="43">
        <v>0.08</v>
      </c>
      <c r="AF724" s="3">
        <f t="shared" si="36"/>
        <v>0</v>
      </c>
      <c r="AG724" s="45">
        <f t="shared" si="37"/>
        <v>0</v>
      </c>
      <c r="AH724" s="55"/>
    </row>
    <row r="725" spans="1:34" x14ac:dyDescent="0.25">
      <c r="A725" t="s">
        <v>2878</v>
      </c>
      <c r="B725" t="s">
        <v>2879</v>
      </c>
      <c r="C725" t="s">
        <v>2880</v>
      </c>
      <c r="D725" t="s">
        <v>2881</v>
      </c>
      <c r="E725" t="s">
        <v>2882</v>
      </c>
      <c r="F725" t="s">
        <v>2883</v>
      </c>
      <c r="G725" t="s">
        <v>5</v>
      </c>
      <c r="H725" t="s">
        <v>65</v>
      </c>
      <c r="I725" t="s">
        <v>66</v>
      </c>
      <c r="J725" t="s">
        <v>67</v>
      </c>
      <c r="K725" t="s">
        <v>3</v>
      </c>
      <c r="L725" t="s">
        <v>4</v>
      </c>
      <c r="M725" t="s">
        <v>49</v>
      </c>
      <c r="N725" t="s">
        <v>2884</v>
      </c>
      <c r="O725" s="31" t="s">
        <v>2885</v>
      </c>
      <c r="P725">
        <v>220</v>
      </c>
      <c r="R725">
        <v>3</v>
      </c>
      <c r="S725" s="31">
        <v>225000</v>
      </c>
      <c r="T725" s="39">
        <v>240000</v>
      </c>
      <c r="U725">
        <v>35000.01</v>
      </c>
      <c r="V725">
        <v>24000</v>
      </c>
      <c r="W725">
        <v>0</v>
      </c>
      <c r="X725" s="39">
        <v>71199.990000000005</v>
      </c>
      <c r="Y725">
        <v>0</v>
      </c>
      <c r="Z725" s="31">
        <v>180999.99</v>
      </c>
      <c r="AA725">
        <v>8</v>
      </c>
      <c r="AB725" s="3">
        <f t="shared" si="35"/>
        <v>180999.99</v>
      </c>
      <c r="AC725" t="str">
        <f>IF(AB725-S725&lt;0,"YES","NO")</f>
        <v>YES</v>
      </c>
      <c r="AD725">
        <f>IF(AC725="NO",0,AB725-S725)</f>
        <v>-44000.010000000009</v>
      </c>
      <c r="AE725" s="43">
        <v>0.08</v>
      </c>
      <c r="AF725" s="3">
        <f t="shared" si="36"/>
        <v>-40740.750000000007</v>
      </c>
      <c r="AG725" s="45">
        <f t="shared" si="37"/>
        <v>-44814.825000000012</v>
      </c>
      <c r="AH725" s="55"/>
    </row>
    <row r="726" spans="1:34" x14ac:dyDescent="0.25">
      <c r="A726" t="s">
        <v>2886</v>
      </c>
      <c r="B726" t="s">
        <v>2887</v>
      </c>
      <c r="C726" t="s">
        <v>2888</v>
      </c>
      <c r="D726" t="s">
        <v>2889</v>
      </c>
      <c r="E726" t="s">
        <v>2890</v>
      </c>
      <c r="F726" t="s">
        <v>2891</v>
      </c>
      <c r="G726" t="s">
        <v>5</v>
      </c>
      <c r="H726" t="s">
        <v>61</v>
      </c>
      <c r="I726" t="s">
        <v>84</v>
      </c>
      <c r="J726" t="s">
        <v>85</v>
      </c>
      <c r="K726" t="s">
        <v>3</v>
      </c>
      <c r="L726" t="s">
        <v>4</v>
      </c>
      <c r="M726" t="s">
        <v>49</v>
      </c>
      <c r="N726" t="s">
        <v>2892</v>
      </c>
      <c r="O726" s="31" t="s">
        <v>2893</v>
      </c>
      <c r="P726">
        <v>100</v>
      </c>
      <c r="Q726" t="s">
        <v>86</v>
      </c>
      <c r="R726">
        <v>1</v>
      </c>
      <c r="S726" s="31">
        <v>0</v>
      </c>
      <c r="T726" s="39">
        <v>0</v>
      </c>
      <c r="U726">
        <v>0</v>
      </c>
      <c r="V726">
        <v>0</v>
      </c>
      <c r="W726">
        <v>0</v>
      </c>
      <c r="X726" s="39">
        <v>0</v>
      </c>
      <c r="Y726">
        <v>0</v>
      </c>
      <c r="Z726" s="31">
        <v>0</v>
      </c>
      <c r="AA726">
        <v>8</v>
      </c>
      <c r="AB726" s="3">
        <f t="shared" si="35"/>
        <v>0</v>
      </c>
      <c r="AC726" t="str">
        <f>IF(AB726-S726&lt;0,"YES","NO")</f>
        <v>NO</v>
      </c>
      <c r="AD726">
        <f>IF(AC726="NO",0,AB726-S726)</f>
        <v>0</v>
      </c>
      <c r="AE726" s="43">
        <v>0.08</v>
      </c>
      <c r="AF726" s="3">
        <f t="shared" si="36"/>
        <v>0</v>
      </c>
      <c r="AG726" s="45">
        <f t="shared" si="37"/>
        <v>0</v>
      </c>
      <c r="AH726" s="55"/>
    </row>
    <row r="727" spans="1:34" x14ac:dyDescent="0.25">
      <c r="A727" t="s">
        <v>2886</v>
      </c>
      <c r="B727" t="s">
        <v>2887</v>
      </c>
      <c r="C727" t="s">
        <v>2888</v>
      </c>
      <c r="D727" t="s">
        <v>2889</v>
      </c>
      <c r="E727" t="s">
        <v>2890</v>
      </c>
      <c r="F727" t="s">
        <v>2891</v>
      </c>
      <c r="G727" t="s">
        <v>5</v>
      </c>
      <c r="H727" t="s">
        <v>65</v>
      </c>
      <c r="I727" t="s">
        <v>87</v>
      </c>
      <c r="J727" t="s">
        <v>88</v>
      </c>
      <c r="K727" t="s">
        <v>3</v>
      </c>
      <c r="L727" t="s">
        <v>4</v>
      </c>
      <c r="M727" t="s">
        <v>49</v>
      </c>
      <c r="N727" t="s">
        <v>2892</v>
      </c>
      <c r="O727" s="31" t="s">
        <v>2893</v>
      </c>
      <c r="P727">
        <v>220</v>
      </c>
      <c r="Q727" t="s">
        <v>89</v>
      </c>
      <c r="R727">
        <v>1</v>
      </c>
      <c r="S727" s="31">
        <v>59000</v>
      </c>
      <c r="T727" s="39">
        <v>70000</v>
      </c>
      <c r="U727">
        <v>10000</v>
      </c>
      <c r="V727">
        <v>6500</v>
      </c>
      <c r="W727">
        <v>0</v>
      </c>
      <c r="X727" s="39">
        <v>20700</v>
      </c>
      <c r="Y727">
        <v>0</v>
      </c>
      <c r="Z727" s="31">
        <v>53500</v>
      </c>
      <c r="AA727">
        <v>8</v>
      </c>
      <c r="AB727" s="3">
        <f t="shared" si="35"/>
        <v>53500</v>
      </c>
      <c r="AC727" t="str">
        <f>IF(AB727-S727&lt;0,"YES","NO")</f>
        <v>YES</v>
      </c>
      <c r="AD727">
        <f>IF(AC727="NO",0,AB727-S727)</f>
        <v>-5500</v>
      </c>
      <c r="AE727" s="43">
        <v>0.08</v>
      </c>
      <c r="AF727" s="3">
        <f t="shared" si="36"/>
        <v>-5092.5925925925922</v>
      </c>
      <c r="AG727" s="45">
        <f t="shared" si="37"/>
        <v>-5601.8518518518522</v>
      </c>
      <c r="AH727" s="55"/>
    </row>
    <row r="728" spans="1:34" x14ac:dyDescent="0.25">
      <c r="A728" t="s">
        <v>2886</v>
      </c>
      <c r="B728" t="s">
        <v>2887</v>
      </c>
      <c r="C728" t="s">
        <v>2888</v>
      </c>
      <c r="D728" t="s">
        <v>2889</v>
      </c>
      <c r="E728" t="s">
        <v>2890</v>
      </c>
      <c r="F728" t="s">
        <v>2891</v>
      </c>
      <c r="G728" t="s">
        <v>5</v>
      </c>
      <c r="H728" t="s">
        <v>65</v>
      </c>
      <c r="I728" t="s">
        <v>90</v>
      </c>
      <c r="J728" t="s">
        <v>91</v>
      </c>
      <c r="K728" t="s">
        <v>3</v>
      </c>
      <c r="L728" t="s">
        <v>4</v>
      </c>
      <c r="M728" t="s">
        <v>49</v>
      </c>
      <c r="N728" t="s">
        <v>2892</v>
      </c>
      <c r="O728" s="31" t="s">
        <v>2893</v>
      </c>
      <c r="P728">
        <v>220</v>
      </c>
      <c r="Q728" t="s">
        <v>92</v>
      </c>
      <c r="R728">
        <v>1</v>
      </c>
      <c r="S728" s="31">
        <v>59000</v>
      </c>
      <c r="T728" s="39">
        <v>70000</v>
      </c>
      <c r="U728">
        <v>10000</v>
      </c>
      <c r="V728">
        <v>6500</v>
      </c>
      <c r="W728">
        <v>0</v>
      </c>
      <c r="X728" s="39">
        <v>20700</v>
      </c>
      <c r="Y728">
        <v>0</v>
      </c>
      <c r="Z728" s="31">
        <v>53500</v>
      </c>
      <c r="AA728">
        <v>8</v>
      </c>
      <c r="AB728" s="3">
        <f t="shared" si="35"/>
        <v>53500</v>
      </c>
      <c r="AC728" t="str">
        <f>IF(AB728-S728&lt;0,"YES","NO")</f>
        <v>YES</v>
      </c>
      <c r="AD728">
        <f>IF(AC728="NO",0,AB728-S728)</f>
        <v>-5500</v>
      </c>
      <c r="AE728" s="43">
        <v>0.08</v>
      </c>
      <c r="AF728" s="3">
        <f t="shared" si="36"/>
        <v>-5092.5925925925922</v>
      </c>
      <c r="AG728" s="45">
        <f t="shared" si="37"/>
        <v>-5601.8518518518522</v>
      </c>
      <c r="AH728" s="55"/>
    </row>
    <row r="729" spans="1:34" x14ac:dyDescent="0.25">
      <c r="A729" t="s">
        <v>2894</v>
      </c>
      <c r="B729" t="s">
        <v>2895</v>
      </c>
      <c r="C729" t="s">
        <v>2896</v>
      </c>
      <c r="D729" t="s">
        <v>2897</v>
      </c>
      <c r="E729" t="s">
        <v>2898</v>
      </c>
      <c r="F729" t="s">
        <v>2899</v>
      </c>
      <c r="G729" t="s">
        <v>5</v>
      </c>
      <c r="H729" t="s">
        <v>65</v>
      </c>
      <c r="I729" t="s">
        <v>66</v>
      </c>
      <c r="J729" t="s">
        <v>67</v>
      </c>
      <c r="K729" t="s">
        <v>3</v>
      </c>
      <c r="L729" t="s">
        <v>4</v>
      </c>
      <c r="M729" t="s">
        <v>49</v>
      </c>
      <c r="N729" t="s">
        <v>2900</v>
      </c>
      <c r="O729" s="31" t="s">
        <v>2901</v>
      </c>
      <c r="P729">
        <v>220</v>
      </c>
      <c r="R729">
        <v>6</v>
      </c>
      <c r="S729" s="31">
        <v>450000</v>
      </c>
      <c r="T729" s="39">
        <v>480000</v>
      </c>
      <c r="U729">
        <v>75000</v>
      </c>
      <c r="V729">
        <v>48000</v>
      </c>
      <c r="W729">
        <v>0</v>
      </c>
      <c r="X729" s="39">
        <v>153540</v>
      </c>
      <c r="Y729">
        <v>0</v>
      </c>
      <c r="Z729" s="31">
        <v>357000</v>
      </c>
      <c r="AA729">
        <v>8</v>
      </c>
      <c r="AB729" s="3">
        <f t="shared" si="35"/>
        <v>357000</v>
      </c>
      <c r="AC729" t="str">
        <f>IF(AB729-S729&lt;0,"YES","NO")</f>
        <v>YES</v>
      </c>
      <c r="AD729">
        <f>IF(AC729="NO",0,AB729-S729)</f>
        <v>-93000</v>
      </c>
      <c r="AE729" s="43">
        <v>0.08</v>
      </c>
      <c r="AF729" s="3">
        <f t="shared" si="36"/>
        <v>-86111.111111111109</v>
      </c>
      <c r="AG729" s="45">
        <f t="shared" si="37"/>
        <v>-94722.222222222234</v>
      </c>
      <c r="AH729" s="55"/>
    </row>
    <row r="730" spans="1:34" x14ac:dyDescent="0.25">
      <c r="A730" t="s">
        <v>2902</v>
      </c>
      <c r="B730" t="s">
        <v>2903</v>
      </c>
      <c r="C730" t="s">
        <v>2904</v>
      </c>
      <c r="D730" t="s">
        <v>2905</v>
      </c>
      <c r="E730" t="s">
        <v>2906</v>
      </c>
      <c r="F730" t="s">
        <v>2907</v>
      </c>
      <c r="G730" t="s">
        <v>5</v>
      </c>
      <c r="H730" t="s">
        <v>61</v>
      </c>
      <c r="I730" t="s">
        <v>97</v>
      </c>
      <c r="J730" t="s">
        <v>98</v>
      </c>
      <c r="K730" t="s">
        <v>3</v>
      </c>
      <c r="L730" t="s">
        <v>4</v>
      </c>
      <c r="M730" t="s">
        <v>49</v>
      </c>
      <c r="N730" t="s">
        <v>2908</v>
      </c>
      <c r="O730" s="31" t="s">
        <v>2909</v>
      </c>
      <c r="P730">
        <v>20</v>
      </c>
      <c r="Q730" t="s">
        <v>99</v>
      </c>
      <c r="R730">
        <v>1</v>
      </c>
      <c r="S730" s="31">
        <v>0</v>
      </c>
      <c r="T730" s="39">
        <v>0</v>
      </c>
      <c r="U730">
        <v>0</v>
      </c>
      <c r="V730">
        <v>0</v>
      </c>
      <c r="W730">
        <v>0</v>
      </c>
      <c r="X730" s="39">
        <v>0</v>
      </c>
      <c r="Y730">
        <v>0</v>
      </c>
      <c r="Z730" s="31">
        <v>0</v>
      </c>
      <c r="AA730">
        <v>8</v>
      </c>
      <c r="AB730" s="3">
        <f t="shared" si="35"/>
        <v>0</v>
      </c>
      <c r="AC730" t="str">
        <f>IF(AB730-S730&lt;0,"YES","NO")</f>
        <v>NO</v>
      </c>
      <c r="AD730">
        <f>IF(AC730="NO",0,AB730-S730)</f>
        <v>0</v>
      </c>
      <c r="AE730" s="43">
        <v>0.08</v>
      </c>
      <c r="AF730" s="3">
        <f t="shared" si="36"/>
        <v>0</v>
      </c>
      <c r="AG730" s="45">
        <f t="shared" si="37"/>
        <v>0</v>
      </c>
      <c r="AH730" s="55"/>
    </row>
    <row r="731" spans="1:34" x14ac:dyDescent="0.25">
      <c r="A731" t="s">
        <v>2902</v>
      </c>
      <c r="B731" t="s">
        <v>2903</v>
      </c>
      <c r="C731" t="s">
        <v>2904</v>
      </c>
      <c r="D731" t="s">
        <v>2905</v>
      </c>
      <c r="E731" t="s">
        <v>2906</v>
      </c>
      <c r="F731" t="s">
        <v>2907</v>
      </c>
      <c r="G731" t="s">
        <v>5</v>
      </c>
      <c r="H731" t="s">
        <v>65</v>
      </c>
      <c r="I731" t="s">
        <v>115</v>
      </c>
      <c r="J731" t="s">
        <v>116</v>
      </c>
      <c r="K731" t="s">
        <v>3</v>
      </c>
      <c r="L731" t="s">
        <v>4</v>
      </c>
      <c r="M731" t="s">
        <v>49</v>
      </c>
      <c r="N731" t="s">
        <v>2908</v>
      </c>
      <c r="O731" s="31" t="s">
        <v>2909</v>
      </c>
      <c r="P731">
        <v>200</v>
      </c>
      <c r="R731">
        <v>2</v>
      </c>
      <c r="S731" s="31">
        <v>144000</v>
      </c>
      <c r="T731" s="39">
        <v>160000</v>
      </c>
      <c r="U731">
        <v>20000</v>
      </c>
      <c r="V731">
        <v>16000</v>
      </c>
      <c r="W731">
        <v>0</v>
      </c>
      <c r="X731" s="39">
        <v>44800</v>
      </c>
      <c r="Y731">
        <v>0</v>
      </c>
      <c r="Z731" s="31">
        <v>124000</v>
      </c>
      <c r="AA731">
        <v>8</v>
      </c>
      <c r="AB731" s="3">
        <f t="shared" si="35"/>
        <v>124000</v>
      </c>
      <c r="AC731" t="str">
        <f>IF(AB731-S731&lt;0,"YES","NO")</f>
        <v>YES</v>
      </c>
      <c r="AD731">
        <f>IF(AC731="NO",0,AB731-S731)</f>
        <v>-20000</v>
      </c>
      <c r="AE731" s="43">
        <v>0.08</v>
      </c>
      <c r="AF731" s="3">
        <f t="shared" si="36"/>
        <v>-18518.518518518518</v>
      </c>
      <c r="AG731" s="45">
        <f t="shared" si="37"/>
        <v>-20370.370370370372</v>
      </c>
      <c r="AH731" s="55"/>
    </row>
    <row r="732" spans="1:34" x14ac:dyDescent="0.25">
      <c r="A732" t="s">
        <v>2910</v>
      </c>
      <c r="B732" t="s">
        <v>2911</v>
      </c>
      <c r="C732" t="s">
        <v>2912</v>
      </c>
      <c r="D732" t="s">
        <v>2913</v>
      </c>
      <c r="E732" t="s">
        <v>2914</v>
      </c>
      <c r="F732" t="s">
        <v>2915</v>
      </c>
      <c r="G732" t="s">
        <v>5</v>
      </c>
      <c r="H732" t="s">
        <v>65</v>
      </c>
      <c r="I732" t="s">
        <v>66</v>
      </c>
      <c r="J732" t="s">
        <v>67</v>
      </c>
      <c r="K732" t="s">
        <v>3</v>
      </c>
      <c r="L732" t="s">
        <v>4</v>
      </c>
      <c r="M732" t="s">
        <v>49</v>
      </c>
      <c r="N732" t="s">
        <v>2916</v>
      </c>
      <c r="O732" s="31" t="s">
        <v>2917</v>
      </c>
      <c r="P732">
        <v>220</v>
      </c>
      <c r="R732">
        <v>2</v>
      </c>
      <c r="S732" s="31">
        <v>150000</v>
      </c>
      <c r="T732" s="39">
        <v>160000</v>
      </c>
      <c r="U732">
        <v>9795</v>
      </c>
      <c r="V732">
        <v>16000</v>
      </c>
      <c r="W732">
        <v>0</v>
      </c>
      <c r="X732" s="39">
        <v>28583</v>
      </c>
      <c r="Y732">
        <v>0</v>
      </c>
      <c r="Z732" s="31">
        <v>134205</v>
      </c>
      <c r="AA732">
        <v>8</v>
      </c>
      <c r="AB732" s="3">
        <f t="shared" si="35"/>
        <v>134205</v>
      </c>
      <c r="AC732" t="str">
        <f>IF(AB732-S732&lt;0,"YES","NO")</f>
        <v>YES</v>
      </c>
      <c r="AD732">
        <f>IF(AC732="NO",0,AB732-S732)</f>
        <v>-15795</v>
      </c>
      <c r="AE732" s="43">
        <v>0.08</v>
      </c>
      <c r="AF732" s="3">
        <f t="shared" si="36"/>
        <v>-14624.999999999998</v>
      </c>
      <c r="AG732" s="45">
        <f t="shared" si="37"/>
        <v>-16087.5</v>
      </c>
      <c r="AH732" s="55"/>
    </row>
    <row r="733" spans="1:34" x14ac:dyDescent="0.25">
      <c r="A733" t="s">
        <v>2910</v>
      </c>
      <c r="B733" t="s">
        <v>2911</v>
      </c>
      <c r="C733" t="s">
        <v>2912</v>
      </c>
      <c r="D733" t="s">
        <v>2913</v>
      </c>
      <c r="E733" t="s">
        <v>2914</v>
      </c>
      <c r="F733" t="s">
        <v>2915</v>
      </c>
      <c r="G733" t="s">
        <v>5</v>
      </c>
      <c r="H733" t="s">
        <v>65</v>
      </c>
      <c r="I733" t="s">
        <v>78</v>
      </c>
      <c r="J733" t="s">
        <v>79</v>
      </c>
      <c r="K733" t="s">
        <v>3</v>
      </c>
      <c r="L733" t="s">
        <v>4</v>
      </c>
      <c r="M733" t="s">
        <v>49</v>
      </c>
      <c r="N733" t="s">
        <v>2916</v>
      </c>
      <c r="O733" s="31" t="s">
        <v>2917</v>
      </c>
      <c r="P733">
        <v>220</v>
      </c>
      <c r="R733">
        <v>2</v>
      </c>
      <c r="S733" s="31">
        <v>150000</v>
      </c>
      <c r="T733" s="39">
        <v>160000</v>
      </c>
      <c r="U733">
        <v>10205</v>
      </c>
      <c r="V733">
        <v>10000</v>
      </c>
      <c r="W733">
        <v>0</v>
      </c>
      <c r="X733" s="39">
        <v>29777</v>
      </c>
      <c r="Y733">
        <v>0</v>
      </c>
      <c r="Z733" s="31">
        <v>139795</v>
      </c>
      <c r="AA733">
        <v>8</v>
      </c>
      <c r="AB733" s="3">
        <f t="shared" si="35"/>
        <v>139795</v>
      </c>
      <c r="AC733" t="str">
        <f>IF(AB733-S733&lt;0,"YES","NO")</f>
        <v>YES</v>
      </c>
      <c r="AD733">
        <f>IF(AC733="NO",0,AB733-S733)</f>
        <v>-10205</v>
      </c>
      <c r="AE733" s="43">
        <v>0.08</v>
      </c>
      <c r="AF733" s="3">
        <f t="shared" si="36"/>
        <v>-9449.074074074073</v>
      </c>
      <c r="AG733" s="45">
        <f t="shared" si="37"/>
        <v>-10393.981481481482</v>
      </c>
      <c r="AH733" s="55"/>
    </row>
    <row r="734" spans="1:34" x14ac:dyDescent="0.25">
      <c r="A734" t="s">
        <v>2918</v>
      </c>
      <c r="B734" t="s">
        <v>2919</v>
      </c>
      <c r="C734" t="s">
        <v>2920</v>
      </c>
      <c r="D734" t="s">
        <v>2921</v>
      </c>
      <c r="E734" t="s">
        <v>2922</v>
      </c>
      <c r="F734" t="s">
        <v>2923</v>
      </c>
      <c r="G734" t="s">
        <v>5</v>
      </c>
      <c r="H734" t="s">
        <v>65</v>
      </c>
      <c r="I734" t="s">
        <v>66</v>
      </c>
      <c r="J734" t="s">
        <v>67</v>
      </c>
      <c r="K734" t="s">
        <v>3</v>
      </c>
      <c r="L734" t="s">
        <v>4</v>
      </c>
      <c r="M734" t="s">
        <v>49</v>
      </c>
      <c r="N734" t="s">
        <v>2924</v>
      </c>
      <c r="O734" s="31" t="s">
        <v>2925</v>
      </c>
      <c r="P734">
        <v>220</v>
      </c>
      <c r="R734">
        <v>2</v>
      </c>
      <c r="S734" s="31">
        <v>150000</v>
      </c>
      <c r="T734" s="39">
        <v>160000</v>
      </c>
      <c r="U734">
        <v>20000</v>
      </c>
      <c r="V734">
        <v>16000</v>
      </c>
      <c r="W734">
        <v>0</v>
      </c>
      <c r="X734" s="39">
        <v>40000</v>
      </c>
      <c r="Y734">
        <v>0</v>
      </c>
      <c r="Z734" s="31">
        <v>124000</v>
      </c>
      <c r="AA734">
        <v>8</v>
      </c>
      <c r="AB734" s="3">
        <f t="shared" si="35"/>
        <v>124000</v>
      </c>
      <c r="AC734" t="str">
        <f>IF(AB734-S734&lt;0,"YES","NO")</f>
        <v>YES</v>
      </c>
      <c r="AD734">
        <f>IF(AC734="NO",0,AB734-S734)</f>
        <v>-26000</v>
      </c>
      <c r="AE734" s="43">
        <v>0.08</v>
      </c>
      <c r="AF734" s="3">
        <f t="shared" si="36"/>
        <v>-24074.074074074073</v>
      </c>
      <c r="AG734" s="45">
        <f t="shared" si="37"/>
        <v>-26481.481481481482</v>
      </c>
      <c r="AH734" s="55"/>
    </row>
    <row r="735" spans="1:34" x14ac:dyDescent="0.25">
      <c r="A735" t="s">
        <v>2926</v>
      </c>
      <c r="B735" t="s">
        <v>2927</v>
      </c>
      <c r="C735" t="s">
        <v>2928</v>
      </c>
      <c r="D735" t="s">
        <v>2929</v>
      </c>
      <c r="E735" t="s">
        <v>2930</v>
      </c>
      <c r="F735" t="s">
        <v>2931</v>
      </c>
      <c r="G735" t="s">
        <v>5</v>
      </c>
      <c r="H735" t="s">
        <v>61</v>
      </c>
      <c r="I735" t="s">
        <v>93</v>
      </c>
      <c r="J735" t="s">
        <v>94</v>
      </c>
      <c r="K735" t="s">
        <v>3</v>
      </c>
      <c r="L735" t="s">
        <v>4</v>
      </c>
      <c r="M735" t="s">
        <v>49</v>
      </c>
      <c r="N735" t="s">
        <v>2932</v>
      </c>
      <c r="O735" s="31" t="s">
        <v>2933</v>
      </c>
      <c r="P735">
        <v>20</v>
      </c>
      <c r="Q735" t="s">
        <v>86</v>
      </c>
      <c r="R735">
        <v>1</v>
      </c>
      <c r="S735" s="31">
        <v>0</v>
      </c>
      <c r="T735" s="39">
        <v>0</v>
      </c>
      <c r="U735">
        <v>0</v>
      </c>
      <c r="V735">
        <v>0</v>
      </c>
      <c r="W735">
        <v>0</v>
      </c>
      <c r="X735" s="39">
        <v>0</v>
      </c>
      <c r="Y735">
        <v>0</v>
      </c>
      <c r="Z735" s="31">
        <v>0</v>
      </c>
      <c r="AA735">
        <v>8</v>
      </c>
      <c r="AB735" s="3">
        <f t="shared" si="35"/>
        <v>0</v>
      </c>
      <c r="AC735" t="str">
        <f>IF(AB735-S735&lt;0,"YES","NO")</f>
        <v>NO</v>
      </c>
      <c r="AD735">
        <f>IF(AC735="NO",0,AB735-S735)</f>
        <v>0</v>
      </c>
      <c r="AE735" s="43">
        <v>0.08</v>
      </c>
      <c r="AF735" s="3">
        <f t="shared" si="36"/>
        <v>0</v>
      </c>
      <c r="AG735" s="45">
        <f t="shared" si="37"/>
        <v>0</v>
      </c>
      <c r="AH735" s="55"/>
    </row>
    <row r="736" spans="1:34" x14ac:dyDescent="0.25">
      <c r="A736" t="s">
        <v>2926</v>
      </c>
      <c r="B736" t="s">
        <v>2927</v>
      </c>
      <c r="C736" t="s">
        <v>2928</v>
      </c>
      <c r="D736" t="s">
        <v>2929</v>
      </c>
      <c r="E736" t="s">
        <v>2930</v>
      </c>
      <c r="F736" t="s">
        <v>2931</v>
      </c>
      <c r="G736" t="s">
        <v>5</v>
      </c>
      <c r="H736" t="s">
        <v>65</v>
      </c>
      <c r="I736" t="s">
        <v>95</v>
      </c>
      <c r="J736" t="s">
        <v>96</v>
      </c>
      <c r="K736" t="s">
        <v>3</v>
      </c>
      <c r="L736" t="s">
        <v>4</v>
      </c>
      <c r="M736" t="s">
        <v>49</v>
      </c>
      <c r="N736" t="s">
        <v>2932</v>
      </c>
      <c r="O736" s="31" t="s">
        <v>2933</v>
      </c>
      <c r="P736">
        <v>200</v>
      </c>
      <c r="R736">
        <v>6</v>
      </c>
      <c r="S736" s="31">
        <v>432000</v>
      </c>
      <c r="T736" s="39">
        <v>480000</v>
      </c>
      <c r="U736">
        <v>75000</v>
      </c>
      <c r="V736">
        <v>40000.019999999997</v>
      </c>
      <c r="W736">
        <v>0</v>
      </c>
      <c r="X736" s="39">
        <v>126099.96</v>
      </c>
      <c r="Y736">
        <v>0</v>
      </c>
      <c r="Z736" s="31">
        <v>364999.98</v>
      </c>
      <c r="AA736">
        <v>8</v>
      </c>
      <c r="AB736" s="3">
        <f t="shared" si="35"/>
        <v>364999.98</v>
      </c>
      <c r="AC736" t="str">
        <f>IF(AB736-S736&lt;0,"YES","NO")</f>
        <v>YES</v>
      </c>
      <c r="AD736">
        <f>IF(AC736="NO",0,AB736-S736)</f>
        <v>-67000.020000000019</v>
      </c>
      <c r="AE736" s="43">
        <v>0.08</v>
      </c>
      <c r="AF736" s="3">
        <f t="shared" si="36"/>
        <v>-62037.055555555569</v>
      </c>
      <c r="AG736" s="45">
        <f t="shared" si="37"/>
        <v>-68240.761111111133</v>
      </c>
      <c r="AH736" s="55"/>
    </row>
    <row r="737" spans="1:34" x14ac:dyDescent="0.25">
      <c r="A737" t="s">
        <v>2934</v>
      </c>
      <c r="B737" t="s">
        <v>2935</v>
      </c>
      <c r="C737" t="s">
        <v>2936</v>
      </c>
      <c r="D737" t="s">
        <v>2937</v>
      </c>
      <c r="E737" t="s">
        <v>2938</v>
      </c>
      <c r="F737" t="s">
        <v>2939</v>
      </c>
      <c r="G737" t="s">
        <v>5</v>
      </c>
      <c r="H737" t="s">
        <v>61</v>
      </c>
      <c r="I737" t="s">
        <v>84</v>
      </c>
      <c r="J737" t="s">
        <v>85</v>
      </c>
      <c r="K737" t="s">
        <v>3</v>
      </c>
      <c r="L737" t="s">
        <v>4</v>
      </c>
      <c r="M737" t="s">
        <v>49</v>
      </c>
      <c r="N737" t="s">
        <v>2940</v>
      </c>
      <c r="O737" s="31" t="s">
        <v>2941</v>
      </c>
      <c r="P737">
        <v>100</v>
      </c>
      <c r="Q737" t="s">
        <v>86</v>
      </c>
      <c r="R737">
        <v>1</v>
      </c>
      <c r="S737" s="31">
        <v>0</v>
      </c>
      <c r="T737" s="39">
        <v>0</v>
      </c>
      <c r="U737">
        <v>0</v>
      </c>
      <c r="V737">
        <v>0</v>
      </c>
      <c r="W737">
        <v>0</v>
      </c>
      <c r="X737" s="39">
        <v>0</v>
      </c>
      <c r="Y737">
        <v>0</v>
      </c>
      <c r="Z737" s="31">
        <v>0</v>
      </c>
      <c r="AA737">
        <v>8</v>
      </c>
      <c r="AB737" s="3">
        <f t="shared" si="35"/>
        <v>0</v>
      </c>
      <c r="AC737" t="str">
        <f>IF(AB737-S737&lt;0,"YES","NO")</f>
        <v>NO</v>
      </c>
      <c r="AD737">
        <f>IF(AC737="NO",0,AB737-S737)</f>
        <v>0</v>
      </c>
      <c r="AE737" s="43">
        <v>0.08</v>
      </c>
      <c r="AF737" s="3">
        <f t="shared" si="36"/>
        <v>0</v>
      </c>
      <c r="AG737" s="45">
        <f t="shared" si="37"/>
        <v>0</v>
      </c>
      <c r="AH737" s="55"/>
    </row>
    <row r="738" spans="1:34" x14ac:dyDescent="0.25">
      <c r="A738" t="s">
        <v>2934</v>
      </c>
      <c r="B738" t="s">
        <v>2935</v>
      </c>
      <c r="C738" t="s">
        <v>2936</v>
      </c>
      <c r="D738" t="s">
        <v>2937</v>
      </c>
      <c r="E738" t="s">
        <v>2938</v>
      </c>
      <c r="F738" t="s">
        <v>2939</v>
      </c>
      <c r="G738" t="s">
        <v>5</v>
      </c>
      <c r="H738" t="s">
        <v>65</v>
      </c>
      <c r="I738" t="s">
        <v>66</v>
      </c>
      <c r="J738" t="s">
        <v>67</v>
      </c>
      <c r="K738" t="s">
        <v>3</v>
      </c>
      <c r="L738" t="s">
        <v>4</v>
      </c>
      <c r="M738" t="s">
        <v>49</v>
      </c>
      <c r="N738" t="s">
        <v>2940</v>
      </c>
      <c r="O738" s="31" t="s">
        <v>2941</v>
      </c>
      <c r="P738">
        <v>220</v>
      </c>
      <c r="R738">
        <v>1</v>
      </c>
      <c r="S738" s="31">
        <v>75000</v>
      </c>
      <c r="T738" s="39">
        <v>80000</v>
      </c>
      <c r="U738">
        <v>11666.67</v>
      </c>
      <c r="V738">
        <v>4333.33</v>
      </c>
      <c r="W738">
        <v>0</v>
      </c>
      <c r="X738" s="39">
        <v>24466.67</v>
      </c>
      <c r="Y738">
        <v>0</v>
      </c>
      <c r="Z738" s="31">
        <v>64000</v>
      </c>
      <c r="AA738">
        <v>8</v>
      </c>
      <c r="AB738" s="3">
        <f t="shared" si="35"/>
        <v>64000</v>
      </c>
      <c r="AC738" t="str">
        <f>IF(AB738-S738&lt;0,"YES","NO")</f>
        <v>YES</v>
      </c>
      <c r="AD738">
        <f>IF(AC738="NO",0,AB738-S738)</f>
        <v>-11000</v>
      </c>
      <c r="AE738" s="43">
        <v>0.08</v>
      </c>
      <c r="AF738" s="3">
        <f t="shared" si="36"/>
        <v>-10185.185185185184</v>
      </c>
      <c r="AG738" s="45">
        <f t="shared" si="37"/>
        <v>-11203.703703703704</v>
      </c>
      <c r="AH738" s="55"/>
    </row>
    <row r="739" spans="1:34" x14ac:dyDescent="0.25">
      <c r="A739" t="s">
        <v>2934</v>
      </c>
      <c r="B739" t="s">
        <v>2935</v>
      </c>
      <c r="C739" t="s">
        <v>2936</v>
      </c>
      <c r="D739" t="s">
        <v>2937</v>
      </c>
      <c r="E739" t="s">
        <v>2938</v>
      </c>
      <c r="F739" t="s">
        <v>2939</v>
      </c>
      <c r="G739" t="s">
        <v>5</v>
      </c>
      <c r="H739" t="s">
        <v>65</v>
      </c>
      <c r="I739" t="s">
        <v>78</v>
      </c>
      <c r="J739" t="s">
        <v>79</v>
      </c>
      <c r="K739" t="s">
        <v>3</v>
      </c>
      <c r="L739" t="s">
        <v>4</v>
      </c>
      <c r="M739" t="s">
        <v>49</v>
      </c>
      <c r="N739" t="s">
        <v>2940</v>
      </c>
      <c r="O739" s="31" t="s">
        <v>2941</v>
      </c>
      <c r="P739">
        <v>220</v>
      </c>
      <c r="R739">
        <v>1</v>
      </c>
      <c r="S739" s="31">
        <v>75000</v>
      </c>
      <c r="T739" s="39">
        <v>80000</v>
      </c>
      <c r="U739">
        <v>11666.67</v>
      </c>
      <c r="V739">
        <v>4333.33</v>
      </c>
      <c r="W739">
        <v>0</v>
      </c>
      <c r="X739" s="39">
        <v>24466.67</v>
      </c>
      <c r="Y739">
        <v>0</v>
      </c>
      <c r="Z739" s="31">
        <v>64000</v>
      </c>
      <c r="AA739">
        <v>8</v>
      </c>
      <c r="AB739" s="3">
        <f t="shared" si="35"/>
        <v>64000</v>
      </c>
      <c r="AC739" t="str">
        <f>IF(AB739-S739&lt;0,"YES","NO")</f>
        <v>YES</v>
      </c>
      <c r="AD739">
        <f>IF(AC739="NO",0,AB739-S739)</f>
        <v>-11000</v>
      </c>
      <c r="AE739" s="43">
        <v>0.08</v>
      </c>
      <c r="AF739" s="3">
        <f t="shared" si="36"/>
        <v>-10185.185185185184</v>
      </c>
      <c r="AG739" s="45">
        <f t="shared" si="37"/>
        <v>-11203.703703703704</v>
      </c>
      <c r="AH739" s="55"/>
    </row>
    <row r="740" spans="1:34" x14ac:dyDescent="0.25">
      <c r="A740" t="s">
        <v>2934</v>
      </c>
      <c r="B740" t="s">
        <v>2935</v>
      </c>
      <c r="C740" t="s">
        <v>2936</v>
      </c>
      <c r="D740" t="s">
        <v>2937</v>
      </c>
      <c r="E740" t="s">
        <v>2938</v>
      </c>
      <c r="F740" t="s">
        <v>2939</v>
      </c>
      <c r="G740" t="s">
        <v>5</v>
      </c>
      <c r="H740" t="s">
        <v>65</v>
      </c>
      <c r="I740" t="s">
        <v>80</v>
      </c>
      <c r="J740" t="s">
        <v>81</v>
      </c>
      <c r="K740" t="s">
        <v>3</v>
      </c>
      <c r="L740" t="s">
        <v>4</v>
      </c>
      <c r="M740" t="s">
        <v>49</v>
      </c>
      <c r="N740" t="s">
        <v>2940</v>
      </c>
      <c r="O740" s="31" t="s">
        <v>2941</v>
      </c>
      <c r="P740">
        <v>220</v>
      </c>
      <c r="R740">
        <v>1</v>
      </c>
      <c r="S740" s="31">
        <v>75000</v>
      </c>
      <c r="T740" s="39">
        <v>80000</v>
      </c>
      <c r="U740">
        <v>11666.67</v>
      </c>
      <c r="V740">
        <v>4333.33</v>
      </c>
      <c r="W740">
        <v>0</v>
      </c>
      <c r="X740" s="39">
        <v>24466.67</v>
      </c>
      <c r="Y740">
        <v>0</v>
      </c>
      <c r="Z740" s="31">
        <v>64000</v>
      </c>
      <c r="AA740">
        <v>8</v>
      </c>
      <c r="AB740" s="3">
        <f t="shared" si="35"/>
        <v>64000</v>
      </c>
      <c r="AC740" t="str">
        <f>IF(AB740-S740&lt;0,"YES","NO")</f>
        <v>YES</v>
      </c>
      <c r="AD740">
        <f>IF(AC740="NO",0,AB740-S740)</f>
        <v>-11000</v>
      </c>
      <c r="AE740" s="43">
        <v>0.08</v>
      </c>
      <c r="AF740" s="3">
        <f t="shared" si="36"/>
        <v>-10185.185185185184</v>
      </c>
      <c r="AG740" s="45">
        <f t="shared" si="37"/>
        <v>-11203.703703703704</v>
      </c>
      <c r="AH740" s="55"/>
    </row>
    <row r="741" spans="1:34" x14ac:dyDescent="0.25">
      <c r="A741" t="s">
        <v>2942</v>
      </c>
      <c r="B741" t="s">
        <v>2943</v>
      </c>
      <c r="C741" t="s">
        <v>2944</v>
      </c>
      <c r="D741" t="s">
        <v>2945</v>
      </c>
      <c r="E741" t="s">
        <v>2946</v>
      </c>
      <c r="F741" t="s">
        <v>2947</v>
      </c>
      <c r="G741" t="s">
        <v>5</v>
      </c>
      <c r="H741" t="s">
        <v>65</v>
      </c>
      <c r="I741" t="s">
        <v>68</v>
      </c>
      <c r="J741" t="s">
        <v>69</v>
      </c>
      <c r="K741" t="s">
        <v>3</v>
      </c>
      <c r="L741" t="s">
        <v>4</v>
      </c>
      <c r="M741" t="s">
        <v>49</v>
      </c>
      <c r="N741" t="s">
        <v>2948</v>
      </c>
      <c r="O741" s="31" t="s">
        <v>2949</v>
      </c>
      <c r="P741">
        <v>220</v>
      </c>
      <c r="Q741" t="s">
        <v>70</v>
      </c>
      <c r="R741">
        <v>1</v>
      </c>
      <c r="S741" s="31">
        <v>59000</v>
      </c>
      <c r="T741" s="39">
        <v>65000</v>
      </c>
      <c r="U741">
        <v>11666.67</v>
      </c>
      <c r="V741">
        <v>5000</v>
      </c>
      <c r="W741">
        <v>0</v>
      </c>
      <c r="X741" s="39">
        <v>21333.33</v>
      </c>
      <c r="Y741">
        <v>0</v>
      </c>
      <c r="Z741" s="31">
        <v>48333.33</v>
      </c>
      <c r="AA741">
        <v>8</v>
      </c>
      <c r="AB741" s="3">
        <f t="shared" si="35"/>
        <v>48333.33</v>
      </c>
      <c r="AC741" t="str">
        <f>IF(AB741-S741&lt;0,"YES","NO")</f>
        <v>YES</v>
      </c>
      <c r="AD741">
        <f>IF(AC741="NO",0,AB741-S741)</f>
        <v>-10666.669999999998</v>
      </c>
      <c r="AE741" s="43">
        <v>0.08</v>
      </c>
      <c r="AF741" s="3">
        <f t="shared" si="36"/>
        <v>-9876.5462962962938</v>
      </c>
      <c r="AG741" s="45">
        <f t="shared" si="37"/>
        <v>-10864.200925925925</v>
      </c>
      <c r="AH741" s="55"/>
    </row>
    <row r="742" spans="1:34" x14ac:dyDescent="0.25">
      <c r="A742" t="s">
        <v>2942</v>
      </c>
      <c r="B742" t="s">
        <v>2943</v>
      </c>
      <c r="C742" t="s">
        <v>2944</v>
      </c>
      <c r="D742" t="s">
        <v>2945</v>
      </c>
      <c r="E742" t="s">
        <v>2946</v>
      </c>
      <c r="F742" t="s">
        <v>2947</v>
      </c>
      <c r="G742" t="s">
        <v>5</v>
      </c>
      <c r="H742" t="s">
        <v>65</v>
      </c>
      <c r="I742" t="s">
        <v>71</v>
      </c>
      <c r="J742" t="s">
        <v>72</v>
      </c>
      <c r="K742" t="s">
        <v>3</v>
      </c>
      <c r="L742" t="s">
        <v>4</v>
      </c>
      <c r="M742" t="s">
        <v>49</v>
      </c>
      <c r="N742" t="s">
        <v>2948</v>
      </c>
      <c r="O742" s="31" t="s">
        <v>2949</v>
      </c>
      <c r="P742">
        <v>220</v>
      </c>
      <c r="Q742" t="s">
        <v>70</v>
      </c>
      <c r="R742">
        <v>1</v>
      </c>
      <c r="S742" s="31">
        <v>59000</v>
      </c>
      <c r="T742" s="39">
        <v>65000</v>
      </c>
      <c r="U742">
        <v>11666.67</v>
      </c>
      <c r="V742">
        <v>5000</v>
      </c>
      <c r="W742">
        <v>0</v>
      </c>
      <c r="X742" s="39">
        <v>21333.33</v>
      </c>
      <c r="Y742">
        <v>0</v>
      </c>
      <c r="Z742" s="31">
        <v>48333.33</v>
      </c>
      <c r="AA742">
        <v>8</v>
      </c>
      <c r="AB742" s="3">
        <f t="shared" si="35"/>
        <v>48333.33</v>
      </c>
      <c r="AC742" t="str">
        <f>IF(AB742-S742&lt;0,"YES","NO")</f>
        <v>YES</v>
      </c>
      <c r="AD742">
        <f>IF(AC742="NO",0,AB742-S742)</f>
        <v>-10666.669999999998</v>
      </c>
      <c r="AE742" s="43">
        <v>0.08</v>
      </c>
      <c r="AF742" s="3">
        <f t="shared" si="36"/>
        <v>-9876.5462962962938</v>
      </c>
      <c r="AG742" s="45">
        <f t="shared" si="37"/>
        <v>-10864.200925925925</v>
      </c>
      <c r="AH742" s="55"/>
    </row>
    <row r="743" spans="1:34" x14ac:dyDescent="0.25">
      <c r="A743" t="s">
        <v>2942</v>
      </c>
      <c r="B743" t="s">
        <v>2943</v>
      </c>
      <c r="C743" t="s">
        <v>2944</v>
      </c>
      <c r="D743" t="s">
        <v>2945</v>
      </c>
      <c r="E743" t="s">
        <v>2946</v>
      </c>
      <c r="F743" t="s">
        <v>2947</v>
      </c>
      <c r="G743" t="s">
        <v>5</v>
      </c>
      <c r="H743" t="s">
        <v>65</v>
      </c>
      <c r="I743" t="s">
        <v>73</v>
      </c>
      <c r="J743" t="s">
        <v>74</v>
      </c>
      <c r="K743" t="s">
        <v>3</v>
      </c>
      <c r="L743" t="s">
        <v>4</v>
      </c>
      <c r="M743" t="s">
        <v>49</v>
      </c>
      <c r="N743" t="s">
        <v>2948</v>
      </c>
      <c r="O743" s="31" t="s">
        <v>2949</v>
      </c>
      <c r="P743">
        <v>220</v>
      </c>
      <c r="Q743" t="s">
        <v>70</v>
      </c>
      <c r="R743">
        <v>1</v>
      </c>
      <c r="S743" s="31">
        <v>59000</v>
      </c>
      <c r="T743" s="39">
        <v>65000</v>
      </c>
      <c r="U743">
        <v>11666.67</v>
      </c>
      <c r="V743">
        <v>5000</v>
      </c>
      <c r="W743">
        <v>0</v>
      </c>
      <c r="X743" s="39">
        <v>21333.33</v>
      </c>
      <c r="Y743">
        <v>0</v>
      </c>
      <c r="Z743" s="31">
        <v>48333.33</v>
      </c>
      <c r="AA743">
        <v>8</v>
      </c>
      <c r="AB743" s="3">
        <f t="shared" si="35"/>
        <v>48333.33</v>
      </c>
      <c r="AC743" t="str">
        <f>IF(AB743-S743&lt;0,"YES","NO")</f>
        <v>YES</v>
      </c>
      <c r="AD743">
        <f>IF(AC743="NO",0,AB743-S743)</f>
        <v>-10666.669999999998</v>
      </c>
      <c r="AE743" s="43">
        <v>0.08</v>
      </c>
      <c r="AF743" s="3">
        <f t="shared" si="36"/>
        <v>-9876.5462962962938</v>
      </c>
      <c r="AG743" s="45">
        <f t="shared" si="37"/>
        <v>-10864.200925925925</v>
      </c>
      <c r="AH743" s="55"/>
    </row>
    <row r="744" spans="1:34" x14ac:dyDescent="0.25">
      <c r="A744" t="s">
        <v>2950</v>
      </c>
      <c r="B744" t="s">
        <v>2951</v>
      </c>
      <c r="C744" t="s">
        <v>2952</v>
      </c>
      <c r="D744" t="s">
        <v>2953</v>
      </c>
      <c r="E744" t="s">
        <v>2954</v>
      </c>
      <c r="F744" t="s">
        <v>2955</v>
      </c>
      <c r="G744" t="s">
        <v>5</v>
      </c>
      <c r="H744" t="s">
        <v>65</v>
      </c>
      <c r="I744" t="s">
        <v>82</v>
      </c>
      <c r="J744" t="s">
        <v>83</v>
      </c>
      <c r="K744" t="s">
        <v>3</v>
      </c>
      <c r="L744" t="s">
        <v>4</v>
      </c>
      <c r="M744" t="s">
        <v>49</v>
      </c>
      <c r="N744" t="s">
        <v>2956</v>
      </c>
      <c r="O744" s="31" t="s">
        <v>2957</v>
      </c>
      <c r="P744">
        <v>220</v>
      </c>
      <c r="R744">
        <v>2</v>
      </c>
      <c r="S744" s="31">
        <v>150000</v>
      </c>
      <c r="T744" s="39">
        <v>160000</v>
      </c>
      <c r="U744">
        <v>20000</v>
      </c>
      <c r="V744">
        <v>10000</v>
      </c>
      <c r="W744">
        <v>0</v>
      </c>
      <c r="X744" s="39">
        <v>46000</v>
      </c>
      <c r="Y744">
        <v>0</v>
      </c>
      <c r="Z744" s="31">
        <v>130000</v>
      </c>
      <c r="AA744">
        <v>8</v>
      </c>
      <c r="AB744" s="3">
        <f t="shared" si="35"/>
        <v>130000</v>
      </c>
      <c r="AC744" t="str">
        <f>IF(AB744-S744&lt;0,"YES","NO")</f>
        <v>YES</v>
      </c>
      <c r="AD744">
        <f>IF(AC744="NO",0,AB744-S744)</f>
        <v>-20000</v>
      </c>
      <c r="AE744" s="43">
        <v>0.08</v>
      </c>
      <c r="AF744" s="3">
        <f t="shared" si="36"/>
        <v>-18518.518518518518</v>
      </c>
      <c r="AG744" s="45">
        <f t="shared" si="37"/>
        <v>-20370.370370370372</v>
      </c>
      <c r="AH744" s="55"/>
    </row>
    <row r="745" spans="1:34" x14ac:dyDescent="0.25">
      <c r="A745" t="s">
        <v>2958</v>
      </c>
      <c r="B745" t="s">
        <v>2959</v>
      </c>
      <c r="C745" t="s">
        <v>2960</v>
      </c>
      <c r="D745" t="s">
        <v>2961</v>
      </c>
      <c r="E745" t="s">
        <v>2962</v>
      </c>
      <c r="F745" t="s">
        <v>2963</v>
      </c>
      <c r="G745" t="s">
        <v>5</v>
      </c>
      <c r="H745" t="s">
        <v>65</v>
      </c>
      <c r="I745" t="s">
        <v>68</v>
      </c>
      <c r="J745" t="s">
        <v>69</v>
      </c>
      <c r="K745" t="s">
        <v>3</v>
      </c>
      <c r="L745" t="s">
        <v>4</v>
      </c>
      <c r="M745" t="s">
        <v>49</v>
      </c>
      <c r="N745" t="s">
        <v>2964</v>
      </c>
      <c r="O745" s="31" t="s">
        <v>2965</v>
      </c>
      <c r="P745">
        <v>220</v>
      </c>
      <c r="Q745" t="s">
        <v>70</v>
      </c>
      <c r="R745">
        <v>3</v>
      </c>
      <c r="S745" s="31">
        <v>177000</v>
      </c>
      <c r="T745" s="39">
        <v>195000</v>
      </c>
      <c r="U745">
        <v>35000.01</v>
      </c>
      <c r="V745">
        <v>19500</v>
      </c>
      <c r="W745">
        <v>0</v>
      </c>
      <c r="X745" s="39">
        <v>35000.01</v>
      </c>
      <c r="Y745">
        <v>0</v>
      </c>
      <c r="Z745" s="31">
        <v>140499.99</v>
      </c>
      <c r="AA745">
        <v>8</v>
      </c>
      <c r="AB745" s="3">
        <f t="shared" si="35"/>
        <v>140499.99</v>
      </c>
      <c r="AC745" t="str">
        <f>IF(AB745-S745&lt;0,"YES","NO")</f>
        <v>YES</v>
      </c>
      <c r="AD745">
        <f>IF(AC745="NO",0,AB745-S745)</f>
        <v>-36500.010000000009</v>
      </c>
      <c r="AE745" s="43">
        <v>0.08</v>
      </c>
      <c r="AF745" s="3">
        <f t="shared" si="36"/>
        <v>-33796.305555555562</v>
      </c>
      <c r="AG745" s="45">
        <f t="shared" si="37"/>
        <v>-37175.936111111121</v>
      </c>
      <c r="AH745" s="55"/>
    </row>
    <row r="746" spans="1:34" x14ac:dyDescent="0.25">
      <c r="A746" t="s">
        <v>2966</v>
      </c>
      <c r="B746" t="s">
        <v>2967</v>
      </c>
      <c r="C746" t="s">
        <v>2968</v>
      </c>
      <c r="D746" t="s">
        <v>2969</v>
      </c>
      <c r="E746" t="s">
        <v>2970</v>
      </c>
      <c r="F746" t="s">
        <v>2971</v>
      </c>
      <c r="G746" t="s">
        <v>5</v>
      </c>
      <c r="H746" t="s">
        <v>65</v>
      </c>
      <c r="I746" t="s">
        <v>71</v>
      </c>
      <c r="J746" t="s">
        <v>72</v>
      </c>
      <c r="K746" t="s">
        <v>3</v>
      </c>
      <c r="L746" t="s">
        <v>4</v>
      </c>
      <c r="M746" t="s">
        <v>49</v>
      </c>
      <c r="N746" t="s">
        <v>2972</v>
      </c>
      <c r="O746" s="31" t="s">
        <v>2973</v>
      </c>
      <c r="P746">
        <v>220</v>
      </c>
      <c r="Q746" t="s">
        <v>70</v>
      </c>
      <c r="R746">
        <v>3</v>
      </c>
      <c r="S746" s="31">
        <v>177000</v>
      </c>
      <c r="T746" s="39">
        <v>195000</v>
      </c>
      <c r="U746">
        <v>35000.01</v>
      </c>
      <c r="V746">
        <v>19500</v>
      </c>
      <c r="W746">
        <v>0</v>
      </c>
      <c r="X746" s="39">
        <v>63099.99</v>
      </c>
      <c r="Y746">
        <v>0</v>
      </c>
      <c r="Z746" s="31">
        <v>140499.99</v>
      </c>
      <c r="AA746">
        <v>8</v>
      </c>
      <c r="AB746" s="3">
        <f t="shared" si="35"/>
        <v>140499.99</v>
      </c>
      <c r="AC746" t="str">
        <f>IF(AB746-S746&lt;0,"YES","NO")</f>
        <v>YES</v>
      </c>
      <c r="AD746">
        <f>IF(AC746="NO",0,AB746-S746)</f>
        <v>-36500.010000000009</v>
      </c>
      <c r="AE746" s="43">
        <v>0.08</v>
      </c>
      <c r="AF746" s="3">
        <f t="shared" si="36"/>
        <v>-33796.305555555562</v>
      </c>
      <c r="AG746" s="45">
        <f t="shared" si="37"/>
        <v>-37175.936111111121</v>
      </c>
      <c r="AH746" s="55"/>
    </row>
    <row r="747" spans="1:34" x14ac:dyDescent="0.25">
      <c r="A747" t="s">
        <v>2974</v>
      </c>
      <c r="B747" t="s">
        <v>2975</v>
      </c>
      <c r="C747" t="s">
        <v>2976</v>
      </c>
      <c r="D747" t="s">
        <v>2977</v>
      </c>
      <c r="E747" t="s">
        <v>2978</v>
      </c>
      <c r="F747" t="s">
        <v>2979</v>
      </c>
      <c r="G747" t="s">
        <v>5</v>
      </c>
      <c r="H747" t="s">
        <v>65</v>
      </c>
      <c r="I747" t="s">
        <v>66</v>
      </c>
      <c r="J747" t="s">
        <v>67</v>
      </c>
      <c r="K747" t="s">
        <v>3</v>
      </c>
      <c r="L747" t="s">
        <v>4</v>
      </c>
      <c r="M747" t="s">
        <v>49</v>
      </c>
      <c r="N747" t="s">
        <v>2980</v>
      </c>
      <c r="O747" s="31" t="s">
        <v>2981</v>
      </c>
      <c r="P747">
        <v>220</v>
      </c>
      <c r="R747">
        <v>3</v>
      </c>
      <c r="S747" s="31">
        <v>225000</v>
      </c>
      <c r="T747" s="39">
        <v>240000</v>
      </c>
      <c r="U747">
        <v>35000.01</v>
      </c>
      <c r="V747">
        <v>24000</v>
      </c>
      <c r="W747">
        <v>0</v>
      </c>
      <c r="X747" s="39">
        <v>71199.990000000005</v>
      </c>
      <c r="Y747">
        <v>0</v>
      </c>
      <c r="Z747" s="31">
        <v>180999.99</v>
      </c>
      <c r="AA747">
        <v>8</v>
      </c>
      <c r="AB747" s="3">
        <f t="shared" si="35"/>
        <v>180999.99</v>
      </c>
      <c r="AC747" t="str">
        <f>IF(AB747-S747&lt;0,"YES","NO")</f>
        <v>YES</v>
      </c>
      <c r="AD747">
        <f>IF(AC747="NO",0,AB747-S747)</f>
        <v>-44000.010000000009</v>
      </c>
      <c r="AE747" s="43">
        <v>0.08</v>
      </c>
      <c r="AF747" s="3">
        <f t="shared" si="36"/>
        <v>-40740.750000000007</v>
      </c>
      <c r="AG747" s="45">
        <f t="shared" si="37"/>
        <v>-44814.825000000012</v>
      </c>
      <c r="AH747" s="55"/>
    </row>
    <row r="748" spans="1:34" x14ac:dyDescent="0.25">
      <c r="A748" t="s">
        <v>2982</v>
      </c>
      <c r="B748" t="s">
        <v>2983</v>
      </c>
      <c r="C748" t="s">
        <v>2984</v>
      </c>
      <c r="D748" t="s">
        <v>2985</v>
      </c>
      <c r="E748" t="s">
        <v>2986</v>
      </c>
      <c r="F748" t="s">
        <v>2987</v>
      </c>
      <c r="G748" t="s">
        <v>5</v>
      </c>
      <c r="H748" t="s">
        <v>65</v>
      </c>
      <c r="I748" t="s">
        <v>66</v>
      </c>
      <c r="J748" t="s">
        <v>67</v>
      </c>
      <c r="K748" t="s">
        <v>3</v>
      </c>
      <c r="L748" t="s">
        <v>4</v>
      </c>
      <c r="M748" t="s">
        <v>49</v>
      </c>
      <c r="N748" t="s">
        <v>2988</v>
      </c>
      <c r="O748" s="31" t="s">
        <v>2989</v>
      </c>
      <c r="P748">
        <v>220</v>
      </c>
      <c r="R748">
        <v>6</v>
      </c>
      <c r="S748" s="31">
        <v>450000</v>
      </c>
      <c r="T748" s="39">
        <v>480000</v>
      </c>
      <c r="U748">
        <v>79999.98</v>
      </c>
      <c r="V748">
        <v>48000</v>
      </c>
      <c r="W748">
        <v>0</v>
      </c>
      <c r="X748" s="39">
        <v>136320</v>
      </c>
      <c r="Y748">
        <v>0</v>
      </c>
      <c r="Z748" s="31">
        <v>352000.02</v>
      </c>
      <c r="AA748">
        <v>8</v>
      </c>
      <c r="AB748" s="3">
        <f t="shared" si="35"/>
        <v>352000.02</v>
      </c>
      <c r="AC748" t="str">
        <f>IF(AB748-S748&lt;0,"YES","NO")</f>
        <v>YES</v>
      </c>
      <c r="AD748">
        <f>IF(AC748="NO",0,AB748-S748)</f>
        <v>-97999.979999999981</v>
      </c>
      <c r="AE748" s="43">
        <v>0.08</v>
      </c>
      <c r="AF748" s="3">
        <f t="shared" si="36"/>
        <v>-90740.722222222204</v>
      </c>
      <c r="AG748" s="45">
        <f t="shared" si="37"/>
        <v>-99814.794444444429</v>
      </c>
      <c r="AH748" s="55"/>
    </row>
    <row r="749" spans="1:34" x14ac:dyDescent="0.25">
      <c r="A749" t="s">
        <v>2990</v>
      </c>
      <c r="B749" t="s">
        <v>2991</v>
      </c>
      <c r="C749" t="s">
        <v>2992</v>
      </c>
      <c r="D749" t="s">
        <v>2993</v>
      </c>
      <c r="E749" t="s">
        <v>2994</v>
      </c>
      <c r="F749" t="s">
        <v>2995</v>
      </c>
      <c r="G749" t="s">
        <v>5</v>
      </c>
      <c r="H749" t="s">
        <v>65</v>
      </c>
      <c r="I749" t="s">
        <v>109</v>
      </c>
      <c r="J749" t="s">
        <v>110</v>
      </c>
      <c r="K749" t="s">
        <v>3</v>
      </c>
      <c r="L749" t="s">
        <v>4</v>
      </c>
      <c r="M749" t="s">
        <v>49</v>
      </c>
      <c r="N749" t="s">
        <v>2996</v>
      </c>
      <c r="O749" s="31" t="s">
        <v>2997</v>
      </c>
      <c r="P749">
        <v>380</v>
      </c>
      <c r="R749">
        <v>3</v>
      </c>
      <c r="S749" s="31">
        <v>198000</v>
      </c>
      <c r="T749" s="39">
        <v>210000</v>
      </c>
      <c r="U749">
        <v>34999.980000000003</v>
      </c>
      <c r="V749">
        <v>8000.01</v>
      </c>
      <c r="W749">
        <v>0</v>
      </c>
      <c r="X749" s="39">
        <v>58380</v>
      </c>
      <c r="Y749">
        <v>0</v>
      </c>
      <c r="Z749" s="31">
        <v>167000.01</v>
      </c>
      <c r="AA749">
        <v>8</v>
      </c>
      <c r="AB749" s="3">
        <f t="shared" si="35"/>
        <v>167000.01</v>
      </c>
      <c r="AC749" t="str">
        <f>IF(AB749-S749&lt;0,"YES","NO")</f>
        <v>YES</v>
      </c>
      <c r="AD749">
        <f>IF(AC749="NO",0,AB749-S749)</f>
        <v>-30999.989999999991</v>
      </c>
      <c r="AE749" s="43">
        <v>0.08</v>
      </c>
      <c r="AF749" s="3">
        <f t="shared" si="36"/>
        <v>-28703.694444444434</v>
      </c>
      <c r="AG749" s="45">
        <f t="shared" si="37"/>
        <v>-31574.063888888879</v>
      </c>
      <c r="AH749" s="55"/>
    </row>
    <row r="750" spans="1:34" x14ac:dyDescent="0.25">
      <c r="A750" t="s">
        <v>2998</v>
      </c>
      <c r="B750" t="s">
        <v>2999</v>
      </c>
      <c r="C750" t="s">
        <v>3000</v>
      </c>
      <c r="D750" t="s">
        <v>3001</v>
      </c>
      <c r="E750" t="s">
        <v>3002</v>
      </c>
      <c r="F750" t="s">
        <v>3003</v>
      </c>
      <c r="G750" t="s">
        <v>5</v>
      </c>
      <c r="H750" t="s">
        <v>65</v>
      </c>
      <c r="I750" t="s">
        <v>80</v>
      </c>
      <c r="J750" t="s">
        <v>81</v>
      </c>
      <c r="K750" t="s">
        <v>3</v>
      </c>
      <c r="L750" t="s">
        <v>4</v>
      </c>
      <c r="M750" t="s">
        <v>49</v>
      </c>
      <c r="N750" t="s">
        <v>3004</v>
      </c>
      <c r="O750" s="31" t="s">
        <v>3005</v>
      </c>
      <c r="P750">
        <v>220</v>
      </c>
      <c r="R750">
        <v>2</v>
      </c>
      <c r="S750" s="31">
        <v>150000</v>
      </c>
      <c r="T750" s="39">
        <v>160000</v>
      </c>
      <c r="U750">
        <v>20000</v>
      </c>
      <c r="V750">
        <v>10000</v>
      </c>
      <c r="W750">
        <v>0</v>
      </c>
      <c r="X750" s="39">
        <v>35600</v>
      </c>
      <c r="Y750">
        <v>0</v>
      </c>
      <c r="Z750" s="31">
        <v>130000</v>
      </c>
      <c r="AA750">
        <v>8</v>
      </c>
      <c r="AB750" s="3">
        <f t="shared" si="35"/>
        <v>130000</v>
      </c>
      <c r="AC750" t="str">
        <f>IF(AB750-S750&lt;0,"YES","NO")</f>
        <v>YES</v>
      </c>
      <c r="AD750">
        <f>IF(AC750="NO",0,AB750-S750)</f>
        <v>-20000</v>
      </c>
      <c r="AE750" s="43">
        <v>0.08</v>
      </c>
      <c r="AF750" s="3">
        <f t="shared" si="36"/>
        <v>-18518.518518518518</v>
      </c>
      <c r="AG750" s="45">
        <f t="shared" si="37"/>
        <v>-20370.370370370372</v>
      </c>
      <c r="AH750" s="55"/>
    </row>
    <row r="751" spans="1:34" x14ac:dyDescent="0.25">
      <c r="A751" t="s">
        <v>3006</v>
      </c>
      <c r="B751" t="s">
        <v>3007</v>
      </c>
      <c r="C751" t="s">
        <v>3008</v>
      </c>
      <c r="D751" t="s">
        <v>3009</v>
      </c>
      <c r="E751" t="s">
        <v>3010</v>
      </c>
      <c r="F751" t="s">
        <v>3011</v>
      </c>
      <c r="G751" t="s">
        <v>5</v>
      </c>
      <c r="H751" t="s">
        <v>65</v>
      </c>
      <c r="I751" t="s">
        <v>90</v>
      </c>
      <c r="J751" t="s">
        <v>91</v>
      </c>
      <c r="K751" t="s">
        <v>3</v>
      </c>
      <c r="L751" t="s">
        <v>4</v>
      </c>
      <c r="M751" t="s">
        <v>49</v>
      </c>
      <c r="N751" t="s">
        <v>3012</v>
      </c>
      <c r="O751" s="31" t="s">
        <v>3013</v>
      </c>
      <c r="P751">
        <v>220</v>
      </c>
      <c r="Q751" t="s">
        <v>92</v>
      </c>
      <c r="R751">
        <v>2</v>
      </c>
      <c r="S751" s="31">
        <v>118000</v>
      </c>
      <c r="T751" s="39">
        <v>140000</v>
      </c>
      <c r="U751">
        <v>20000</v>
      </c>
      <c r="V751">
        <v>13000</v>
      </c>
      <c r="W751">
        <v>0</v>
      </c>
      <c r="X751" s="39">
        <v>32840</v>
      </c>
      <c r="Y751">
        <v>0</v>
      </c>
      <c r="Z751" s="31">
        <v>107000</v>
      </c>
      <c r="AA751">
        <v>8</v>
      </c>
      <c r="AB751" s="3">
        <f t="shared" si="35"/>
        <v>107000</v>
      </c>
      <c r="AC751" t="str">
        <f>IF(AB751-S751&lt;0,"YES","NO")</f>
        <v>YES</v>
      </c>
      <c r="AD751">
        <f>IF(AC751="NO",0,AB751-S751)</f>
        <v>-11000</v>
      </c>
      <c r="AE751" s="43">
        <v>0.08</v>
      </c>
      <c r="AF751" s="3">
        <f t="shared" si="36"/>
        <v>-10185.185185185184</v>
      </c>
      <c r="AG751" s="45">
        <f t="shared" si="37"/>
        <v>-11203.703703703704</v>
      </c>
      <c r="AH751" s="55"/>
    </row>
    <row r="752" spans="1:34" x14ac:dyDescent="0.25">
      <c r="A752" t="s">
        <v>3014</v>
      </c>
      <c r="B752" t="s">
        <v>3015</v>
      </c>
      <c r="C752" t="s">
        <v>3016</v>
      </c>
      <c r="D752" t="s">
        <v>3017</v>
      </c>
      <c r="E752" t="s">
        <v>3018</v>
      </c>
      <c r="F752" t="s">
        <v>3019</v>
      </c>
      <c r="G752" t="s">
        <v>5</v>
      </c>
      <c r="H752" t="s">
        <v>65</v>
      </c>
      <c r="I752" t="s">
        <v>68</v>
      </c>
      <c r="J752" t="s">
        <v>69</v>
      </c>
      <c r="K752" t="s">
        <v>3</v>
      </c>
      <c r="L752" t="s">
        <v>4</v>
      </c>
      <c r="M752" t="s">
        <v>49</v>
      </c>
      <c r="N752" t="s">
        <v>3020</v>
      </c>
      <c r="O752" s="31" t="s">
        <v>3021</v>
      </c>
      <c r="P752">
        <v>220</v>
      </c>
      <c r="Q752" t="s">
        <v>70</v>
      </c>
      <c r="R752">
        <v>1</v>
      </c>
      <c r="S752" s="31">
        <v>59000</v>
      </c>
      <c r="T752" s="39">
        <v>65000</v>
      </c>
      <c r="U752">
        <v>11666.67</v>
      </c>
      <c r="V752">
        <v>5000</v>
      </c>
      <c r="W752">
        <v>0</v>
      </c>
      <c r="X752" s="39">
        <v>21333.33</v>
      </c>
      <c r="Y752">
        <v>0</v>
      </c>
      <c r="Z752" s="31">
        <v>48333.33</v>
      </c>
      <c r="AA752">
        <v>8</v>
      </c>
      <c r="AB752" s="3">
        <f t="shared" si="35"/>
        <v>48333.33</v>
      </c>
      <c r="AC752" t="str">
        <f>IF(AB752-S752&lt;0,"YES","NO")</f>
        <v>YES</v>
      </c>
      <c r="AD752">
        <f>IF(AC752="NO",0,AB752-S752)</f>
        <v>-10666.669999999998</v>
      </c>
      <c r="AE752" s="43">
        <v>0.08</v>
      </c>
      <c r="AF752" s="3">
        <f t="shared" si="36"/>
        <v>-9876.5462962962938</v>
      </c>
      <c r="AG752" s="45">
        <f t="shared" si="37"/>
        <v>-10864.200925925925</v>
      </c>
      <c r="AH752" s="55"/>
    </row>
    <row r="753" spans="1:34" x14ac:dyDescent="0.25">
      <c r="A753" t="s">
        <v>3014</v>
      </c>
      <c r="B753" t="s">
        <v>3015</v>
      </c>
      <c r="C753" t="s">
        <v>3016</v>
      </c>
      <c r="D753" t="s">
        <v>3017</v>
      </c>
      <c r="E753" t="s">
        <v>3018</v>
      </c>
      <c r="F753" t="s">
        <v>3019</v>
      </c>
      <c r="G753" t="s">
        <v>5</v>
      </c>
      <c r="H753" t="s">
        <v>65</v>
      </c>
      <c r="I753" t="s">
        <v>71</v>
      </c>
      <c r="J753" t="s">
        <v>72</v>
      </c>
      <c r="K753" t="s">
        <v>3</v>
      </c>
      <c r="L753" t="s">
        <v>4</v>
      </c>
      <c r="M753" t="s">
        <v>49</v>
      </c>
      <c r="N753" t="s">
        <v>3020</v>
      </c>
      <c r="O753" s="31" t="s">
        <v>3021</v>
      </c>
      <c r="P753">
        <v>220</v>
      </c>
      <c r="Q753" t="s">
        <v>70</v>
      </c>
      <c r="R753">
        <v>1</v>
      </c>
      <c r="S753" s="31">
        <v>59000</v>
      </c>
      <c r="T753" s="39">
        <v>65000</v>
      </c>
      <c r="U753">
        <v>11666.67</v>
      </c>
      <c r="V753">
        <v>5000</v>
      </c>
      <c r="W753">
        <v>0</v>
      </c>
      <c r="X753" s="39">
        <v>21333.33</v>
      </c>
      <c r="Y753">
        <v>0</v>
      </c>
      <c r="Z753" s="31">
        <v>48333.33</v>
      </c>
      <c r="AA753">
        <v>8</v>
      </c>
      <c r="AB753" s="3">
        <f t="shared" si="35"/>
        <v>48333.33</v>
      </c>
      <c r="AC753" t="str">
        <f>IF(AB753-S753&lt;0,"YES","NO")</f>
        <v>YES</v>
      </c>
      <c r="AD753">
        <f>IF(AC753="NO",0,AB753-S753)</f>
        <v>-10666.669999999998</v>
      </c>
      <c r="AE753" s="43">
        <v>0.08</v>
      </c>
      <c r="AF753" s="3">
        <f t="shared" si="36"/>
        <v>-9876.5462962962938</v>
      </c>
      <c r="AG753" s="45">
        <f t="shared" si="37"/>
        <v>-10864.200925925925</v>
      </c>
      <c r="AH753" s="55"/>
    </row>
    <row r="754" spans="1:34" x14ac:dyDescent="0.25">
      <c r="A754" t="s">
        <v>3014</v>
      </c>
      <c r="B754" t="s">
        <v>3015</v>
      </c>
      <c r="C754" t="s">
        <v>3016</v>
      </c>
      <c r="D754" t="s">
        <v>3017</v>
      </c>
      <c r="E754" t="s">
        <v>3018</v>
      </c>
      <c r="F754" t="s">
        <v>3019</v>
      </c>
      <c r="G754" t="s">
        <v>5</v>
      </c>
      <c r="H754" t="s">
        <v>65</v>
      </c>
      <c r="I754" t="s">
        <v>73</v>
      </c>
      <c r="J754" t="s">
        <v>74</v>
      </c>
      <c r="K754" t="s">
        <v>3</v>
      </c>
      <c r="L754" t="s">
        <v>4</v>
      </c>
      <c r="M754" t="s">
        <v>49</v>
      </c>
      <c r="N754" t="s">
        <v>3020</v>
      </c>
      <c r="O754" s="31" t="s">
        <v>3021</v>
      </c>
      <c r="P754">
        <v>220</v>
      </c>
      <c r="Q754" t="s">
        <v>70</v>
      </c>
      <c r="R754">
        <v>1</v>
      </c>
      <c r="S754" s="31">
        <v>59000</v>
      </c>
      <c r="T754" s="39">
        <v>65000</v>
      </c>
      <c r="U754">
        <v>11666.67</v>
      </c>
      <c r="V754">
        <v>5000</v>
      </c>
      <c r="W754">
        <v>0</v>
      </c>
      <c r="X754" s="39">
        <v>21333.33</v>
      </c>
      <c r="Y754">
        <v>0</v>
      </c>
      <c r="Z754" s="31">
        <v>48333.33</v>
      </c>
      <c r="AA754">
        <v>8</v>
      </c>
      <c r="AB754" s="3">
        <f t="shared" si="35"/>
        <v>48333.33</v>
      </c>
      <c r="AC754" t="str">
        <f>IF(AB754-S754&lt;0,"YES","NO")</f>
        <v>YES</v>
      </c>
      <c r="AD754">
        <f>IF(AC754="NO",0,AB754-S754)</f>
        <v>-10666.669999999998</v>
      </c>
      <c r="AE754" s="43">
        <v>0.08</v>
      </c>
      <c r="AF754" s="3">
        <f t="shared" si="36"/>
        <v>-9876.5462962962938</v>
      </c>
      <c r="AG754" s="45">
        <f t="shared" si="37"/>
        <v>-10864.200925925925</v>
      </c>
      <c r="AH754" s="55"/>
    </row>
    <row r="755" spans="1:34" x14ac:dyDescent="0.25">
      <c r="A755" t="s">
        <v>3022</v>
      </c>
      <c r="B755" t="s">
        <v>3023</v>
      </c>
      <c r="C755" t="s">
        <v>3024</v>
      </c>
      <c r="D755" t="s">
        <v>3025</v>
      </c>
      <c r="E755" t="s">
        <v>3026</v>
      </c>
      <c r="F755" t="s">
        <v>3027</v>
      </c>
      <c r="G755" t="s">
        <v>5</v>
      </c>
      <c r="H755" t="s">
        <v>65</v>
      </c>
      <c r="I755" t="s">
        <v>66</v>
      </c>
      <c r="J755" t="s">
        <v>67</v>
      </c>
      <c r="K755" t="s">
        <v>3</v>
      </c>
      <c r="L755" t="s">
        <v>4</v>
      </c>
      <c r="M755" t="s">
        <v>49</v>
      </c>
      <c r="N755" t="s">
        <v>3028</v>
      </c>
      <c r="O755" s="31" t="s">
        <v>3029</v>
      </c>
      <c r="P755">
        <v>220</v>
      </c>
      <c r="R755">
        <v>3</v>
      </c>
      <c r="S755" s="31">
        <v>225000</v>
      </c>
      <c r="T755" s="39">
        <v>240000</v>
      </c>
      <c r="U755">
        <v>35000.01</v>
      </c>
      <c r="V755">
        <v>24000</v>
      </c>
      <c r="W755">
        <v>0</v>
      </c>
      <c r="X755" s="39">
        <v>35000.01</v>
      </c>
      <c r="Y755">
        <v>0</v>
      </c>
      <c r="Z755" s="31">
        <v>180999.99</v>
      </c>
      <c r="AA755">
        <v>8</v>
      </c>
      <c r="AB755" s="3">
        <f t="shared" si="35"/>
        <v>180999.99</v>
      </c>
      <c r="AC755" t="str">
        <f>IF(AB755-S755&lt;0,"YES","NO")</f>
        <v>YES</v>
      </c>
      <c r="AD755">
        <f>IF(AC755="NO",0,AB755-S755)</f>
        <v>-44000.010000000009</v>
      </c>
      <c r="AE755" s="43">
        <v>0.08</v>
      </c>
      <c r="AF755" s="3">
        <f t="shared" si="36"/>
        <v>-40740.750000000007</v>
      </c>
      <c r="AG755" s="45">
        <f t="shared" si="37"/>
        <v>-44814.825000000012</v>
      </c>
      <c r="AH755" s="55"/>
    </row>
    <row r="756" spans="1:34" x14ac:dyDescent="0.25">
      <c r="A756" t="s">
        <v>3030</v>
      </c>
      <c r="B756" t="s">
        <v>3031</v>
      </c>
      <c r="C756" t="s">
        <v>3032</v>
      </c>
      <c r="D756" t="s">
        <v>3033</v>
      </c>
      <c r="E756" t="s">
        <v>3034</v>
      </c>
      <c r="F756" t="s">
        <v>3035</v>
      </c>
      <c r="G756" t="s">
        <v>5</v>
      </c>
      <c r="H756" t="s">
        <v>61</v>
      </c>
      <c r="I756" t="s">
        <v>75</v>
      </c>
      <c r="J756" t="s">
        <v>76</v>
      </c>
      <c r="K756" t="s">
        <v>3</v>
      </c>
      <c r="L756" t="s">
        <v>4</v>
      </c>
      <c r="M756" t="s">
        <v>49</v>
      </c>
      <c r="N756" t="s">
        <v>3036</v>
      </c>
      <c r="O756" s="31" t="s">
        <v>3037</v>
      </c>
      <c r="P756">
        <v>20</v>
      </c>
      <c r="Q756" t="s">
        <v>77</v>
      </c>
      <c r="R756">
        <v>1</v>
      </c>
      <c r="S756" s="31">
        <v>0</v>
      </c>
      <c r="T756" s="39">
        <v>0</v>
      </c>
      <c r="U756">
        <v>0</v>
      </c>
      <c r="V756">
        <v>0</v>
      </c>
      <c r="W756">
        <v>0</v>
      </c>
      <c r="X756" s="39">
        <v>0</v>
      </c>
      <c r="Y756">
        <v>0</v>
      </c>
      <c r="Z756" s="31">
        <v>0</v>
      </c>
      <c r="AA756">
        <v>8</v>
      </c>
      <c r="AB756" s="3">
        <f t="shared" si="35"/>
        <v>0</v>
      </c>
      <c r="AC756" t="str">
        <f>IF(AB756-S756&lt;0,"YES","NO")</f>
        <v>NO</v>
      </c>
      <c r="AD756">
        <f>IF(AC756="NO",0,AB756-S756)</f>
        <v>0</v>
      </c>
      <c r="AE756" s="43">
        <v>0.08</v>
      </c>
      <c r="AF756" s="3">
        <f t="shared" si="36"/>
        <v>0</v>
      </c>
      <c r="AG756" s="45">
        <f t="shared" si="37"/>
        <v>0</v>
      </c>
      <c r="AH756" s="55"/>
    </row>
    <row r="757" spans="1:34" x14ac:dyDescent="0.25">
      <c r="A757" t="s">
        <v>3030</v>
      </c>
      <c r="B757" t="s">
        <v>3031</v>
      </c>
      <c r="C757" t="s">
        <v>3032</v>
      </c>
      <c r="D757" t="s">
        <v>3033</v>
      </c>
      <c r="E757" t="s">
        <v>3034</v>
      </c>
      <c r="F757" t="s">
        <v>3035</v>
      </c>
      <c r="G757" t="s">
        <v>5</v>
      </c>
      <c r="H757" t="s">
        <v>65</v>
      </c>
      <c r="I757" t="s">
        <v>66</v>
      </c>
      <c r="J757" t="s">
        <v>67</v>
      </c>
      <c r="K757" t="s">
        <v>3</v>
      </c>
      <c r="L757" t="s">
        <v>4</v>
      </c>
      <c r="M757" t="s">
        <v>49</v>
      </c>
      <c r="N757" t="s">
        <v>3036</v>
      </c>
      <c r="O757" s="31" t="s">
        <v>3037</v>
      </c>
      <c r="P757">
        <v>220</v>
      </c>
      <c r="R757">
        <v>2</v>
      </c>
      <c r="S757" s="31">
        <v>150000</v>
      </c>
      <c r="T757" s="39">
        <v>160000</v>
      </c>
      <c r="U757">
        <v>25000</v>
      </c>
      <c r="V757">
        <v>8333.34</v>
      </c>
      <c r="W757">
        <v>0</v>
      </c>
      <c r="X757" s="39">
        <v>42733.32</v>
      </c>
      <c r="Y757">
        <v>0</v>
      </c>
      <c r="Z757" s="31">
        <v>126666.66</v>
      </c>
      <c r="AA757">
        <v>8</v>
      </c>
      <c r="AB757" s="3">
        <f t="shared" si="35"/>
        <v>126666.66</v>
      </c>
      <c r="AC757" t="str">
        <f>IF(AB757-S757&lt;0,"YES","NO")</f>
        <v>YES</v>
      </c>
      <c r="AD757">
        <f>IF(AC757="NO",0,AB757-S757)</f>
        <v>-23333.339999999997</v>
      </c>
      <c r="AE757" s="43">
        <v>0.08</v>
      </c>
      <c r="AF757" s="3">
        <f t="shared" si="36"/>
        <v>-21604.944444444438</v>
      </c>
      <c r="AG757" s="45">
        <f t="shared" si="37"/>
        <v>-23765.438888888883</v>
      </c>
      <c r="AH757" s="55"/>
    </row>
    <row r="758" spans="1:34" x14ac:dyDescent="0.25">
      <c r="A758" t="s">
        <v>3030</v>
      </c>
      <c r="B758" t="s">
        <v>3031</v>
      </c>
      <c r="C758" t="s">
        <v>3032</v>
      </c>
      <c r="D758" t="s">
        <v>3033</v>
      </c>
      <c r="E758" t="s">
        <v>3034</v>
      </c>
      <c r="F758" t="s">
        <v>3035</v>
      </c>
      <c r="G758" t="s">
        <v>5</v>
      </c>
      <c r="H758" t="s">
        <v>65</v>
      </c>
      <c r="I758" t="s">
        <v>78</v>
      </c>
      <c r="J758" t="s">
        <v>79</v>
      </c>
      <c r="K758" t="s">
        <v>3</v>
      </c>
      <c r="L758" t="s">
        <v>4</v>
      </c>
      <c r="M758" t="s">
        <v>49</v>
      </c>
      <c r="N758" t="s">
        <v>3036</v>
      </c>
      <c r="O758" s="31" t="s">
        <v>3037</v>
      </c>
      <c r="P758">
        <v>220</v>
      </c>
      <c r="R758">
        <v>2</v>
      </c>
      <c r="S758" s="31">
        <v>150000</v>
      </c>
      <c r="T758" s="39">
        <v>160000</v>
      </c>
      <c r="U758">
        <v>25000</v>
      </c>
      <c r="V758">
        <v>8333.34</v>
      </c>
      <c r="W758">
        <v>0</v>
      </c>
      <c r="X758" s="39">
        <v>42733.32</v>
      </c>
      <c r="Y758">
        <v>0</v>
      </c>
      <c r="Z758" s="31">
        <v>126666.66</v>
      </c>
      <c r="AA758">
        <v>8</v>
      </c>
      <c r="AB758" s="3">
        <f t="shared" si="35"/>
        <v>126666.66</v>
      </c>
      <c r="AC758" t="str">
        <f>IF(AB758-S758&lt;0,"YES","NO")</f>
        <v>YES</v>
      </c>
      <c r="AD758">
        <f>IF(AC758="NO",0,AB758-S758)</f>
        <v>-23333.339999999997</v>
      </c>
      <c r="AE758" s="43">
        <v>0.08</v>
      </c>
      <c r="AF758" s="3">
        <f t="shared" si="36"/>
        <v>-21604.944444444438</v>
      </c>
      <c r="AG758" s="45">
        <f t="shared" si="37"/>
        <v>-23765.438888888883</v>
      </c>
      <c r="AH758" s="55"/>
    </row>
    <row r="759" spans="1:34" x14ac:dyDescent="0.25">
      <c r="A759" t="s">
        <v>3030</v>
      </c>
      <c r="B759" t="s">
        <v>3031</v>
      </c>
      <c r="C759" t="s">
        <v>3032</v>
      </c>
      <c r="D759" t="s">
        <v>3033</v>
      </c>
      <c r="E759" t="s">
        <v>3034</v>
      </c>
      <c r="F759" t="s">
        <v>3035</v>
      </c>
      <c r="G759" t="s">
        <v>5</v>
      </c>
      <c r="H759" t="s">
        <v>65</v>
      </c>
      <c r="I759" t="s">
        <v>80</v>
      </c>
      <c r="J759" t="s">
        <v>81</v>
      </c>
      <c r="K759" t="s">
        <v>3</v>
      </c>
      <c r="L759" t="s">
        <v>4</v>
      </c>
      <c r="M759" t="s">
        <v>49</v>
      </c>
      <c r="N759" t="s">
        <v>3036</v>
      </c>
      <c r="O759" s="31" t="s">
        <v>3037</v>
      </c>
      <c r="P759">
        <v>220</v>
      </c>
      <c r="R759">
        <v>2</v>
      </c>
      <c r="S759" s="31">
        <v>150000</v>
      </c>
      <c r="T759" s="39">
        <v>160000</v>
      </c>
      <c r="U759">
        <v>25000</v>
      </c>
      <c r="V759">
        <v>8333.34</v>
      </c>
      <c r="W759">
        <v>0</v>
      </c>
      <c r="X759" s="39">
        <v>42733.32</v>
      </c>
      <c r="Y759">
        <v>0</v>
      </c>
      <c r="Z759" s="31">
        <v>126666.66</v>
      </c>
      <c r="AA759">
        <v>8</v>
      </c>
      <c r="AB759" s="3">
        <f t="shared" si="35"/>
        <v>126666.66</v>
      </c>
      <c r="AC759" t="str">
        <f>IF(AB759-S759&lt;0,"YES","NO")</f>
        <v>YES</v>
      </c>
      <c r="AD759">
        <f>IF(AC759="NO",0,AB759-S759)</f>
        <v>-23333.339999999997</v>
      </c>
      <c r="AE759" s="43">
        <v>0.08</v>
      </c>
      <c r="AF759" s="3">
        <f t="shared" si="36"/>
        <v>-21604.944444444438</v>
      </c>
      <c r="AG759" s="45">
        <f t="shared" si="37"/>
        <v>-23765.438888888883</v>
      </c>
      <c r="AH759" s="55"/>
    </row>
    <row r="760" spans="1:34" x14ac:dyDescent="0.25">
      <c r="A760" t="s">
        <v>3038</v>
      </c>
      <c r="B760" t="s">
        <v>3039</v>
      </c>
      <c r="C760" t="s">
        <v>3040</v>
      </c>
      <c r="D760" t="s">
        <v>3041</v>
      </c>
      <c r="E760" t="s">
        <v>3042</v>
      </c>
      <c r="F760" t="s">
        <v>3043</v>
      </c>
      <c r="G760" t="s">
        <v>5</v>
      </c>
      <c r="H760" t="s">
        <v>65</v>
      </c>
      <c r="I760" t="s">
        <v>66</v>
      </c>
      <c r="J760" t="s">
        <v>67</v>
      </c>
      <c r="K760" t="s">
        <v>3</v>
      </c>
      <c r="L760" t="s">
        <v>4</v>
      </c>
      <c r="M760" t="s">
        <v>49</v>
      </c>
      <c r="N760" t="s">
        <v>3044</v>
      </c>
      <c r="O760" s="31" t="s">
        <v>3045</v>
      </c>
      <c r="P760">
        <v>220</v>
      </c>
      <c r="R760">
        <v>2</v>
      </c>
      <c r="S760" s="31">
        <v>150000</v>
      </c>
      <c r="T760" s="39">
        <v>160000</v>
      </c>
      <c r="U760">
        <v>20000</v>
      </c>
      <c r="V760">
        <v>16000</v>
      </c>
      <c r="W760">
        <v>0</v>
      </c>
      <c r="X760" s="39">
        <v>34880</v>
      </c>
      <c r="Y760">
        <v>0</v>
      </c>
      <c r="Z760" s="31">
        <v>124000</v>
      </c>
      <c r="AA760">
        <v>8</v>
      </c>
      <c r="AB760" s="3">
        <f t="shared" si="35"/>
        <v>124000</v>
      </c>
      <c r="AC760" t="str">
        <f>IF(AB760-S760&lt;0,"YES","NO")</f>
        <v>YES</v>
      </c>
      <c r="AD760">
        <f>IF(AC760="NO",0,AB760-S760)</f>
        <v>-26000</v>
      </c>
      <c r="AE760" s="43">
        <v>0.08</v>
      </c>
      <c r="AF760" s="3">
        <f t="shared" si="36"/>
        <v>-24074.074074074073</v>
      </c>
      <c r="AG760" s="45">
        <f t="shared" si="37"/>
        <v>-26481.481481481482</v>
      </c>
      <c r="AH760" s="55"/>
    </row>
    <row r="761" spans="1:34" x14ac:dyDescent="0.25">
      <c r="A761" t="s">
        <v>3046</v>
      </c>
      <c r="B761" t="s">
        <v>3047</v>
      </c>
      <c r="C761" t="s">
        <v>3048</v>
      </c>
      <c r="D761" t="s">
        <v>3049</v>
      </c>
      <c r="E761" t="s">
        <v>3050</v>
      </c>
      <c r="F761" t="s">
        <v>3051</v>
      </c>
      <c r="G761" t="s">
        <v>5</v>
      </c>
      <c r="H761" t="s">
        <v>65</v>
      </c>
      <c r="I761" t="s">
        <v>66</v>
      </c>
      <c r="J761" t="s">
        <v>67</v>
      </c>
      <c r="K761" t="s">
        <v>3</v>
      </c>
      <c r="L761" t="s">
        <v>4</v>
      </c>
      <c r="M761" t="s">
        <v>49</v>
      </c>
      <c r="N761" t="s">
        <v>3052</v>
      </c>
      <c r="O761" s="31" t="s">
        <v>3053</v>
      </c>
      <c r="P761">
        <v>220</v>
      </c>
      <c r="R761">
        <v>3</v>
      </c>
      <c r="S761" s="31">
        <v>225000</v>
      </c>
      <c r="T761" s="39">
        <v>240000</v>
      </c>
      <c r="U761">
        <v>35000.01</v>
      </c>
      <c r="V761">
        <v>24000</v>
      </c>
      <c r="W761">
        <v>0</v>
      </c>
      <c r="X761" s="39">
        <v>71199.990000000005</v>
      </c>
      <c r="Y761">
        <v>0</v>
      </c>
      <c r="Z761" s="31">
        <v>180999.99</v>
      </c>
      <c r="AA761">
        <v>8</v>
      </c>
      <c r="AB761" s="3">
        <f t="shared" si="35"/>
        <v>180999.99</v>
      </c>
      <c r="AC761" t="str">
        <f>IF(AB761-S761&lt;0,"YES","NO")</f>
        <v>YES</v>
      </c>
      <c r="AD761">
        <f>IF(AC761="NO",0,AB761-S761)</f>
        <v>-44000.010000000009</v>
      </c>
      <c r="AE761" s="43">
        <v>0.08</v>
      </c>
      <c r="AF761" s="3">
        <f t="shared" si="36"/>
        <v>-40740.750000000007</v>
      </c>
      <c r="AG761" s="45">
        <f t="shared" si="37"/>
        <v>-44814.825000000012</v>
      </c>
      <c r="AH761" s="55"/>
    </row>
    <row r="762" spans="1:34" x14ac:dyDescent="0.25">
      <c r="A762" t="s">
        <v>3054</v>
      </c>
      <c r="B762" t="s">
        <v>3055</v>
      </c>
      <c r="C762" t="s">
        <v>3056</v>
      </c>
      <c r="D762" t="s">
        <v>3057</v>
      </c>
      <c r="E762" t="s">
        <v>3058</v>
      </c>
      <c r="F762" t="s">
        <v>3059</v>
      </c>
      <c r="G762" t="s">
        <v>5</v>
      </c>
      <c r="H762" t="s">
        <v>61</v>
      </c>
      <c r="I762" t="s">
        <v>84</v>
      </c>
      <c r="J762" t="s">
        <v>85</v>
      </c>
      <c r="K762" t="s">
        <v>3</v>
      </c>
      <c r="L762" t="s">
        <v>4</v>
      </c>
      <c r="M762" t="s">
        <v>49</v>
      </c>
      <c r="N762" t="s">
        <v>3060</v>
      </c>
      <c r="O762" s="31" t="s">
        <v>3061</v>
      </c>
      <c r="P762">
        <v>100</v>
      </c>
      <c r="Q762" t="s">
        <v>86</v>
      </c>
      <c r="R762">
        <v>1</v>
      </c>
      <c r="S762" s="31">
        <v>0</v>
      </c>
      <c r="T762" s="39">
        <v>0</v>
      </c>
      <c r="U762">
        <v>0</v>
      </c>
      <c r="V762">
        <v>0</v>
      </c>
      <c r="W762">
        <v>0</v>
      </c>
      <c r="X762" s="39">
        <v>0</v>
      </c>
      <c r="Y762">
        <v>0</v>
      </c>
      <c r="Z762" s="31">
        <v>0</v>
      </c>
      <c r="AA762">
        <v>8</v>
      </c>
      <c r="AB762" s="3">
        <f t="shared" si="35"/>
        <v>0</v>
      </c>
      <c r="AC762" t="str">
        <f>IF(AB762-S762&lt;0,"YES","NO")</f>
        <v>NO</v>
      </c>
      <c r="AD762">
        <f>IF(AC762="NO",0,AB762-S762)</f>
        <v>0</v>
      </c>
      <c r="AE762" s="43">
        <v>0.08</v>
      </c>
      <c r="AF762" s="3">
        <f t="shared" si="36"/>
        <v>0</v>
      </c>
      <c r="AG762" s="45">
        <f t="shared" si="37"/>
        <v>0</v>
      </c>
      <c r="AH762" s="55"/>
    </row>
    <row r="763" spans="1:34" x14ac:dyDescent="0.25">
      <c r="A763" t="s">
        <v>3054</v>
      </c>
      <c r="B763" t="s">
        <v>3055</v>
      </c>
      <c r="C763" t="s">
        <v>3056</v>
      </c>
      <c r="D763" t="s">
        <v>3057</v>
      </c>
      <c r="E763" t="s">
        <v>3058</v>
      </c>
      <c r="F763" t="s">
        <v>3059</v>
      </c>
      <c r="G763" t="s">
        <v>5</v>
      </c>
      <c r="H763" t="s">
        <v>65</v>
      </c>
      <c r="I763" t="s">
        <v>87</v>
      </c>
      <c r="J763" t="s">
        <v>88</v>
      </c>
      <c r="K763" t="s">
        <v>3</v>
      </c>
      <c r="L763" t="s">
        <v>4</v>
      </c>
      <c r="M763" t="s">
        <v>49</v>
      </c>
      <c r="N763" t="s">
        <v>3060</v>
      </c>
      <c r="O763" s="31" t="s">
        <v>3061</v>
      </c>
      <c r="P763">
        <v>220</v>
      </c>
      <c r="Q763" t="s">
        <v>89</v>
      </c>
      <c r="R763">
        <v>1</v>
      </c>
      <c r="S763" s="31">
        <v>59000</v>
      </c>
      <c r="T763" s="39">
        <v>70000</v>
      </c>
      <c r="U763">
        <v>12861</v>
      </c>
      <c r="V763">
        <v>6500</v>
      </c>
      <c r="W763">
        <v>0</v>
      </c>
      <c r="X763" s="39">
        <v>19950.5</v>
      </c>
      <c r="Y763">
        <v>0</v>
      </c>
      <c r="Z763" s="31">
        <v>50639</v>
      </c>
      <c r="AA763">
        <v>8</v>
      </c>
      <c r="AB763" s="3">
        <f t="shared" si="35"/>
        <v>50639</v>
      </c>
      <c r="AC763" t="str">
        <f>IF(AB763-S763&lt;0,"YES","NO")</f>
        <v>YES</v>
      </c>
      <c r="AD763">
        <f>IF(AC763="NO",0,AB763-S763)</f>
        <v>-8361</v>
      </c>
      <c r="AE763" s="43">
        <v>0.08</v>
      </c>
      <c r="AF763" s="3">
        <f t="shared" si="36"/>
        <v>-7741.6666666666661</v>
      </c>
      <c r="AG763" s="45">
        <f t="shared" si="37"/>
        <v>-8515.8333333333339</v>
      </c>
      <c r="AH763" s="55"/>
    </row>
    <row r="764" spans="1:34" x14ac:dyDescent="0.25">
      <c r="A764" t="s">
        <v>3054</v>
      </c>
      <c r="B764" t="s">
        <v>3055</v>
      </c>
      <c r="C764" t="s">
        <v>3056</v>
      </c>
      <c r="D764" t="s">
        <v>3057</v>
      </c>
      <c r="E764" t="s">
        <v>3058</v>
      </c>
      <c r="F764" t="s">
        <v>3059</v>
      </c>
      <c r="G764" t="s">
        <v>5</v>
      </c>
      <c r="H764" t="s">
        <v>65</v>
      </c>
      <c r="I764" t="s">
        <v>90</v>
      </c>
      <c r="J764" t="s">
        <v>91</v>
      </c>
      <c r="K764" t="s">
        <v>3</v>
      </c>
      <c r="L764" t="s">
        <v>4</v>
      </c>
      <c r="M764" t="s">
        <v>49</v>
      </c>
      <c r="N764" t="s">
        <v>3060</v>
      </c>
      <c r="O764" s="31" t="s">
        <v>3061</v>
      </c>
      <c r="P764">
        <v>220</v>
      </c>
      <c r="Q764" t="s">
        <v>92</v>
      </c>
      <c r="R764">
        <v>1</v>
      </c>
      <c r="S764" s="31">
        <v>59000</v>
      </c>
      <c r="T764" s="39">
        <v>70000</v>
      </c>
      <c r="U764">
        <v>12861</v>
      </c>
      <c r="V764">
        <v>6500</v>
      </c>
      <c r="W764">
        <v>0</v>
      </c>
      <c r="X764" s="39">
        <v>19950.5</v>
      </c>
      <c r="Y764">
        <v>0</v>
      </c>
      <c r="Z764" s="31">
        <v>50639</v>
      </c>
      <c r="AA764">
        <v>8</v>
      </c>
      <c r="AB764" s="3">
        <f t="shared" si="35"/>
        <v>50639</v>
      </c>
      <c r="AC764" t="str">
        <f>IF(AB764-S764&lt;0,"YES","NO")</f>
        <v>YES</v>
      </c>
      <c r="AD764">
        <f>IF(AC764="NO",0,AB764-S764)</f>
        <v>-8361</v>
      </c>
      <c r="AE764" s="43">
        <v>0.08</v>
      </c>
      <c r="AF764" s="3">
        <f t="shared" si="36"/>
        <v>-7741.6666666666661</v>
      </c>
      <c r="AG764" s="45">
        <f t="shared" si="37"/>
        <v>-8515.8333333333339</v>
      </c>
      <c r="AH764" s="55"/>
    </row>
    <row r="765" spans="1:34" x14ac:dyDescent="0.25">
      <c r="A765" t="s">
        <v>3054</v>
      </c>
      <c r="B765" t="s">
        <v>3055</v>
      </c>
      <c r="C765" t="s">
        <v>3056</v>
      </c>
      <c r="D765" t="s">
        <v>3057</v>
      </c>
      <c r="E765" t="s">
        <v>3058</v>
      </c>
      <c r="F765" t="s">
        <v>3059</v>
      </c>
      <c r="G765" t="s">
        <v>5</v>
      </c>
      <c r="H765" t="s">
        <v>65</v>
      </c>
      <c r="I765" t="s">
        <v>73</v>
      </c>
      <c r="J765" t="s">
        <v>74</v>
      </c>
      <c r="K765" t="s">
        <v>3</v>
      </c>
      <c r="L765" t="s">
        <v>4</v>
      </c>
      <c r="M765" t="s">
        <v>49</v>
      </c>
      <c r="N765" t="s">
        <v>3060</v>
      </c>
      <c r="O765" s="31" t="s">
        <v>3061</v>
      </c>
      <c r="P765">
        <v>220</v>
      </c>
      <c r="Q765" t="s">
        <v>70</v>
      </c>
      <c r="R765">
        <v>2</v>
      </c>
      <c r="S765" s="31">
        <v>118000</v>
      </c>
      <c r="T765" s="39">
        <v>130000</v>
      </c>
      <c r="U765">
        <v>23898</v>
      </c>
      <c r="V765">
        <v>12000</v>
      </c>
      <c r="W765">
        <v>0</v>
      </c>
      <c r="X765" s="39">
        <v>37072</v>
      </c>
      <c r="Y765">
        <v>0</v>
      </c>
      <c r="Z765" s="31">
        <v>94102</v>
      </c>
      <c r="AA765">
        <v>8</v>
      </c>
      <c r="AB765" s="3">
        <f t="shared" si="35"/>
        <v>94102</v>
      </c>
      <c r="AC765" t="str">
        <f>IF(AB765-S765&lt;0,"YES","NO")</f>
        <v>YES</v>
      </c>
      <c r="AD765">
        <f>IF(AC765="NO",0,AB765-S765)</f>
        <v>-23898</v>
      </c>
      <c r="AE765" s="43">
        <v>0.08</v>
      </c>
      <c r="AF765" s="3">
        <f t="shared" si="36"/>
        <v>-22127.777777777777</v>
      </c>
      <c r="AG765" s="45">
        <f t="shared" si="37"/>
        <v>-24340.555555555558</v>
      </c>
      <c r="AH765" s="55"/>
    </row>
    <row r="766" spans="1:34" x14ac:dyDescent="0.25">
      <c r="A766" t="s">
        <v>3054</v>
      </c>
      <c r="B766" t="s">
        <v>3055</v>
      </c>
      <c r="C766" t="s">
        <v>3056</v>
      </c>
      <c r="D766" t="s">
        <v>3057</v>
      </c>
      <c r="E766" t="s">
        <v>3058</v>
      </c>
      <c r="F766" t="s">
        <v>3059</v>
      </c>
      <c r="G766" t="s">
        <v>5</v>
      </c>
      <c r="H766" t="s">
        <v>65</v>
      </c>
      <c r="I766" t="s">
        <v>82</v>
      </c>
      <c r="J766" t="s">
        <v>83</v>
      </c>
      <c r="K766" t="s">
        <v>3</v>
      </c>
      <c r="L766" t="s">
        <v>4</v>
      </c>
      <c r="M766" t="s">
        <v>49</v>
      </c>
      <c r="N766" t="s">
        <v>3060</v>
      </c>
      <c r="O766" s="31" t="s">
        <v>3061</v>
      </c>
      <c r="P766">
        <v>220</v>
      </c>
      <c r="R766">
        <v>2</v>
      </c>
      <c r="S766" s="31">
        <v>150000</v>
      </c>
      <c r="T766" s="39">
        <v>160000</v>
      </c>
      <c r="U766">
        <v>30380</v>
      </c>
      <c r="V766">
        <v>10000</v>
      </c>
      <c r="W766">
        <v>0</v>
      </c>
      <c r="X766" s="39">
        <v>47127</v>
      </c>
      <c r="Y766">
        <v>0</v>
      </c>
      <c r="Z766" s="31">
        <v>119620</v>
      </c>
      <c r="AA766">
        <v>8</v>
      </c>
      <c r="AB766" s="3">
        <f t="shared" si="35"/>
        <v>119620</v>
      </c>
      <c r="AC766" t="str">
        <f>IF(AB766-S766&lt;0,"YES","NO")</f>
        <v>YES</v>
      </c>
      <c r="AD766">
        <f>IF(AC766="NO",0,AB766-S766)</f>
        <v>-30380</v>
      </c>
      <c r="AE766" s="43">
        <v>0.08</v>
      </c>
      <c r="AF766" s="3">
        <f t="shared" si="36"/>
        <v>-28129.629629629628</v>
      </c>
      <c r="AG766" s="45">
        <f t="shared" si="37"/>
        <v>-30942.592592592591</v>
      </c>
      <c r="AH766" s="55"/>
    </row>
    <row r="767" spans="1:34" x14ac:dyDescent="0.25">
      <c r="A767" t="s">
        <v>3062</v>
      </c>
      <c r="B767" t="s">
        <v>3063</v>
      </c>
      <c r="C767" t="s">
        <v>3064</v>
      </c>
      <c r="D767" t="s">
        <v>3065</v>
      </c>
      <c r="E767" t="s">
        <v>3066</v>
      </c>
      <c r="F767" t="s">
        <v>3067</v>
      </c>
      <c r="G767" t="s">
        <v>5</v>
      </c>
      <c r="H767" t="s">
        <v>65</v>
      </c>
      <c r="I767" t="s">
        <v>66</v>
      </c>
      <c r="J767" t="s">
        <v>67</v>
      </c>
      <c r="K767" t="s">
        <v>3</v>
      </c>
      <c r="L767" t="s">
        <v>4</v>
      </c>
      <c r="M767" t="s">
        <v>49</v>
      </c>
      <c r="N767" t="s">
        <v>3068</v>
      </c>
      <c r="O767" s="31" t="s">
        <v>3069</v>
      </c>
      <c r="P767">
        <v>220</v>
      </c>
      <c r="R767">
        <v>2</v>
      </c>
      <c r="S767" s="31">
        <v>150000</v>
      </c>
      <c r="T767" s="39">
        <v>160000</v>
      </c>
      <c r="U767">
        <v>20000</v>
      </c>
      <c r="V767">
        <v>16000</v>
      </c>
      <c r="W767">
        <v>0</v>
      </c>
      <c r="X767" s="39">
        <v>120000</v>
      </c>
      <c r="Y767">
        <v>0</v>
      </c>
      <c r="Z767" s="31">
        <v>124000</v>
      </c>
      <c r="AA767">
        <v>8</v>
      </c>
      <c r="AB767" s="3">
        <f t="shared" si="35"/>
        <v>124000</v>
      </c>
      <c r="AC767" t="str">
        <f>IF(AB767-S767&lt;0,"YES","NO")</f>
        <v>YES</v>
      </c>
      <c r="AD767">
        <f>IF(AC767="NO",0,AB767-S767)</f>
        <v>-26000</v>
      </c>
      <c r="AE767" s="43">
        <v>0.08</v>
      </c>
      <c r="AF767" s="3">
        <f t="shared" si="36"/>
        <v>-24074.074074074073</v>
      </c>
      <c r="AG767" s="45">
        <f t="shared" si="37"/>
        <v>-26481.481481481482</v>
      </c>
      <c r="AH767" s="55"/>
    </row>
    <row r="768" spans="1:34" x14ac:dyDescent="0.25">
      <c r="A768" t="s">
        <v>3070</v>
      </c>
      <c r="B768" t="s">
        <v>3071</v>
      </c>
      <c r="C768" t="s">
        <v>3072</v>
      </c>
      <c r="D768" t="s">
        <v>3073</v>
      </c>
      <c r="E768" t="s">
        <v>3074</v>
      </c>
      <c r="F768" t="s">
        <v>3075</v>
      </c>
      <c r="G768" t="s">
        <v>5</v>
      </c>
      <c r="H768" t="s">
        <v>65</v>
      </c>
      <c r="I768" t="s">
        <v>66</v>
      </c>
      <c r="J768" t="s">
        <v>67</v>
      </c>
      <c r="K768" t="s">
        <v>3</v>
      </c>
      <c r="L768" t="s">
        <v>4</v>
      </c>
      <c r="M768" t="s">
        <v>49</v>
      </c>
      <c r="N768" t="s">
        <v>3076</v>
      </c>
      <c r="O768" s="31" t="s">
        <v>3077</v>
      </c>
      <c r="P768">
        <v>220</v>
      </c>
      <c r="R768">
        <v>12</v>
      </c>
      <c r="S768" s="31">
        <v>900000</v>
      </c>
      <c r="T768" s="39">
        <v>960000</v>
      </c>
      <c r="U768">
        <v>75000</v>
      </c>
      <c r="V768">
        <v>96000</v>
      </c>
      <c r="W768">
        <v>0</v>
      </c>
      <c r="X768" s="39">
        <v>201240</v>
      </c>
      <c r="Y768">
        <v>0</v>
      </c>
      <c r="Z768" s="31">
        <v>789000</v>
      </c>
      <c r="AA768">
        <v>8</v>
      </c>
      <c r="AB768" s="3">
        <f t="shared" si="35"/>
        <v>789000</v>
      </c>
      <c r="AC768" t="str">
        <f>IF(AB768-S768&lt;0,"YES","NO")</f>
        <v>YES</v>
      </c>
      <c r="AD768">
        <f>IF(AC768="NO",0,AB768-S768)</f>
        <v>-111000</v>
      </c>
      <c r="AE768" s="43">
        <v>0.08</v>
      </c>
      <c r="AF768" s="3">
        <f t="shared" si="36"/>
        <v>-102777.77777777777</v>
      </c>
      <c r="AG768" s="45">
        <f t="shared" si="37"/>
        <v>-113055.55555555555</v>
      </c>
      <c r="AH768" s="55"/>
    </row>
    <row r="769" spans="1:34" x14ac:dyDescent="0.25">
      <c r="A769" t="s">
        <v>3078</v>
      </c>
      <c r="B769" t="s">
        <v>3079</v>
      </c>
      <c r="C769" t="s">
        <v>3080</v>
      </c>
      <c r="D769" t="s">
        <v>3081</v>
      </c>
      <c r="E769" t="s">
        <v>3082</v>
      </c>
      <c r="F769" t="s">
        <v>3083</v>
      </c>
      <c r="G769" t="s">
        <v>5</v>
      </c>
      <c r="H769" t="s">
        <v>65</v>
      </c>
      <c r="I769" t="s">
        <v>112</v>
      </c>
      <c r="J769" t="s">
        <v>113</v>
      </c>
      <c r="K769" t="s">
        <v>3</v>
      </c>
      <c r="L769" t="s">
        <v>4</v>
      </c>
      <c r="M769" t="s">
        <v>49</v>
      </c>
      <c r="N769" t="s">
        <v>3084</v>
      </c>
      <c r="O769" s="31" t="s">
        <v>3085</v>
      </c>
      <c r="P769">
        <v>20</v>
      </c>
      <c r="Q769" t="s">
        <v>114</v>
      </c>
      <c r="R769">
        <v>1</v>
      </c>
      <c r="S769" s="31">
        <v>0</v>
      </c>
      <c r="T769" s="39">
        <v>0</v>
      </c>
      <c r="U769">
        <v>0</v>
      </c>
      <c r="V769">
        <v>0</v>
      </c>
      <c r="W769">
        <v>0</v>
      </c>
      <c r="X769" s="39">
        <v>0</v>
      </c>
      <c r="Y769">
        <v>0</v>
      </c>
      <c r="Z769" s="31">
        <v>0</v>
      </c>
      <c r="AA769">
        <v>8</v>
      </c>
      <c r="AB769" s="3">
        <f t="shared" si="35"/>
        <v>0</v>
      </c>
      <c r="AC769" t="str">
        <f>IF(AB769-S769&lt;0,"YES","NO")</f>
        <v>NO</v>
      </c>
      <c r="AD769">
        <f>IF(AC769="NO",0,AB769-S769)</f>
        <v>0</v>
      </c>
      <c r="AE769" s="43">
        <v>0.08</v>
      </c>
      <c r="AF769" s="3">
        <f t="shared" si="36"/>
        <v>0</v>
      </c>
      <c r="AG769" s="45">
        <f t="shared" si="37"/>
        <v>0</v>
      </c>
      <c r="AH769" s="55"/>
    </row>
    <row r="770" spans="1:34" x14ac:dyDescent="0.25">
      <c r="A770" t="s">
        <v>3078</v>
      </c>
      <c r="B770" t="s">
        <v>3079</v>
      </c>
      <c r="C770" t="s">
        <v>3080</v>
      </c>
      <c r="D770" t="s">
        <v>3081</v>
      </c>
      <c r="E770" t="s">
        <v>3082</v>
      </c>
      <c r="F770" t="s">
        <v>3083</v>
      </c>
      <c r="G770" t="s">
        <v>5</v>
      </c>
      <c r="H770" t="s">
        <v>65</v>
      </c>
      <c r="I770" t="s">
        <v>82</v>
      </c>
      <c r="J770" t="s">
        <v>83</v>
      </c>
      <c r="K770" t="s">
        <v>3</v>
      </c>
      <c r="L770" t="s">
        <v>4</v>
      </c>
      <c r="M770" t="s">
        <v>49</v>
      </c>
      <c r="N770" t="s">
        <v>3084</v>
      </c>
      <c r="O770" s="31" t="s">
        <v>3085</v>
      </c>
      <c r="P770">
        <v>220</v>
      </c>
      <c r="R770">
        <v>6</v>
      </c>
      <c r="S770" s="31">
        <v>450000</v>
      </c>
      <c r="T770" s="39">
        <v>480000</v>
      </c>
      <c r="U770">
        <v>75000</v>
      </c>
      <c r="V770">
        <v>25000.02</v>
      </c>
      <c r="W770">
        <v>0</v>
      </c>
      <c r="X770" s="39">
        <v>135799.98000000001</v>
      </c>
      <c r="Y770">
        <v>0</v>
      </c>
      <c r="Z770" s="31">
        <v>379999.98</v>
      </c>
      <c r="AA770">
        <v>8</v>
      </c>
      <c r="AB770" s="3">
        <f t="shared" si="35"/>
        <v>379999.98</v>
      </c>
      <c r="AC770" t="str">
        <f>IF(AB770-S770&lt;0,"YES","NO")</f>
        <v>YES</v>
      </c>
      <c r="AD770">
        <f>IF(AC770="NO",0,AB770-S770)</f>
        <v>-70000.020000000019</v>
      </c>
      <c r="AE770" s="43">
        <v>0.08</v>
      </c>
      <c r="AF770" s="3">
        <f t="shared" si="36"/>
        <v>-64814.833333333343</v>
      </c>
      <c r="AG770" s="45">
        <f t="shared" si="37"/>
        <v>-71296.31666666668</v>
      </c>
      <c r="AH770" s="55"/>
    </row>
    <row r="771" spans="1:34" x14ac:dyDescent="0.25">
      <c r="A771" t="s">
        <v>3086</v>
      </c>
      <c r="B771" t="s">
        <v>3087</v>
      </c>
      <c r="C771" t="s">
        <v>3088</v>
      </c>
      <c r="D771" t="s">
        <v>3089</v>
      </c>
      <c r="E771" t="s">
        <v>3090</v>
      </c>
      <c r="F771" t="s">
        <v>3091</v>
      </c>
      <c r="G771" t="s">
        <v>5</v>
      </c>
      <c r="H771" t="s">
        <v>65</v>
      </c>
      <c r="I771" t="s">
        <v>68</v>
      </c>
      <c r="J771" t="s">
        <v>69</v>
      </c>
      <c r="K771" t="s">
        <v>3</v>
      </c>
      <c r="L771" t="s">
        <v>4</v>
      </c>
      <c r="M771" t="s">
        <v>49</v>
      </c>
      <c r="N771" t="s">
        <v>3092</v>
      </c>
      <c r="O771" s="31" t="s">
        <v>3093</v>
      </c>
      <c r="P771">
        <v>220</v>
      </c>
      <c r="Q771" t="s">
        <v>70</v>
      </c>
      <c r="R771">
        <v>1</v>
      </c>
      <c r="S771" s="31">
        <v>59000</v>
      </c>
      <c r="T771" s="39">
        <v>65000</v>
      </c>
      <c r="U771">
        <v>11666.67</v>
      </c>
      <c r="V771">
        <v>5000</v>
      </c>
      <c r="W771">
        <v>0</v>
      </c>
      <c r="X771" s="39">
        <v>16500</v>
      </c>
      <c r="Y771">
        <v>0</v>
      </c>
      <c r="Z771" s="31">
        <v>48333.33</v>
      </c>
      <c r="AA771">
        <v>8</v>
      </c>
      <c r="AB771" s="3">
        <f t="shared" si="35"/>
        <v>48333.33</v>
      </c>
      <c r="AC771" t="str">
        <f>IF(AB771-S771&lt;0,"YES","NO")</f>
        <v>YES</v>
      </c>
      <c r="AD771">
        <f>IF(AC771="NO",0,AB771-S771)</f>
        <v>-10666.669999999998</v>
      </c>
      <c r="AE771" s="43">
        <v>0.08</v>
      </c>
      <c r="AF771" s="3">
        <f t="shared" si="36"/>
        <v>-9876.5462962962938</v>
      </c>
      <c r="AG771" s="45">
        <f t="shared" si="37"/>
        <v>-10864.200925925925</v>
      </c>
      <c r="AH771" s="55"/>
    </row>
    <row r="772" spans="1:34" x14ac:dyDescent="0.25">
      <c r="A772" t="s">
        <v>3086</v>
      </c>
      <c r="B772" t="s">
        <v>3087</v>
      </c>
      <c r="C772" t="s">
        <v>3088</v>
      </c>
      <c r="D772" t="s">
        <v>3089</v>
      </c>
      <c r="E772" t="s">
        <v>3090</v>
      </c>
      <c r="F772" t="s">
        <v>3091</v>
      </c>
      <c r="G772" t="s">
        <v>5</v>
      </c>
      <c r="H772" t="s">
        <v>65</v>
      </c>
      <c r="I772" t="s">
        <v>71</v>
      </c>
      <c r="J772" t="s">
        <v>72</v>
      </c>
      <c r="K772" t="s">
        <v>3</v>
      </c>
      <c r="L772" t="s">
        <v>4</v>
      </c>
      <c r="M772" t="s">
        <v>49</v>
      </c>
      <c r="N772" t="s">
        <v>3092</v>
      </c>
      <c r="O772" s="31" t="s">
        <v>3093</v>
      </c>
      <c r="P772">
        <v>220</v>
      </c>
      <c r="Q772" t="s">
        <v>70</v>
      </c>
      <c r="R772">
        <v>1</v>
      </c>
      <c r="S772" s="31">
        <v>59000</v>
      </c>
      <c r="T772" s="39">
        <v>65000</v>
      </c>
      <c r="U772">
        <v>11666.67</v>
      </c>
      <c r="V772">
        <v>5000</v>
      </c>
      <c r="W772">
        <v>0</v>
      </c>
      <c r="X772" s="39">
        <v>16500</v>
      </c>
      <c r="Y772">
        <v>0</v>
      </c>
      <c r="Z772" s="31">
        <v>48333.33</v>
      </c>
      <c r="AA772">
        <v>8</v>
      </c>
      <c r="AB772" s="3">
        <f t="shared" si="35"/>
        <v>48333.33</v>
      </c>
      <c r="AC772" t="str">
        <f>IF(AB772-S772&lt;0,"YES","NO")</f>
        <v>YES</v>
      </c>
      <c r="AD772">
        <f>IF(AC772="NO",0,AB772-S772)</f>
        <v>-10666.669999999998</v>
      </c>
      <c r="AE772" s="43">
        <v>0.08</v>
      </c>
      <c r="AF772" s="3">
        <f t="shared" si="36"/>
        <v>-9876.5462962962938</v>
      </c>
      <c r="AG772" s="45">
        <f t="shared" si="37"/>
        <v>-10864.200925925925</v>
      </c>
      <c r="AH772" s="55"/>
    </row>
    <row r="773" spans="1:34" x14ac:dyDescent="0.25">
      <c r="A773" t="s">
        <v>3086</v>
      </c>
      <c r="B773" t="s">
        <v>3087</v>
      </c>
      <c r="C773" t="s">
        <v>3088</v>
      </c>
      <c r="D773" t="s">
        <v>3089</v>
      </c>
      <c r="E773" t="s">
        <v>3090</v>
      </c>
      <c r="F773" t="s">
        <v>3091</v>
      </c>
      <c r="G773" t="s">
        <v>5</v>
      </c>
      <c r="H773" t="s">
        <v>65</v>
      </c>
      <c r="I773" t="s">
        <v>73</v>
      </c>
      <c r="J773" t="s">
        <v>74</v>
      </c>
      <c r="K773" t="s">
        <v>3</v>
      </c>
      <c r="L773" t="s">
        <v>4</v>
      </c>
      <c r="M773" t="s">
        <v>49</v>
      </c>
      <c r="N773" t="s">
        <v>3092</v>
      </c>
      <c r="O773" s="31" t="s">
        <v>3093</v>
      </c>
      <c r="P773">
        <v>220</v>
      </c>
      <c r="Q773" t="s">
        <v>70</v>
      </c>
      <c r="R773">
        <v>1</v>
      </c>
      <c r="S773" s="31">
        <v>59000</v>
      </c>
      <c r="T773" s="39">
        <v>65000</v>
      </c>
      <c r="U773">
        <v>11666.67</v>
      </c>
      <c r="V773">
        <v>5000</v>
      </c>
      <c r="W773">
        <v>0</v>
      </c>
      <c r="X773" s="39">
        <v>16500</v>
      </c>
      <c r="Y773">
        <v>0</v>
      </c>
      <c r="Z773" s="31">
        <v>48333.33</v>
      </c>
      <c r="AA773">
        <v>8</v>
      </c>
      <c r="AB773" s="3">
        <f t="shared" si="35"/>
        <v>48333.33</v>
      </c>
      <c r="AC773" t="str">
        <f>IF(AB773-S773&lt;0,"YES","NO")</f>
        <v>YES</v>
      </c>
      <c r="AD773">
        <f>IF(AC773="NO",0,AB773-S773)</f>
        <v>-10666.669999999998</v>
      </c>
      <c r="AE773" s="43">
        <v>0.08</v>
      </c>
      <c r="AF773" s="3">
        <f t="shared" si="36"/>
        <v>-9876.5462962962938</v>
      </c>
      <c r="AG773" s="45">
        <f t="shared" si="37"/>
        <v>-10864.200925925925</v>
      </c>
      <c r="AH773" s="55"/>
    </row>
    <row r="774" spans="1:34" x14ac:dyDescent="0.25">
      <c r="A774" t="s">
        <v>3094</v>
      </c>
      <c r="B774" t="s">
        <v>3095</v>
      </c>
      <c r="C774" t="s">
        <v>3096</v>
      </c>
      <c r="D774" t="s">
        <v>3097</v>
      </c>
      <c r="E774" t="s">
        <v>3098</v>
      </c>
      <c r="F774" t="s">
        <v>3099</v>
      </c>
      <c r="G774" t="s">
        <v>5</v>
      </c>
      <c r="H774" t="s">
        <v>65</v>
      </c>
      <c r="I774" t="s">
        <v>66</v>
      </c>
      <c r="J774" t="s">
        <v>67</v>
      </c>
      <c r="K774" t="s">
        <v>3</v>
      </c>
      <c r="L774" t="s">
        <v>4</v>
      </c>
      <c r="M774" t="s">
        <v>49</v>
      </c>
      <c r="N774" t="s">
        <v>3100</v>
      </c>
      <c r="O774" s="31" t="s">
        <v>3101</v>
      </c>
      <c r="P774">
        <v>220</v>
      </c>
      <c r="R774">
        <v>2</v>
      </c>
      <c r="S774" s="31">
        <v>150000</v>
      </c>
      <c r="T774" s="39">
        <v>160000</v>
      </c>
      <c r="U774">
        <v>20000</v>
      </c>
      <c r="V774">
        <v>16000</v>
      </c>
      <c r="W774">
        <v>0</v>
      </c>
      <c r="X774" s="39">
        <v>34880</v>
      </c>
      <c r="Y774">
        <v>0</v>
      </c>
      <c r="Z774" s="31">
        <v>124000</v>
      </c>
      <c r="AA774">
        <v>8</v>
      </c>
      <c r="AB774" s="3">
        <f t="shared" ref="AB774:AB837" si="38">Z774</f>
        <v>124000</v>
      </c>
      <c r="AC774" t="str">
        <f>IF(AB774-S774&lt;0,"YES","NO")</f>
        <v>YES</v>
      </c>
      <c r="AD774">
        <f>IF(AC774="NO",0,AB774-S774)</f>
        <v>-26000</v>
      </c>
      <c r="AE774" s="43">
        <v>0.08</v>
      </c>
      <c r="AF774" s="3">
        <f t="shared" ref="AF774:AF837" si="39">AD774/(1+AE774)</f>
        <v>-24074.074074074073</v>
      </c>
      <c r="AG774" s="45">
        <f t="shared" ref="AG774:AG837" si="40">AF774*1.1</f>
        <v>-26481.481481481482</v>
      </c>
      <c r="AH774" s="55"/>
    </row>
    <row r="775" spans="1:34" x14ac:dyDescent="0.25">
      <c r="A775" t="s">
        <v>3102</v>
      </c>
      <c r="B775" t="s">
        <v>3103</v>
      </c>
      <c r="C775" t="s">
        <v>3104</v>
      </c>
      <c r="D775" t="s">
        <v>3105</v>
      </c>
      <c r="E775" t="s">
        <v>3106</v>
      </c>
      <c r="F775" t="s">
        <v>3107</v>
      </c>
      <c r="G775" t="s">
        <v>5</v>
      </c>
      <c r="H775" t="s">
        <v>65</v>
      </c>
      <c r="I775" t="s">
        <v>80</v>
      </c>
      <c r="J775" t="s">
        <v>81</v>
      </c>
      <c r="K775" t="s">
        <v>3</v>
      </c>
      <c r="L775" t="s">
        <v>4</v>
      </c>
      <c r="M775" t="s">
        <v>49</v>
      </c>
      <c r="N775" t="s">
        <v>3108</v>
      </c>
      <c r="O775" s="31" t="s">
        <v>3109</v>
      </c>
      <c r="P775">
        <v>220</v>
      </c>
      <c r="R775">
        <v>2</v>
      </c>
      <c r="S775" s="31">
        <v>150000</v>
      </c>
      <c r="T775" s="39">
        <v>160000</v>
      </c>
      <c r="U775">
        <v>20000</v>
      </c>
      <c r="V775">
        <v>10000</v>
      </c>
      <c r="W775">
        <v>0</v>
      </c>
      <c r="X775" s="39">
        <v>46000</v>
      </c>
      <c r="Y775">
        <v>0</v>
      </c>
      <c r="Z775" s="31">
        <v>130000</v>
      </c>
      <c r="AA775">
        <v>8</v>
      </c>
      <c r="AB775" s="3">
        <f t="shared" si="38"/>
        <v>130000</v>
      </c>
      <c r="AC775" t="str">
        <f>IF(AB775-S775&lt;0,"YES","NO")</f>
        <v>YES</v>
      </c>
      <c r="AD775">
        <f>IF(AC775="NO",0,AB775-S775)</f>
        <v>-20000</v>
      </c>
      <c r="AE775" s="43">
        <v>0.08</v>
      </c>
      <c r="AF775" s="3">
        <f t="shared" si="39"/>
        <v>-18518.518518518518</v>
      </c>
      <c r="AG775" s="45">
        <f t="shared" si="40"/>
        <v>-20370.370370370372</v>
      </c>
      <c r="AH775" s="55"/>
    </row>
    <row r="776" spans="1:34" x14ac:dyDescent="0.25">
      <c r="A776" t="s">
        <v>3110</v>
      </c>
      <c r="B776" t="s">
        <v>3111</v>
      </c>
      <c r="C776" t="s">
        <v>3112</v>
      </c>
      <c r="D776" t="s">
        <v>3113</v>
      </c>
      <c r="E776" t="s">
        <v>3114</v>
      </c>
      <c r="F776" t="s">
        <v>3115</v>
      </c>
      <c r="G776" t="s">
        <v>2</v>
      </c>
      <c r="H776" t="s">
        <v>61</v>
      </c>
      <c r="I776" t="s">
        <v>93</v>
      </c>
      <c r="J776" t="s">
        <v>94</v>
      </c>
      <c r="K776" t="s">
        <v>3</v>
      </c>
      <c r="L776" t="s">
        <v>4</v>
      </c>
      <c r="M776" t="s">
        <v>49</v>
      </c>
      <c r="N776" t="s">
        <v>3116</v>
      </c>
      <c r="O776" s="31" t="s">
        <v>3117</v>
      </c>
      <c r="P776">
        <v>20</v>
      </c>
      <c r="Q776" t="s">
        <v>86</v>
      </c>
      <c r="R776">
        <v>1</v>
      </c>
      <c r="S776" s="31">
        <v>0</v>
      </c>
      <c r="T776" s="39">
        <v>500000</v>
      </c>
      <c r="U776">
        <v>0</v>
      </c>
      <c r="V776">
        <v>0</v>
      </c>
      <c r="W776">
        <v>0</v>
      </c>
      <c r="X776" s="39">
        <v>0</v>
      </c>
      <c r="Y776">
        <v>0</v>
      </c>
      <c r="Z776" s="31">
        <v>0</v>
      </c>
      <c r="AA776">
        <v>8</v>
      </c>
      <c r="AB776" s="3">
        <f t="shared" si="38"/>
        <v>0</v>
      </c>
      <c r="AC776" t="str">
        <f>IF(AB776-S776&lt;0,"YES","NO")</f>
        <v>NO</v>
      </c>
      <c r="AD776">
        <f>IF(AC776="NO",0,AB776-S776)</f>
        <v>0</v>
      </c>
      <c r="AE776" s="43">
        <v>0.08</v>
      </c>
      <c r="AF776" s="3">
        <f t="shared" si="39"/>
        <v>0</v>
      </c>
      <c r="AG776" s="45">
        <f t="shared" si="40"/>
        <v>0</v>
      </c>
      <c r="AH776" s="55"/>
    </row>
    <row r="777" spans="1:34" x14ac:dyDescent="0.25">
      <c r="A777" t="s">
        <v>3110</v>
      </c>
      <c r="B777" t="s">
        <v>3111</v>
      </c>
      <c r="C777" t="s">
        <v>3112</v>
      </c>
      <c r="D777" t="s">
        <v>3113</v>
      </c>
      <c r="E777" t="s">
        <v>3114</v>
      </c>
      <c r="F777" t="s">
        <v>3115</v>
      </c>
      <c r="G777" t="s">
        <v>2</v>
      </c>
      <c r="H777" t="s">
        <v>65</v>
      </c>
      <c r="I777" t="s">
        <v>115</v>
      </c>
      <c r="J777" t="s">
        <v>116</v>
      </c>
      <c r="K777" t="s">
        <v>3</v>
      </c>
      <c r="L777" t="s">
        <v>4</v>
      </c>
      <c r="M777" t="s">
        <v>49</v>
      </c>
      <c r="N777" t="s">
        <v>3116</v>
      </c>
      <c r="O777" s="31" t="s">
        <v>3117</v>
      </c>
      <c r="P777">
        <v>200</v>
      </c>
      <c r="R777">
        <v>6</v>
      </c>
      <c r="S777" s="31">
        <v>432000</v>
      </c>
      <c r="T777" s="39">
        <v>439999.98</v>
      </c>
      <c r="U777">
        <v>49999.98</v>
      </c>
      <c r="V777">
        <v>0</v>
      </c>
      <c r="W777">
        <v>0</v>
      </c>
      <c r="X777" s="39">
        <v>60000</v>
      </c>
      <c r="Y777">
        <v>0</v>
      </c>
      <c r="Z777" s="31">
        <v>390000</v>
      </c>
      <c r="AA777">
        <v>8</v>
      </c>
      <c r="AB777" s="3">
        <f t="shared" si="38"/>
        <v>390000</v>
      </c>
      <c r="AC777" t="str">
        <f>IF(AB777-S777&lt;0,"YES","NO")</f>
        <v>YES</v>
      </c>
      <c r="AD777">
        <f>IF(AC777="NO",0,AB777-S777)</f>
        <v>-42000</v>
      </c>
      <c r="AE777" s="43">
        <v>0.08</v>
      </c>
      <c r="AF777" s="3">
        <f t="shared" si="39"/>
        <v>-38888.888888888883</v>
      </c>
      <c r="AG777" s="45">
        <f t="shared" si="40"/>
        <v>-42777.777777777774</v>
      </c>
      <c r="AH777" s="55"/>
    </row>
    <row r="778" spans="1:34" x14ac:dyDescent="0.25">
      <c r="A778" t="s">
        <v>3118</v>
      </c>
      <c r="B778" t="s">
        <v>3119</v>
      </c>
      <c r="C778" t="s">
        <v>3120</v>
      </c>
      <c r="D778" t="s">
        <v>3121</v>
      </c>
      <c r="E778" t="s">
        <v>3122</v>
      </c>
      <c r="F778" t="s">
        <v>3123</v>
      </c>
      <c r="G778" t="s">
        <v>5</v>
      </c>
      <c r="H778" t="s">
        <v>65</v>
      </c>
      <c r="I778" t="s">
        <v>66</v>
      </c>
      <c r="J778" t="s">
        <v>67</v>
      </c>
      <c r="K778" t="s">
        <v>3</v>
      </c>
      <c r="L778" t="s">
        <v>4</v>
      </c>
      <c r="M778" t="s">
        <v>49</v>
      </c>
      <c r="N778" t="s">
        <v>3124</v>
      </c>
      <c r="O778" s="31" t="s">
        <v>3125</v>
      </c>
      <c r="P778">
        <v>220</v>
      </c>
      <c r="R778">
        <v>2</v>
      </c>
      <c r="S778" s="31">
        <v>150000</v>
      </c>
      <c r="T778" s="39">
        <v>160000</v>
      </c>
      <c r="U778">
        <v>20000</v>
      </c>
      <c r="V778">
        <v>16000</v>
      </c>
      <c r="W778">
        <v>0</v>
      </c>
      <c r="X778" s="39">
        <v>44800</v>
      </c>
      <c r="Y778">
        <v>0</v>
      </c>
      <c r="Z778" s="31">
        <v>124000</v>
      </c>
      <c r="AA778">
        <v>8</v>
      </c>
      <c r="AB778" s="3">
        <f t="shared" si="38"/>
        <v>124000</v>
      </c>
      <c r="AC778" t="str">
        <f>IF(AB778-S778&lt;0,"YES","NO")</f>
        <v>YES</v>
      </c>
      <c r="AD778">
        <f>IF(AC778="NO",0,AB778-S778)</f>
        <v>-26000</v>
      </c>
      <c r="AE778" s="43">
        <v>0.08</v>
      </c>
      <c r="AF778" s="3">
        <f t="shared" si="39"/>
        <v>-24074.074074074073</v>
      </c>
      <c r="AG778" s="45">
        <f t="shared" si="40"/>
        <v>-26481.481481481482</v>
      </c>
      <c r="AH778" s="55"/>
    </row>
    <row r="779" spans="1:34" x14ac:dyDescent="0.25">
      <c r="A779" t="s">
        <v>3126</v>
      </c>
      <c r="B779" t="s">
        <v>3127</v>
      </c>
      <c r="C779" t="s">
        <v>3128</v>
      </c>
      <c r="D779" t="s">
        <v>3129</v>
      </c>
      <c r="E779" t="s">
        <v>3130</v>
      </c>
      <c r="F779" t="s">
        <v>3131</v>
      </c>
      <c r="G779" t="s">
        <v>5</v>
      </c>
      <c r="H779" t="s">
        <v>65</v>
      </c>
      <c r="I779" t="s">
        <v>66</v>
      </c>
      <c r="J779" t="s">
        <v>67</v>
      </c>
      <c r="K779" t="s">
        <v>3</v>
      </c>
      <c r="L779" t="s">
        <v>4</v>
      </c>
      <c r="M779" t="s">
        <v>49</v>
      </c>
      <c r="N779" t="s">
        <v>3132</v>
      </c>
      <c r="O779" s="31" t="s">
        <v>3133</v>
      </c>
      <c r="P779">
        <v>220</v>
      </c>
      <c r="R779">
        <v>6</v>
      </c>
      <c r="S779" s="31">
        <v>450000</v>
      </c>
      <c r="T779" s="39">
        <v>480000</v>
      </c>
      <c r="U779">
        <v>79999.98</v>
      </c>
      <c r="V779">
        <v>48000</v>
      </c>
      <c r="W779">
        <v>0</v>
      </c>
      <c r="X779" s="39">
        <v>129280.02</v>
      </c>
      <c r="Y779">
        <v>0</v>
      </c>
      <c r="Z779" s="31">
        <v>352000.02</v>
      </c>
      <c r="AA779">
        <v>8</v>
      </c>
      <c r="AB779" s="3">
        <f t="shared" si="38"/>
        <v>352000.02</v>
      </c>
      <c r="AC779" t="str">
        <f>IF(AB779-S779&lt;0,"YES","NO")</f>
        <v>YES</v>
      </c>
      <c r="AD779">
        <f>IF(AC779="NO",0,AB779-S779)</f>
        <v>-97999.979999999981</v>
      </c>
      <c r="AE779" s="43">
        <v>0.08</v>
      </c>
      <c r="AF779" s="3">
        <f t="shared" si="39"/>
        <v>-90740.722222222204</v>
      </c>
      <c r="AG779" s="45">
        <f t="shared" si="40"/>
        <v>-99814.794444444429</v>
      </c>
      <c r="AH779" s="55"/>
    </row>
    <row r="780" spans="1:34" x14ac:dyDescent="0.25">
      <c r="A780" t="s">
        <v>3134</v>
      </c>
      <c r="B780" t="s">
        <v>3135</v>
      </c>
      <c r="C780" t="s">
        <v>3136</v>
      </c>
      <c r="D780" t="s">
        <v>3137</v>
      </c>
      <c r="E780" t="s">
        <v>3138</v>
      </c>
      <c r="F780" t="s">
        <v>3139</v>
      </c>
      <c r="G780" t="s">
        <v>5</v>
      </c>
      <c r="H780" t="s">
        <v>61</v>
      </c>
      <c r="I780" t="s">
        <v>93</v>
      </c>
      <c r="J780" t="s">
        <v>94</v>
      </c>
      <c r="K780" t="s">
        <v>3</v>
      </c>
      <c r="L780" t="s">
        <v>4</v>
      </c>
      <c r="M780" t="s">
        <v>49</v>
      </c>
      <c r="N780" t="s">
        <v>3140</v>
      </c>
      <c r="O780" s="31" t="s">
        <v>3141</v>
      </c>
      <c r="P780">
        <v>20</v>
      </c>
      <c r="Q780" t="s">
        <v>86</v>
      </c>
      <c r="R780">
        <v>1</v>
      </c>
      <c r="S780" s="31">
        <v>0</v>
      </c>
      <c r="T780" s="39">
        <v>0</v>
      </c>
      <c r="U780">
        <v>0</v>
      </c>
      <c r="V780">
        <v>0</v>
      </c>
      <c r="W780">
        <v>0</v>
      </c>
      <c r="X780" s="39">
        <v>0</v>
      </c>
      <c r="Y780">
        <v>0</v>
      </c>
      <c r="Z780" s="31">
        <v>0</v>
      </c>
      <c r="AA780">
        <v>8</v>
      </c>
      <c r="AB780" s="3">
        <f t="shared" si="38"/>
        <v>0</v>
      </c>
      <c r="AC780" t="str">
        <f>IF(AB780-S780&lt;0,"YES","NO")</f>
        <v>NO</v>
      </c>
      <c r="AD780">
        <f>IF(AC780="NO",0,AB780-S780)</f>
        <v>0</v>
      </c>
      <c r="AE780" s="43">
        <v>0.08</v>
      </c>
      <c r="AF780" s="3">
        <f t="shared" si="39"/>
        <v>0</v>
      </c>
      <c r="AG780" s="45">
        <f t="shared" si="40"/>
        <v>0</v>
      </c>
      <c r="AH780" s="55"/>
    </row>
    <row r="781" spans="1:34" x14ac:dyDescent="0.25">
      <c r="A781" t="s">
        <v>3134</v>
      </c>
      <c r="B781" t="s">
        <v>3135</v>
      </c>
      <c r="C781" t="s">
        <v>3136</v>
      </c>
      <c r="D781" t="s">
        <v>3137</v>
      </c>
      <c r="E781" t="s">
        <v>3138</v>
      </c>
      <c r="F781" t="s">
        <v>3139</v>
      </c>
      <c r="G781" t="s">
        <v>5</v>
      </c>
      <c r="H781" t="s">
        <v>65</v>
      </c>
      <c r="I781" t="s">
        <v>100</v>
      </c>
      <c r="J781" t="s">
        <v>101</v>
      </c>
      <c r="K781" t="s">
        <v>3</v>
      </c>
      <c r="L781" t="s">
        <v>4</v>
      </c>
      <c r="M781" t="s">
        <v>49</v>
      </c>
      <c r="N781" t="s">
        <v>3140</v>
      </c>
      <c r="O781" s="31" t="s">
        <v>3141</v>
      </c>
      <c r="P781">
        <v>200</v>
      </c>
      <c r="R781">
        <v>6</v>
      </c>
      <c r="S781" s="31">
        <v>432000</v>
      </c>
      <c r="T781" s="39">
        <v>480000</v>
      </c>
      <c r="U781">
        <v>75000</v>
      </c>
      <c r="V781">
        <v>48000</v>
      </c>
      <c r="W781">
        <v>0</v>
      </c>
      <c r="X781" s="39">
        <v>128550</v>
      </c>
      <c r="Y781">
        <v>0</v>
      </c>
      <c r="Z781" s="31">
        <v>357000</v>
      </c>
      <c r="AA781">
        <v>8</v>
      </c>
      <c r="AB781" s="3">
        <f t="shared" si="38"/>
        <v>357000</v>
      </c>
      <c r="AC781" t="str">
        <f>IF(AB781-S781&lt;0,"YES","NO")</f>
        <v>YES</v>
      </c>
      <c r="AD781">
        <f>IF(AC781="NO",0,AB781-S781)</f>
        <v>-75000</v>
      </c>
      <c r="AE781" s="43">
        <v>0.08</v>
      </c>
      <c r="AF781" s="3">
        <f t="shared" si="39"/>
        <v>-69444.444444444438</v>
      </c>
      <c r="AG781" s="45">
        <f t="shared" si="40"/>
        <v>-76388.888888888891</v>
      </c>
      <c r="AH781" s="55"/>
    </row>
    <row r="782" spans="1:34" x14ac:dyDescent="0.25">
      <c r="A782" t="s">
        <v>3142</v>
      </c>
      <c r="B782" t="s">
        <v>3143</v>
      </c>
      <c r="C782" t="s">
        <v>3144</v>
      </c>
      <c r="D782" t="s">
        <v>3145</v>
      </c>
      <c r="E782" t="s">
        <v>3146</v>
      </c>
      <c r="F782" t="s">
        <v>3147</v>
      </c>
      <c r="G782" t="s">
        <v>5</v>
      </c>
      <c r="H782" t="s">
        <v>65</v>
      </c>
      <c r="I782" t="s">
        <v>71</v>
      </c>
      <c r="J782" t="s">
        <v>72</v>
      </c>
      <c r="K782" t="s">
        <v>3</v>
      </c>
      <c r="L782" t="s">
        <v>4</v>
      </c>
      <c r="M782" t="s">
        <v>49</v>
      </c>
      <c r="N782" t="s">
        <v>3148</v>
      </c>
      <c r="O782" s="31" t="s">
        <v>3149</v>
      </c>
      <c r="P782">
        <v>220</v>
      </c>
      <c r="Q782" t="s">
        <v>70</v>
      </c>
      <c r="R782">
        <v>3</v>
      </c>
      <c r="S782" s="31">
        <v>177000</v>
      </c>
      <c r="T782" s="39">
        <v>195000</v>
      </c>
      <c r="U782">
        <v>35000.01</v>
      </c>
      <c r="V782">
        <v>19500</v>
      </c>
      <c r="W782">
        <v>0</v>
      </c>
      <c r="X782" s="39">
        <v>63099.99</v>
      </c>
      <c r="Y782">
        <v>0</v>
      </c>
      <c r="Z782" s="31">
        <v>140499.99</v>
      </c>
      <c r="AA782">
        <v>8</v>
      </c>
      <c r="AB782" s="3">
        <f t="shared" si="38"/>
        <v>140499.99</v>
      </c>
      <c r="AC782" t="str">
        <f>IF(AB782-S782&lt;0,"YES","NO")</f>
        <v>YES</v>
      </c>
      <c r="AD782">
        <f>IF(AC782="NO",0,AB782-S782)</f>
        <v>-36500.010000000009</v>
      </c>
      <c r="AE782" s="43">
        <v>0.08</v>
      </c>
      <c r="AF782" s="3">
        <f t="shared" si="39"/>
        <v>-33796.305555555562</v>
      </c>
      <c r="AG782" s="45">
        <f t="shared" si="40"/>
        <v>-37175.936111111121</v>
      </c>
      <c r="AH782" s="55"/>
    </row>
    <row r="783" spans="1:34" x14ac:dyDescent="0.25">
      <c r="A783" t="s">
        <v>3150</v>
      </c>
      <c r="B783" t="s">
        <v>3151</v>
      </c>
      <c r="C783" t="s">
        <v>3152</v>
      </c>
      <c r="D783" t="s">
        <v>3153</v>
      </c>
      <c r="E783" t="s">
        <v>3154</v>
      </c>
      <c r="F783" t="s">
        <v>3155</v>
      </c>
      <c r="G783" t="s">
        <v>5</v>
      </c>
      <c r="H783" t="s">
        <v>61</v>
      </c>
      <c r="I783" t="s">
        <v>93</v>
      </c>
      <c r="J783" t="s">
        <v>94</v>
      </c>
      <c r="K783" t="s">
        <v>3</v>
      </c>
      <c r="L783" t="s">
        <v>4</v>
      </c>
      <c r="M783" t="s">
        <v>49</v>
      </c>
      <c r="N783" t="s">
        <v>3156</v>
      </c>
      <c r="O783" s="31" t="s">
        <v>3157</v>
      </c>
      <c r="P783">
        <v>20</v>
      </c>
      <c r="Q783" t="s">
        <v>86</v>
      </c>
      <c r="R783">
        <v>1</v>
      </c>
      <c r="S783" s="31">
        <v>0</v>
      </c>
      <c r="T783" s="39">
        <v>0</v>
      </c>
      <c r="U783">
        <v>0</v>
      </c>
      <c r="V783">
        <v>0</v>
      </c>
      <c r="W783">
        <v>0</v>
      </c>
      <c r="X783" s="39">
        <v>0</v>
      </c>
      <c r="Y783">
        <v>0</v>
      </c>
      <c r="Z783" s="31">
        <v>0</v>
      </c>
      <c r="AA783">
        <v>8</v>
      </c>
      <c r="AB783" s="3">
        <f t="shared" si="38"/>
        <v>0</v>
      </c>
      <c r="AC783" t="str">
        <f>IF(AB783-S783&lt;0,"YES","NO")</f>
        <v>NO</v>
      </c>
      <c r="AD783">
        <f>IF(AC783="NO",0,AB783-S783)</f>
        <v>0</v>
      </c>
      <c r="AE783" s="43">
        <v>0.08</v>
      </c>
      <c r="AF783" s="3">
        <f t="shared" si="39"/>
        <v>0</v>
      </c>
      <c r="AG783" s="45">
        <f t="shared" si="40"/>
        <v>0</v>
      </c>
      <c r="AH783" s="55"/>
    </row>
    <row r="784" spans="1:34" x14ac:dyDescent="0.25">
      <c r="A784" t="s">
        <v>3150</v>
      </c>
      <c r="B784" t="s">
        <v>3151</v>
      </c>
      <c r="C784" t="s">
        <v>3152</v>
      </c>
      <c r="D784" t="s">
        <v>3153</v>
      </c>
      <c r="E784" t="s">
        <v>3154</v>
      </c>
      <c r="F784" t="s">
        <v>3155</v>
      </c>
      <c r="G784" t="s">
        <v>5</v>
      </c>
      <c r="H784" t="s">
        <v>65</v>
      </c>
      <c r="I784" t="s">
        <v>95</v>
      </c>
      <c r="J784" t="s">
        <v>96</v>
      </c>
      <c r="K784" t="s">
        <v>3</v>
      </c>
      <c r="L784" t="s">
        <v>4</v>
      </c>
      <c r="M784" t="s">
        <v>49</v>
      </c>
      <c r="N784" t="s">
        <v>3156</v>
      </c>
      <c r="O784" s="31" t="s">
        <v>3157</v>
      </c>
      <c r="P784">
        <v>200</v>
      </c>
      <c r="R784">
        <v>6</v>
      </c>
      <c r="S784" s="31">
        <v>432000</v>
      </c>
      <c r="T784" s="39">
        <v>480000</v>
      </c>
      <c r="U784">
        <v>75000</v>
      </c>
      <c r="V784">
        <v>40000.019999999997</v>
      </c>
      <c r="W784">
        <v>0</v>
      </c>
      <c r="X784" s="39">
        <v>133399.98000000001</v>
      </c>
      <c r="Y784">
        <v>0</v>
      </c>
      <c r="Z784" s="31">
        <v>364999.98</v>
      </c>
      <c r="AA784">
        <v>8</v>
      </c>
      <c r="AB784" s="3">
        <f t="shared" si="38"/>
        <v>364999.98</v>
      </c>
      <c r="AC784" t="str">
        <f>IF(AB784-S784&lt;0,"YES","NO")</f>
        <v>YES</v>
      </c>
      <c r="AD784">
        <f>IF(AC784="NO",0,AB784-S784)</f>
        <v>-67000.020000000019</v>
      </c>
      <c r="AE784" s="43">
        <v>0.08</v>
      </c>
      <c r="AF784" s="3">
        <f t="shared" si="39"/>
        <v>-62037.055555555569</v>
      </c>
      <c r="AG784" s="45">
        <f t="shared" si="40"/>
        <v>-68240.761111111133</v>
      </c>
      <c r="AH784" s="55"/>
    </row>
    <row r="785" spans="1:34" x14ac:dyDescent="0.25">
      <c r="A785" t="s">
        <v>3158</v>
      </c>
      <c r="B785" t="s">
        <v>3159</v>
      </c>
      <c r="C785" t="s">
        <v>3160</v>
      </c>
      <c r="D785" t="s">
        <v>3161</v>
      </c>
      <c r="E785" t="s">
        <v>3162</v>
      </c>
      <c r="F785" t="s">
        <v>3163</v>
      </c>
      <c r="G785" t="s">
        <v>5</v>
      </c>
      <c r="H785" t="s">
        <v>65</v>
      </c>
      <c r="I785" t="s">
        <v>87</v>
      </c>
      <c r="J785" t="s">
        <v>88</v>
      </c>
      <c r="K785" t="s">
        <v>3</v>
      </c>
      <c r="L785" t="s">
        <v>4</v>
      </c>
      <c r="M785" t="s">
        <v>49</v>
      </c>
      <c r="N785" t="s">
        <v>3164</v>
      </c>
      <c r="O785" s="31" t="s">
        <v>3165</v>
      </c>
      <c r="P785">
        <v>220</v>
      </c>
      <c r="Q785" t="s">
        <v>89</v>
      </c>
      <c r="R785">
        <v>3</v>
      </c>
      <c r="S785" s="31">
        <v>177000</v>
      </c>
      <c r="T785" s="39">
        <v>210000</v>
      </c>
      <c r="U785">
        <v>35000.01</v>
      </c>
      <c r="V785">
        <v>18000</v>
      </c>
      <c r="W785">
        <v>0</v>
      </c>
      <c r="X785" s="39">
        <v>53840.01</v>
      </c>
      <c r="Y785">
        <v>0</v>
      </c>
      <c r="Z785" s="31">
        <v>156999.99</v>
      </c>
      <c r="AA785">
        <v>8</v>
      </c>
      <c r="AB785" s="3">
        <f t="shared" si="38"/>
        <v>156999.99</v>
      </c>
      <c r="AC785" t="str">
        <f>IF(AB785-S785&lt;0,"YES","NO")</f>
        <v>YES</v>
      </c>
      <c r="AD785">
        <f>IF(AC785="NO",0,AB785-S785)</f>
        <v>-20000.010000000009</v>
      </c>
      <c r="AE785" s="43">
        <v>0.08</v>
      </c>
      <c r="AF785" s="3">
        <f t="shared" si="39"/>
        <v>-18518.527777777785</v>
      </c>
      <c r="AG785" s="45">
        <f t="shared" si="40"/>
        <v>-20370.380555555566</v>
      </c>
      <c r="AH785" s="55"/>
    </row>
    <row r="786" spans="1:34" x14ac:dyDescent="0.25">
      <c r="A786" t="s">
        <v>3166</v>
      </c>
      <c r="B786" t="s">
        <v>3167</v>
      </c>
      <c r="C786" t="s">
        <v>3168</v>
      </c>
      <c r="D786" t="s">
        <v>3169</v>
      </c>
      <c r="E786" t="s">
        <v>3170</v>
      </c>
      <c r="F786" t="s">
        <v>3171</v>
      </c>
      <c r="G786" t="s">
        <v>5</v>
      </c>
      <c r="H786" t="s">
        <v>65</v>
      </c>
      <c r="I786" t="s">
        <v>106</v>
      </c>
      <c r="J786" t="s">
        <v>107</v>
      </c>
      <c r="K786" t="s">
        <v>3</v>
      </c>
      <c r="L786" t="s">
        <v>4</v>
      </c>
      <c r="M786" t="s">
        <v>49</v>
      </c>
      <c r="N786" t="s">
        <v>3172</v>
      </c>
      <c r="O786" s="31" t="s">
        <v>3173</v>
      </c>
      <c r="P786">
        <v>20</v>
      </c>
      <c r="Q786" t="s">
        <v>108</v>
      </c>
      <c r="R786">
        <v>1</v>
      </c>
      <c r="S786" s="31">
        <v>0</v>
      </c>
      <c r="T786" s="39">
        <v>0</v>
      </c>
      <c r="U786">
        <v>0</v>
      </c>
      <c r="V786">
        <v>0</v>
      </c>
      <c r="W786">
        <v>0</v>
      </c>
      <c r="X786" s="39">
        <v>0</v>
      </c>
      <c r="Y786">
        <v>0</v>
      </c>
      <c r="Z786" s="31">
        <v>0</v>
      </c>
      <c r="AA786">
        <v>8</v>
      </c>
      <c r="AB786" s="3">
        <f t="shared" si="38"/>
        <v>0</v>
      </c>
      <c r="AC786" t="str">
        <f>IF(AB786-S786&lt;0,"YES","NO")</f>
        <v>NO</v>
      </c>
      <c r="AD786">
        <f>IF(AC786="NO",0,AB786-S786)</f>
        <v>0</v>
      </c>
      <c r="AE786" s="43">
        <v>0.08</v>
      </c>
      <c r="AF786" s="3">
        <f t="shared" si="39"/>
        <v>0</v>
      </c>
      <c r="AG786" s="45">
        <f t="shared" si="40"/>
        <v>0</v>
      </c>
      <c r="AH786" s="55"/>
    </row>
    <row r="787" spans="1:34" x14ac:dyDescent="0.25">
      <c r="A787" t="s">
        <v>3166</v>
      </c>
      <c r="B787" t="s">
        <v>3167</v>
      </c>
      <c r="C787" t="s">
        <v>3168</v>
      </c>
      <c r="D787" t="s">
        <v>3169</v>
      </c>
      <c r="E787" t="s">
        <v>3170</v>
      </c>
      <c r="F787" t="s">
        <v>3171</v>
      </c>
      <c r="G787" t="s">
        <v>5</v>
      </c>
      <c r="H787" t="s">
        <v>61</v>
      </c>
      <c r="I787" t="s">
        <v>84</v>
      </c>
      <c r="J787" t="s">
        <v>85</v>
      </c>
      <c r="K787" t="s">
        <v>3</v>
      </c>
      <c r="L787" t="s">
        <v>4</v>
      </c>
      <c r="M787" t="s">
        <v>49</v>
      </c>
      <c r="N787" t="s">
        <v>3172</v>
      </c>
      <c r="O787" s="31" t="s">
        <v>3173</v>
      </c>
      <c r="P787">
        <v>100</v>
      </c>
      <c r="Q787" t="s">
        <v>86</v>
      </c>
      <c r="R787">
        <v>1</v>
      </c>
      <c r="S787" s="31">
        <v>0</v>
      </c>
      <c r="T787" s="39">
        <v>0</v>
      </c>
      <c r="U787">
        <v>0</v>
      </c>
      <c r="V787">
        <v>0</v>
      </c>
      <c r="W787">
        <v>0</v>
      </c>
      <c r="X787" s="39">
        <v>0</v>
      </c>
      <c r="Y787">
        <v>0</v>
      </c>
      <c r="Z787" s="31">
        <v>0</v>
      </c>
      <c r="AA787">
        <v>8</v>
      </c>
      <c r="AB787" s="3">
        <f t="shared" si="38"/>
        <v>0</v>
      </c>
      <c r="AC787" t="str">
        <f>IF(AB787-S787&lt;0,"YES","NO")</f>
        <v>NO</v>
      </c>
      <c r="AD787">
        <f>IF(AC787="NO",0,AB787-S787)</f>
        <v>0</v>
      </c>
      <c r="AE787" s="43">
        <v>0.08</v>
      </c>
      <c r="AF787" s="3">
        <f t="shared" si="39"/>
        <v>0</v>
      </c>
      <c r="AG787" s="45">
        <f t="shared" si="40"/>
        <v>0</v>
      </c>
      <c r="AH787" s="55"/>
    </row>
    <row r="788" spans="1:34" x14ac:dyDescent="0.25">
      <c r="A788" t="s">
        <v>3166</v>
      </c>
      <c r="B788" t="s">
        <v>3167</v>
      </c>
      <c r="C788" t="s">
        <v>3168</v>
      </c>
      <c r="D788" t="s">
        <v>3169</v>
      </c>
      <c r="E788" t="s">
        <v>3170</v>
      </c>
      <c r="F788" t="s">
        <v>3171</v>
      </c>
      <c r="G788" t="s">
        <v>5</v>
      </c>
      <c r="H788" t="s">
        <v>65</v>
      </c>
      <c r="I788" t="s">
        <v>66</v>
      </c>
      <c r="J788" t="s">
        <v>67</v>
      </c>
      <c r="K788" t="s">
        <v>3</v>
      </c>
      <c r="L788" t="s">
        <v>4</v>
      </c>
      <c r="M788" t="s">
        <v>49</v>
      </c>
      <c r="N788" t="s">
        <v>3172</v>
      </c>
      <c r="O788" s="31" t="s">
        <v>3173</v>
      </c>
      <c r="P788">
        <v>220</v>
      </c>
      <c r="R788">
        <v>2</v>
      </c>
      <c r="S788" s="31">
        <v>150000</v>
      </c>
      <c r="T788" s="39">
        <v>160000</v>
      </c>
      <c r="U788">
        <v>20847.66</v>
      </c>
      <c r="V788">
        <v>8333.34</v>
      </c>
      <c r="W788">
        <v>0</v>
      </c>
      <c r="X788" s="39">
        <v>44395.32</v>
      </c>
      <c r="Y788">
        <v>0</v>
      </c>
      <c r="Z788" s="31">
        <v>130819</v>
      </c>
      <c r="AA788">
        <v>8</v>
      </c>
      <c r="AB788" s="3">
        <f t="shared" si="38"/>
        <v>130819</v>
      </c>
      <c r="AC788" t="str">
        <f>IF(AB788-S788&lt;0,"YES","NO")</f>
        <v>YES</v>
      </c>
      <c r="AD788">
        <f>IF(AC788="NO",0,AB788-S788)</f>
        <v>-19181</v>
      </c>
      <c r="AE788" s="43">
        <v>0.08</v>
      </c>
      <c r="AF788" s="3">
        <f t="shared" si="39"/>
        <v>-17760.185185185182</v>
      </c>
      <c r="AG788" s="45">
        <f t="shared" si="40"/>
        <v>-19536.203703703701</v>
      </c>
      <c r="AH788" s="55"/>
    </row>
    <row r="789" spans="1:34" x14ac:dyDescent="0.25">
      <c r="A789" t="s">
        <v>3166</v>
      </c>
      <c r="B789" t="s">
        <v>3167</v>
      </c>
      <c r="C789" t="s">
        <v>3168</v>
      </c>
      <c r="D789" t="s">
        <v>3169</v>
      </c>
      <c r="E789" t="s">
        <v>3170</v>
      </c>
      <c r="F789" t="s">
        <v>3171</v>
      </c>
      <c r="G789" t="s">
        <v>5</v>
      </c>
      <c r="H789" t="s">
        <v>65</v>
      </c>
      <c r="I789" t="s">
        <v>78</v>
      </c>
      <c r="J789" t="s">
        <v>79</v>
      </c>
      <c r="K789" t="s">
        <v>3</v>
      </c>
      <c r="L789" t="s">
        <v>4</v>
      </c>
      <c r="M789" t="s">
        <v>49</v>
      </c>
      <c r="N789" t="s">
        <v>3172</v>
      </c>
      <c r="O789" s="31" t="s">
        <v>3173</v>
      </c>
      <c r="P789">
        <v>220</v>
      </c>
      <c r="R789">
        <v>2</v>
      </c>
      <c r="S789" s="31">
        <v>150000</v>
      </c>
      <c r="T789" s="39">
        <v>160000</v>
      </c>
      <c r="U789">
        <v>20847.66</v>
      </c>
      <c r="V789">
        <v>8333.34</v>
      </c>
      <c r="W789">
        <v>0</v>
      </c>
      <c r="X789" s="39">
        <v>44395.32</v>
      </c>
      <c r="Y789">
        <v>0</v>
      </c>
      <c r="Z789" s="31">
        <v>130819</v>
      </c>
      <c r="AA789">
        <v>8</v>
      </c>
      <c r="AB789" s="3">
        <f t="shared" si="38"/>
        <v>130819</v>
      </c>
      <c r="AC789" t="str">
        <f>IF(AB789-S789&lt;0,"YES","NO")</f>
        <v>YES</v>
      </c>
      <c r="AD789">
        <f>IF(AC789="NO",0,AB789-S789)</f>
        <v>-19181</v>
      </c>
      <c r="AE789" s="43">
        <v>0.08</v>
      </c>
      <c r="AF789" s="3">
        <f t="shared" si="39"/>
        <v>-17760.185185185182</v>
      </c>
      <c r="AG789" s="45">
        <f t="shared" si="40"/>
        <v>-19536.203703703701</v>
      </c>
      <c r="AH789" s="55"/>
    </row>
    <row r="790" spans="1:34" x14ac:dyDescent="0.25">
      <c r="A790" t="s">
        <v>3166</v>
      </c>
      <c r="B790" t="s">
        <v>3167</v>
      </c>
      <c r="C790" t="s">
        <v>3168</v>
      </c>
      <c r="D790" t="s">
        <v>3169</v>
      </c>
      <c r="E790" t="s">
        <v>3170</v>
      </c>
      <c r="F790" t="s">
        <v>3171</v>
      </c>
      <c r="G790" t="s">
        <v>5</v>
      </c>
      <c r="H790" t="s">
        <v>65</v>
      </c>
      <c r="I790" t="s">
        <v>80</v>
      </c>
      <c r="J790" t="s">
        <v>81</v>
      </c>
      <c r="K790" t="s">
        <v>3</v>
      </c>
      <c r="L790" t="s">
        <v>4</v>
      </c>
      <c r="M790" t="s">
        <v>49</v>
      </c>
      <c r="N790" t="s">
        <v>3172</v>
      </c>
      <c r="O790" s="31" t="s">
        <v>3173</v>
      </c>
      <c r="P790">
        <v>220</v>
      </c>
      <c r="R790">
        <v>2</v>
      </c>
      <c r="S790" s="31">
        <v>150000</v>
      </c>
      <c r="T790" s="39">
        <v>160000</v>
      </c>
      <c r="U790">
        <v>20847.66</v>
      </c>
      <c r="V790">
        <v>8333.34</v>
      </c>
      <c r="W790">
        <v>0</v>
      </c>
      <c r="X790" s="39">
        <v>44395.32</v>
      </c>
      <c r="Y790">
        <v>0</v>
      </c>
      <c r="Z790" s="31">
        <v>130819</v>
      </c>
      <c r="AA790">
        <v>8</v>
      </c>
      <c r="AB790" s="3">
        <f t="shared" si="38"/>
        <v>130819</v>
      </c>
      <c r="AC790" t="str">
        <f>IF(AB790-S790&lt;0,"YES","NO")</f>
        <v>YES</v>
      </c>
      <c r="AD790">
        <f>IF(AC790="NO",0,AB790-S790)</f>
        <v>-19181</v>
      </c>
      <c r="AE790" s="43">
        <v>0.08</v>
      </c>
      <c r="AF790" s="3">
        <f t="shared" si="39"/>
        <v>-17760.185185185182</v>
      </c>
      <c r="AG790" s="45">
        <f t="shared" si="40"/>
        <v>-19536.203703703701</v>
      </c>
      <c r="AH790" s="55"/>
    </row>
    <row r="791" spans="1:34" x14ac:dyDescent="0.25">
      <c r="A791" t="s">
        <v>3166</v>
      </c>
      <c r="B791" t="s">
        <v>3167</v>
      </c>
      <c r="C791" t="s">
        <v>3168</v>
      </c>
      <c r="D791" t="s">
        <v>3169</v>
      </c>
      <c r="E791" t="s">
        <v>3170</v>
      </c>
      <c r="F791" t="s">
        <v>3171</v>
      </c>
      <c r="G791" t="s">
        <v>5</v>
      </c>
      <c r="H791" t="s">
        <v>65</v>
      </c>
      <c r="I791" t="s">
        <v>87</v>
      </c>
      <c r="J791" t="s">
        <v>88</v>
      </c>
      <c r="K791" t="s">
        <v>3</v>
      </c>
      <c r="L791" t="s">
        <v>4</v>
      </c>
      <c r="M791" t="s">
        <v>49</v>
      </c>
      <c r="N791" t="s">
        <v>3172</v>
      </c>
      <c r="O791" s="31" t="s">
        <v>3173</v>
      </c>
      <c r="P791">
        <v>220</v>
      </c>
      <c r="Q791" t="s">
        <v>89</v>
      </c>
      <c r="R791">
        <v>1</v>
      </c>
      <c r="S791" s="31">
        <v>59000</v>
      </c>
      <c r="T791" s="39">
        <v>70000</v>
      </c>
      <c r="U791">
        <v>8728.5</v>
      </c>
      <c r="V791">
        <v>6500</v>
      </c>
      <c r="W791">
        <v>0</v>
      </c>
      <c r="X791" s="39">
        <v>18587</v>
      </c>
      <c r="Y791">
        <v>0</v>
      </c>
      <c r="Z791" s="31">
        <v>54771.5</v>
      </c>
      <c r="AA791">
        <v>8</v>
      </c>
      <c r="AB791" s="3">
        <f t="shared" si="38"/>
        <v>54771.5</v>
      </c>
      <c r="AC791" t="str">
        <f>IF(AB791-S791&lt;0,"YES","NO")</f>
        <v>YES</v>
      </c>
      <c r="AD791">
        <f>IF(AC791="NO",0,AB791-S791)</f>
        <v>-4228.5</v>
      </c>
      <c r="AE791" s="43">
        <v>0.08</v>
      </c>
      <c r="AF791" s="3">
        <f t="shared" si="39"/>
        <v>-3915.2777777777774</v>
      </c>
      <c r="AG791" s="45">
        <f t="shared" si="40"/>
        <v>-4306.8055555555557</v>
      </c>
      <c r="AH791" s="55"/>
    </row>
    <row r="792" spans="1:34" x14ac:dyDescent="0.25">
      <c r="A792" t="s">
        <v>3166</v>
      </c>
      <c r="B792" t="s">
        <v>3167</v>
      </c>
      <c r="C792" t="s">
        <v>3168</v>
      </c>
      <c r="D792" t="s">
        <v>3169</v>
      </c>
      <c r="E792" t="s">
        <v>3170</v>
      </c>
      <c r="F792" t="s">
        <v>3171</v>
      </c>
      <c r="G792" t="s">
        <v>5</v>
      </c>
      <c r="H792" t="s">
        <v>65</v>
      </c>
      <c r="I792" t="s">
        <v>90</v>
      </c>
      <c r="J792" t="s">
        <v>91</v>
      </c>
      <c r="K792" t="s">
        <v>3</v>
      </c>
      <c r="L792" t="s">
        <v>4</v>
      </c>
      <c r="M792" t="s">
        <v>49</v>
      </c>
      <c r="N792" t="s">
        <v>3172</v>
      </c>
      <c r="O792" s="31" t="s">
        <v>3173</v>
      </c>
      <c r="P792">
        <v>220</v>
      </c>
      <c r="Q792" t="s">
        <v>92</v>
      </c>
      <c r="R792">
        <v>1</v>
      </c>
      <c r="S792" s="31">
        <v>59000</v>
      </c>
      <c r="T792" s="39">
        <v>70000</v>
      </c>
      <c r="U792">
        <v>8728.5</v>
      </c>
      <c r="V792">
        <v>6500</v>
      </c>
      <c r="W792">
        <v>0</v>
      </c>
      <c r="X792" s="39">
        <v>18587</v>
      </c>
      <c r="Y792">
        <v>0</v>
      </c>
      <c r="Z792" s="31">
        <v>54771.5</v>
      </c>
      <c r="AA792">
        <v>8</v>
      </c>
      <c r="AB792" s="3">
        <f t="shared" si="38"/>
        <v>54771.5</v>
      </c>
      <c r="AC792" t="str">
        <f>IF(AB792-S792&lt;0,"YES","NO")</f>
        <v>YES</v>
      </c>
      <c r="AD792">
        <f>IF(AC792="NO",0,AB792-S792)</f>
        <v>-4228.5</v>
      </c>
      <c r="AE792" s="43">
        <v>0.08</v>
      </c>
      <c r="AF792" s="3">
        <f t="shared" si="39"/>
        <v>-3915.2777777777774</v>
      </c>
      <c r="AG792" s="45">
        <f t="shared" si="40"/>
        <v>-4306.8055555555557</v>
      </c>
      <c r="AH792" s="55"/>
    </row>
    <row r="793" spans="1:34" x14ac:dyDescent="0.25">
      <c r="A793" t="s">
        <v>3174</v>
      </c>
      <c r="B793" t="s">
        <v>3175</v>
      </c>
      <c r="C793" t="s">
        <v>3176</v>
      </c>
      <c r="D793" t="s">
        <v>3177</v>
      </c>
      <c r="E793" t="s">
        <v>3178</v>
      </c>
      <c r="F793" t="s">
        <v>3179</v>
      </c>
      <c r="G793" t="s">
        <v>5</v>
      </c>
      <c r="H793" t="s">
        <v>65</v>
      </c>
      <c r="I793" t="s">
        <v>82</v>
      </c>
      <c r="J793" t="s">
        <v>83</v>
      </c>
      <c r="K793" t="s">
        <v>3</v>
      </c>
      <c r="L793" t="s">
        <v>4</v>
      </c>
      <c r="M793" t="s">
        <v>49</v>
      </c>
      <c r="N793" t="s">
        <v>3180</v>
      </c>
      <c r="O793" s="31" t="s">
        <v>3181</v>
      </c>
      <c r="P793">
        <v>220</v>
      </c>
      <c r="R793">
        <v>1</v>
      </c>
      <c r="S793" s="31">
        <v>75000</v>
      </c>
      <c r="T793" s="39">
        <v>0</v>
      </c>
      <c r="U793">
        <v>0</v>
      </c>
      <c r="V793">
        <v>0</v>
      </c>
      <c r="W793">
        <v>0</v>
      </c>
      <c r="X793" s="39">
        <v>0</v>
      </c>
      <c r="Y793">
        <v>0</v>
      </c>
      <c r="Z793" s="31">
        <v>0</v>
      </c>
      <c r="AA793">
        <v>8</v>
      </c>
      <c r="AB793" s="3">
        <f t="shared" si="38"/>
        <v>0</v>
      </c>
      <c r="AC793" t="str">
        <f>IF(AB793-S793&lt;0,"YES","NO")</f>
        <v>YES</v>
      </c>
      <c r="AD793">
        <f>IF(AC793="NO",0,AB793-S793)</f>
        <v>-75000</v>
      </c>
      <c r="AE793" s="43">
        <v>0.08</v>
      </c>
      <c r="AF793" s="3">
        <f>AD793/(1+AE793)</f>
        <v>-69444.444444444438</v>
      </c>
      <c r="AG793" s="45">
        <f t="shared" si="40"/>
        <v>-76388.888888888891</v>
      </c>
      <c r="AH793" s="55"/>
    </row>
    <row r="794" spans="1:34" x14ac:dyDescent="0.25">
      <c r="A794" t="s">
        <v>3174</v>
      </c>
      <c r="B794" t="s">
        <v>3175</v>
      </c>
      <c r="C794" t="s">
        <v>3176</v>
      </c>
      <c r="D794" t="s">
        <v>3177</v>
      </c>
      <c r="E794" t="s">
        <v>3178</v>
      </c>
      <c r="F794" t="s">
        <v>3179</v>
      </c>
      <c r="G794" t="s">
        <v>5</v>
      </c>
      <c r="H794" t="s">
        <v>65</v>
      </c>
      <c r="I794" t="s">
        <v>80</v>
      </c>
      <c r="J794" t="s">
        <v>81</v>
      </c>
      <c r="K794" t="s">
        <v>3</v>
      </c>
      <c r="L794" t="s">
        <v>4</v>
      </c>
      <c r="M794" t="s">
        <v>49</v>
      </c>
      <c r="N794" t="s">
        <v>3180</v>
      </c>
      <c r="O794" s="31" t="s">
        <v>3181</v>
      </c>
      <c r="P794">
        <v>220</v>
      </c>
      <c r="R794">
        <v>1</v>
      </c>
      <c r="S794" s="31">
        <v>75000</v>
      </c>
      <c r="T794" s="39">
        <v>240000</v>
      </c>
      <c r="U794">
        <v>40994</v>
      </c>
      <c r="V794">
        <v>13000</v>
      </c>
      <c r="W794">
        <v>0</v>
      </c>
      <c r="X794" s="39">
        <v>70755</v>
      </c>
      <c r="Y794">
        <v>0</v>
      </c>
      <c r="Z794" s="31">
        <v>186006</v>
      </c>
      <c r="AA794">
        <v>8</v>
      </c>
      <c r="AB794" s="3">
        <f t="shared" si="38"/>
        <v>186006</v>
      </c>
      <c r="AC794" t="str">
        <f>IF(AB794-S794&lt;0,"YES","NO")</f>
        <v>NO</v>
      </c>
      <c r="AD794">
        <f>IF(AC794="NO",0,AB794-S794)</f>
        <v>0</v>
      </c>
      <c r="AE794" s="43">
        <v>0.08</v>
      </c>
      <c r="AF794" s="3">
        <f t="shared" si="39"/>
        <v>0</v>
      </c>
      <c r="AG794" s="45">
        <f t="shared" si="40"/>
        <v>0</v>
      </c>
      <c r="AH794" s="55"/>
    </row>
    <row r="795" spans="1:34" x14ac:dyDescent="0.25">
      <c r="A795" t="s">
        <v>3174</v>
      </c>
      <c r="B795" t="s">
        <v>3175</v>
      </c>
      <c r="C795" t="s">
        <v>3176</v>
      </c>
      <c r="D795" t="s">
        <v>3177</v>
      </c>
      <c r="E795" t="s">
        <v>3178</v>
      </c>
      <c r="F795" t="s">
        <v>3179</v>
      </c>
      <c r="G795" t="s">
        <v>5</v>
      </c>
      <c r="H795" t="s">
        <v>65</v>
      </c>
      <c r="I795" t="s">
        <v>66</v>
      </c>
      <c r="J795" t="s">
        <v>67</v>
      </c>
      <c r="K795" t="s">
        <v>3</v>
      </c>
      <c r="L795" t="s">
        <v>4</v>
      </c>
      <c r="M795" t="s">
        <v>49</v>
      </c>
      <c r="N795" t="s">
        <v>3180</v>
      </c>
      <c r="O795" s="31" t="s">
        <v>3181</v>
      </c>
      <c r="P795">
        <v>220</v>
      </c>
      <c r="R795">
        <v>4</v>
      </c>
      <c r="S795" s="31">
        <v>300000</v>
      </c>
      <c r="T795" s="39">
        <v>960000</v>
      </c>
      <c r="U795">
        <v>39006</v>
      </c>
      <c r="V795">
        <v>744000</v>
      </c>
      <c r="W795">
        <v>0</v>
      </c>
      <c r="X795" s="39">
        <v>67325</v>
      </c>
      <c r="Y795">
        <v>0</v>
      </c>
      <c r="Z795" s="31">
        <v>176994</v>
      </c>
      <c r="AA795">
        <v>8</v>
      </c>
      <c r="AB795" s="3">
        <f t="shared" si="38"/>
        <v>176994</v>
      </c>
      <c r="AC795" t="str">
        <f>IF(AB795-S795&lt;0,"YES","NO")</f>
        <v>YES</v>
      </c>
      <c r="AD795">
        <f>IF(AC795="NO",0,AB795-S795)</f>
        <v>-123006</v>
      </c>
      <c r="AE795" s="43">
        <v>0.08</v>
      </c>
      <c r="AF795" s="3">
        <f t="shared" si="39"/>
        <v>-113894.44444444444</v>
      </c>
      <c r="AG795" s="45">
        <f t="shared" si="40"/>
        <v>-125283.88888888889</v>
      </c>
      <c r="AH795" s="55"/>
    </row>
    <row r="796" spans="1:34" x14ac:dyDescent="0.25">
      <c r="A796" t="s">
        <v>3182</v>
      </c>
      <c r="B796" t="s">
        <v>3183</v>
      </c>
      <c r="C796" t="s">
        <v>3184</v>
      </c>
      <c r="D796" t="s">
        <v>3185</v>
      </c>
      <c r="E796" t="s">
        <v>3186</v>
      </c>
      <c r="F796" t="s">
        <v>3187</v>
      </c>
      <c r="G796" t="s">
        <v>5</v>
      </c>
      <c r="H796" t="s">
        <v>65</v>
      </c>
      <c r="I796" t="s">
        <v>82</v>
      </c>
      <c r="J796" t="s">
        <v>83</v>
      </c>
      <c r="K796" t="s">
        <v>3</v>
      </c>
      <c r="L796" t="s">
        <v>4</v>
      </c>
      <c r="M796" t="s">
        <v>49</v>
      </c>
      <c r="N796" t="s">
        <v>3188</v>
      </c>
      <c r="O796" s="31" t="s">
        <v>3189</v>
      </c>
      <c r="P796">
        <v>220</v>
      </c>
      <c r="R796">
        <v>2</v>
      </c>
      <c r="S796" s="31">
        <v>150000</v>
      </c>
      <c r="T796" s="39">
        <v>160000</v>
      </c>
      <c r="U796">
        <v>20000</v>
      </c>
      <c r="V796">
        <v>10000</v>
      </c>
      <c r="W796">
        <v>0</v>
      </c>
      <c r="X796" s="39">
        <v>46000</v>
      </c>
      <c r="Y796">
        <v>0</v>
      </c>
      <c r="Z796" s="31">
        <v>130000</v>
      </c>
      <c r="AA796">
        <v>8</v>
      </c>
      <c r="AB796" s="3">
        <f t="shared" si="38"/>
        <v>130000</v>
      </c>
      <c r="AC796" t="str">
        <f>IF(AB796-S796&lt;0,"YES","NO")</f>
        <v>YES</v>
      </c>
      <c r="AD796">
        <f>IF(AC796="NO",0,AB796-S796)</f>
        <v>-20000</v>
      </c>
      <c r="AE796" s="43">
        <v>0.08</v>
      </c>
      <c r="AF796" s="3">
        <f t="shared" si="39"/>
        <v>-18518.518518518518</v>
      </c>
      <c r="AG796" s="45">
        <f t="shared" si="40"/>
        <v>-20370.370370370372</v>
      </c>
      <c r="AH796" s="55"/>
    </row>
    <row r="797" spans="1:34" x14ac:dyDescent="0.25">
      <c r="A797" t="s">
        <v>3190</v>
      </c>
      <c r="B797" t="s">
        <v>3191</v>
      </c>
      <c r="C797" t="s">
        <v>3192</v>
      </c>
      <c r="D797" t="s">
        <v>3193</v>
      </c>
      <c r="E797" t="s">
        <v>3194</v>
      </c>
      <c r="F797" t="s">
        <v>3195</v>
      </c>
      <c r="G797" t="s">
        <v>5</v>
      </c>
      <c r="H797" t="s">
        <v>65</v>
      </c>
      <c r="I797" t="s">
        <v>66</v>
      </c>
      <c r="J797" t="s">
        <v>67</v>
      </c>
      <c r="K797" t="s">
        <v>3</v>
      </c>
      <c r="L797" t="s">
        <v>4</v>
      </c>
      <c r="M797" t="s">
        <v>49</v>
      </c>
      <c r="N797" t="s">
        <v>3196</v>
      </c>
      <c r="O797" s="31" t="s">
        <v>3197</v>
      </c>
      <c r="P797">
        <v>220</v>
      </c>
      <c r="R797">
        <v>2</v>
      </c>
      <c r="S797" s="31">
        <v>150000</v>
      </c>
      <c r="T797" s="39">
        <v>160000</v>
      </c>
      <c r="U797">
        <v>20000</v>
      </c>
      <c r="V797">
        <v>16000</v>
      </c>
      <c r="W797">
        <v>0</v>
      </c>
      <c r="X797" s="39">
        <v>39840</v>
      </c>
      <c r="Y797">
        <v>0</v>
      </c>
      <c r="Z797" s="31">
        <v>124000</v>
      </c>
      <c r="AA797">
        <v>8</v>
      </c>
      <c r="AB797" s="3">
        <f t="shared" si="38"/>
        <v>124000</v>
      </c>
      <c r="AC797" t="str">
        <f>IF(AB797-S797&lt;0,"YES","NO")</f>
        <v>YES</v>
      </c>
      <c r="AD797">
        <f>IF(AC797="NO",0,AB797-S797)</f>
        <v>-26000</v>
      </c>
      <c r="AE797" s="43">
        <v>0.08</v>
      </c>
      <c r="AF797" s="3">
        <f t="shared" si="39"/>
        <v>-24074.074074074073</v>
      </c>
      <c r="AG797" s="45">
        <f t="shared" si="40"/>
        <v>-26481.481481481482</v>
      </c>
      <c r="AH797" s="55"/>
    </row>
    <row r="798" spans="1:34" x14ac:dyDescent="0.25">
      <c r="A798" t="s">
        <v>3198</v>
      </c>
      <c r="B798" t="s">
        <v>3199</v>
      </c>
      <c r="C798" t="s">
        <v>3200</v>
      </c>
      <c r="D798" t="s">
        <v>3201</v>
      </c>
      <c r="E798" t="s">
        <v>3202</v>
      </c>
      <c r="F798" t="s">
        <v>3203</v>
      </c>
      <c r="G798" t="s">
        <v>5</v>
      </c>
      <c r="H798" t="s">
        <v>65</v>
      </c>
      <c r="I798" t="s">
        <v>78</v>
      </c>
      <c r="J798" t="s">
        <v>79</v>
      </c>
      <c r="K798" t="s">
        <v>3</v>
      </c>
      <c r="L798" t="s">
        <v>4</v>
      </c>
      <c r="M798" t="s">
        <v>49</v>
      </c>
      <c r="N798" t="s">
        <v>3204</v>
      </c>
      <c r="O798" s="31" t="s">
        <v>3205</v>
      </c>
      <c r="P798">
        <v>220</v>
      </c>
      <c r="R798">
        <v>3</v>
      </c>
      <c r="S798" s="31">
        <v>225000</v>
      </c>
      <c r="T798" s="39">
        <v>240000</v>
      </c>
      <c r="U798">
        <v>35000.01</v>
      </c>
      <c r="V798">
        <v>12999.99</v>
      </c>
      <c r="W798">
        <v>0</v>
      </c>
      <c r="X798" s="39">
        <v>63800.01</v>
      </c>
      <c r="Y798">
        <v>0</v>
      </c>
      <c r="Z798" s="31">
        <v>192000</v>
      </c>
      <c r="AA798">
        <v>8</v>
      </c>
      <c r="AB798" s="3">
        <f t="shared" si="38"/>
        <v>192000</v>
      </c>
      <c r="AC798" t="str">
        <f>IF(AB798-S798&lt;0,"YES","NO")</f>
        <v>YES</v>
      </c>
      <c r="AD798">
        <f>IF(AC798="NO",0,AB798-S798)</f>
        <v>-33000</v>
      </c>
      <c r="AE798" s="43">
        <v>0.08</v>
      </c>
      <c r="AF798" s="3">
        <f t="shared" si="39"/>
        <v>-30555.555555555555</v>
      </c>
      <c r="AG798" s="45">
        <f t="shared" si="40"/>
        <v>-33611.111111111109</v>
      </c>
      <c r="AH798" s="55"/>
    </row>
    <row r="799" spans="1:34" x14ac:dyDescent="0.25">
      <c r="A799" t="s">
        <v>3206</v>
      </c>
      <c r="B799" t="s">
        <v>3207</v>
      </c>
      <c r="C799" t="s">
        <v>3208</v>
      </c>
      <c r="D799" t="s">
        <v>3209</v>
      </c>
      <c r="E799" t="s">
        <v>3210</v>
      </c>
      <c r="F799" t="s">
        <v>3211</v>
      </c>
      <c r="G799" t="s">
        <v>5</v>
      </c>
      <c r="H799" t="s">
        <v>65</v>
      </c>
      <c r="I799" t="s">
        <v>68</v>
      </c>
      <c r="J799" t="s">
        <v>69</v>
      </c>
      <c r="K799" t="s">
        <v>3</v>
      </c>
      <c r="L799" t="s">
        <v>4</v>
      </c>
      <c r="M799" t="s">
        <v>49</v>
      </c>
      <c r="N799" t="s">
        <v>3212</v>
      </c>
      <c r="O799" s="31" t="s">
        <v>3213</v>
      </c>
      <c r="P799">
        <v>220</v>
      </c>
      <c r="Q799" t="s">
        <v>70</v>
      </c>
      <c r="R799">
        <v>1</v>
      </c>
      <c r="S799" s="31">
        <v>59000</v>
      </c>
      <c r="T799" s="39">
        <v>65000</v>
      </c>
      <c r="U799">
        <v>11666.67</v>
      </c>
      <c r="V799">
        <v>5000</v>
      </c>
      <c r="W799">
        <v>0</v>
      </c>
      <c r="X799" s="39">
        <v>21333.33</v>
      </c>
      <c r="Y799">
        <v>0</v>
      </c>
      <c r="Z799" s="31">
        <v>48333.33</v>
      </c>
      <c r="AA799">
        <v>8</v>
      </c>
      <c r="AB799" s="3">
        <f t="shared" si="38"/>
        <v>48333.33</v>
      </c>
      <c r="AC799" t="str">
        <f>IF(AB799-S799&lt;0,"YES","NO")</f>
        <v>YES</v>
      </c>
      <c r="AD799">
        <f>IF(AC799="NO",0,AB799-S799)</f>
        <v>-10666.669999999998</v>
      </c>
      <c r="AE799" s="43">
        <v>0.08</v>
      </c>
      <c r="AF799" s="3">
        <f t="shared" si="39"/>
        <v>-9876.5462962962938</v>
      </c>
      <c r="AG799" s="45">
        <f t="shared" si="40"/>
        <v>-10864.200925925925</v>
      </c>
      <c r="AH799" s="55"/>
    </row>
    <row r="800" spans="1:34" x14ac:dyDescent="0.25">
      <c r="A800" t="s">
        <v>3206</v>
      </c>
      <c r="B800" t="s">
        <v>3207</v>
      </c>
      <c r="C800" t="s">
        <v>3208</v>
      </c>
      <c r="D800" t="s">
        <v>3209</v>
      </c>
      <c r="E800" t="s">
        <v>3210</v>
      </c>
      <c r="F800" t="s">
        <v>3211</v>
      </c>
      <c r="G800" t="s">
        <v>5</v>
      </c>
      <c r="H800" t="s">
        <v>65</v>
      </c>
      <c r="I800" t="s">
        <v>71</v>
      </c>
      <c r="J800" t="s">
        <v>72</v>
      </c>
      <c r="K800" t="s">
        <v>3</v>
      </c>
      <c r="L800" t="s">
        <v>4</v>
      </c>
      <c r="M800" t="s">
        <v>49</v>
      </c>
      <c r="N800" t="s">
        <v>3212</v>
      </c>
      <c r="O800" s="31" t="s">
        <v>3213</v>
      </c>
      <c r="P800">
        <v>220</v>
      </c>
      <c r="Q800" t="s">
        <v>70</v>
      </c>
      <c r="R800">
        <v>1</v>
      </c>
      <c r="S800" s="31">
        <v>59000</v>
      </c>
      <c r="T800" s="39">
        <v>65000</v>
      </c>
      <c r="U800">
        <v>11666.67</v>
      </c>
      <c r="V800">
        <v>5000</v>
      </c>
      <c r="W800">
        <v>0</v>
      </c>
      <c r="X800" s="39">
        <v>21333.33</v>
      </c>
      <c r="Y800">
        <v>0</v>
      </c>
      <c r="Z800" s="31">
        <v>48333.33</v>
      </c>
      <c r="AA800">
        <v>8</v>
      </c>
      <c r="AB800" s="3">
        <f t="shared" si="38"/>
        <v>48333.33</v>
      </c>
      <c r="AC800" t="str">
        <f>IF(AB800-S800&lt;0,"YES","NO")</f>
        <v>YES</v>
      </c>
      <c r="AD800">
        <f>IF(AC800="NO",0,AB800-S800)</f>
        <v>-10666.669999999998</v>
      </c>
      <c r="AE800" s="43">
        <v>0.08</v>
      </c>
      <c r="AF800" s="3">
        <f t="shared" si="39"/>
        <v>-9876.5462962962938</v>
      </c>
      <c r="AG800" s="45">
        <f t="shared" si="40"/>
        <v>-10864.200925925925</v>
      </c>
      <c r="AH800" s="55"/>
    </row>
    <row r="801" spans="1:34" x14ac:dyDescent="0.25">
      <c r="A801" t="s">
        <v>3206</v>
      </c>
      <c r="B801" t="s">
        <v>3207</v>
      </c>
      <c r="C801" t="s">
        <v>3208</v>
      </c>
      <c r="D801" t="s">
        <v>3209</v>
      </c>
      <c r="E801" t="s">
        <v>3210</v>
      </c>
      <c r="F801" t="s">
        <v>3211</v>
      </c>
      <c r="G801" t="s">
        <v>5</v>
      </c>
      <c r="H801" t="s">
        <v>65</v>
      </c>
      <c r="I801" t="s">
        <v>73</v>
      </c>
      <c r="J801" t="s">
        <v>74</v>
      </c>
      <c r="K801" t="s">
        <v>3</v>
      </c>
      <c r="L801" t="s">
        <v>4</v>
      </c>
      <c r="M801" t="s">
        <v>49</v>
      </c>
      <c r="N801" t="s">
        <v>3212</v>
      </c>
      <c r="O801" s="31" t="s">
        <v>3213</v>
      </c>
      <c r="P801">
        <v>220</v>
      </c>
      <c r="Q801" t="s">
        <v>70</v>
      </c>
      <c r="R801">
        <v>1</v>
      </c>
      <c r="S801" s="31">
        <v>59000</v>
      </c>
      <c r="T801" s="39">
        <v>65000</v>
      </c>
      <c r="U801">
        <v>11666.67</v>
      </c>
      <c r="V801">
        <v>5000</v>
      </c>
      <c r="W801">
        <v>0</v>
      </c>
      <c r="X801" s="39">
        <v>21333.33</v>
      </c>
      <c r="Y801">
        <v>0</v>
      </c>
      <c r="Z801" s="31">
        <v>48333.33</v>
      </c>
      <c r="AA801">
        <v>8</v>
      </c>
      <c r="AB801" s="3">
        <f t="shared" si="38"/>
        <v>48333.33</v>
      </c>
      <c r="AC801" t="str">
        <f>IF(AB801-S801&lt;0,"YES","NO")</f>
        <v>YES</v>
      </c>
      <c r="AD801">
        <f>IF(AC801="NO",0,AB801-S801)</f>
        <v>-10666.669999999998</v>
      </c>
      <c r="AE801" s="43">
        <v>0.08</v>
      </c>
      <c r="AF801" s="3">
        <f t="shared" si="39"/>
        <v>-9876.5462962962938</v>
      </c>
      <c r="AG801" s="45">
        <f t="shared" si="40"/>
        <v>-10864.200925925925</v>
      </c>
      <c r="AH801" s="55"/>
    </row>
    <row r="802" spans="1:34" x14ac:dyDescent="0.25">
      <c r="A802" t="s">
        <v>3214</v>
      </c>
      <c r="B802" t="s">
        <v>3215</v>
      </c>
      <c r="C802" t="s">
        <v>3216</v>
      </c>
      <c r="D802" t="s">
        <v>3217</v>
      </c>
      <c r="E802" t="s">
        <v>3218</v>
      </c>
      <c r="F802" t="s">
        <v>3219</v>
      </c>
      <c r="G802" t="s">
        <v>5</v>
      </c>
      <c r="H802" t="s">
        <v>65</v>
      </c>
      <c r="I802" t="s">
        <v>106</v>
      </c>
      <c r="J802" t="s">
        <v>107</v>
      </c>
      <c r="K802" t="s">
        <v>3</v>
      </c>
      <c r="L802" t="s">
        <v>4</v>
      </c>
      <c r="M802" t="s">
        <v>49</v>
      </c>
      <c r="N802" t="s">
        <v>3220</v>
      </c>
      <c r="O802" s="31" t="s">
        <v>3221</v>
      </c>
      <c r="P802">
        <v>20</v>
      </c>
      <c r="Q802" t="s">
        <v>108</v>
      </c>
      <c r="R802">
        <v>1</v>
      </c>
      <c r="S802" s="31">
        <v>0</v>
      </c>
      <c r="T802" s="39">
        <v>0</v>
      </c>
      <c r="U802">
        <v>0</v>
      </c>
      <c r="V802">
        <v>0</v>
      </c>
      <c r="W802">
        <v>0</v>
      </c>
      <c r="X802" s="39">
        <v>0</v>
      </c>
      <c r="Y802">
        <v>0</v>
      </c>
      <c r="Z802" s="31">
        <v>0</v>
      </c>
      <c r="AA802">
        <v>8</v>
      </c>
      <c r="AB802" s="3">
        <f t="shared" si="38"/>
        <v>0</v>
      </c>
      <c r="AC802" t="str">
        <f>IF(AB802-S802&lt;0,"YES","NO")</f>
        <v>NO</v>
      </c>
      <c r="AD802">
        <f>IF(AC802="NO",0,AB802-S802)</f>
        <v>0</v>
      </c>
      <c r="AE802" s="43">
        <v>0.08</v>
      </c>
      <c r="AF802" s="3">
        <f t="shared" si="39"/>
        <v>0</v>
      </c>
      <c r="AG802" s="45">
        <f t="shared" si="40"/>
        <v>0</v>
      </c>
      <c r="AH802" s="55"/>
    </row>
    <row r="803" spans="1:34" x14ac:dyDescent="0.25">
      <c r="A803" t="s">
        <v>3214</v>
      </c>
      <c r="B803" t="s">
        <v>3215</v>
      </c>
      <c r="C803" t="s">
        <v>3216</v>
      </c>
      <c r="D803" t="s">
        <v>3217</v>
      </c>
      <c r="E803" t="s">
        <v>3218</v>
      </c>
      <c r="F803" t="s">
        <v>3219</v>
      </c>
      <c r="G803" t="s">
        <v>5</v>
      </c>
      <c r="H803" t="s">
        <v>65</v>
      </c>
      <c r="I803" t="s">
        <v>66</v>
      </c>
      <c r="J803" t="s">
        <v>67</v>
      </c>
      <c r="K803" t="s">
        <v>3</v>
      </c>
      <c r="L803" t="s">
        <v>4</v>
      </c>
      <c r="M803" t="s">
        <v>49</v>
      </c>
      <c r="N803" t="s">
        <v>3220</v>
      </c>
      <c r="O803" s="31" t="s">
        <v>3221</v>
      </c>
      <c r="P803">
        <v>220</v>
      </c>
      <c r="R803">
        <v>4</v>
      </c>
      <c r="S803" s="31">
        <v>300000</v>
      </c>
      <c r="T803" s="39">
        <v>320000</v>
      </c>
      <c r="U803">
        <v>25000</v>
      </c>
      <c r="V803">
        <v>16666.68</v>
      </c>
      <c r="W803">
        <v>0</v>
      </c>
      <c r="X803" s="39">
        <v>66750</v>
      </c>
      <c r="Y803">
        <v>0</v>
      </c>
      <c r="Z803" s="31">
        <v>278333.32</v>
      </c>
      <c r="AA803">
        <v>8</v>
      </c>
      <c r="AB803" s="3">
        <f t="shared" si="38"/>
        <v>278333.32</v>
      </c>
      <c r="AC803" t="str">
        <f>IF(AB803-S803&lt;0,"YES","NO")</f>
        <v>YES</v>
      </c>
      <c r="AD803">
        <f>IF(AC803="NO",0,AB803-S803)</f>
        <v>-21666.679999999993</v>
      </c>
      <c r="AE803" s="43">
        <v>0.08</v>
      </c>
      <c r="AF803" s="3">
        <f t="shared" si="39"/>
        <v>-20061.740740740734</v>
      </c>
      <c r="AG803" s="45">
        <f t="shared" si="40"/>
        <v>-22067.914814814809</v>
      </c>
      <c r="AH803" s="55"/>
    </row>
    <row r="804" spans="1:34" x14ac:dyDescent="0.25">
      <c r="A804" t="s">
        <v>3214</v>
      </c>
      <c r="B804" t="s">
        <v>3215</v>
      </c>
      <c r="C804" t="s">
        <v>3216</v>
      </c>
      <c r="D804" t="s">
        <v>3217</v>
      </c>
      <c r="E804" t="s">
        <v>3218</v>
      </c>
      <c r="F804" t="s">
        <v>3219</v>
      </c>
      <c r="G804" t="s">
        <v>5</v>
      </c>
      <c r="H804" t="s">
        <v>65</v>
      </c>
      <c r="I804" t="s">
        <v>78</v>
      </c>
      <c r="J804" t="s">
        <v>79</v>
      </c>
      <c r="K804" t="s">
        <v>3</v>
      </c>
      <c r="L804" t="s">
        <v>4</v>
      </c>
      <c r="M804" t="s">
        <v>49</v>
      </c>
      <c r="N804" t="s">
        <v>3220</v>
      </c>
      <c r="O804" s="31" t="s">
        <v>3221</v>
      </c>
      <c r="P804">
        <v>220</v>
      </c>
      <c r="R804">
        <v>4</v>
      </c>
      <c r="S804" s="31">
        <v>300000</v>
      </c>
      <c r="T804" s="39">
        <v>320000</v>
      </c>
      <c r="U804">
        <v>25000</v>
      </c>
      <c r="V804">
        <v>16666.68</v>
      </c>
      <c r="W804">
        <v>0</v>
      </c>
      <c r="X804" s="39">
        <v>66750</v>
      </c>
      <c r="Y804">
        <v>0</v>
      </c>
      <c r="Z804" s="31">
        <v>278333.32</v>
      </c>
      <c r="AA804">
        <v>8</v>
      </c>
      <c r="AB804" s="3">
        <f t="shared" si="38"/>
        <v>278333.32</v>
      </c>
      <c r="AC804" t="str">
        <f>IF(AB804-S804&lt;0,"YES","NO")</f>
        <v>YES</v>
      </c>
      <c r="AD804">
        <f>IF(AC804="NO",0,AB804-S804)</f>
        <v>-21666.679999999993</v>
      </c>
      <c r="AE804" s="43">
        <v>0.08</v>
      </c>
      <c r="AF804" s="3">
        <f t="shared" si="39"/>
        <v>-20061.740740740734</v>
      </c>
      <c r="AG804" s="45">
        <f t="shared" si="40"/>
        <v>-22067.914814814809</v>
      </c>
      <c r="AH804" s="55"/>
    </row>
    <row r="805" spans="1:34" x14ac:dyDescent="0.25">
      <c r="A805" t="s">
        <v>3214</v>
      </c>
      <c r="B805" t="s">
        <v>3215</v>
      </c>
      <c r="C805" t="s">
        <v>3216</v>
      </c>
      <c r="D805" t="s">
        <v>3217</v>
      </c>
      <c r="E805" t="s">
        <v>3218</v>
      </c>
      <c r="F805" t="s">
        <v>3219</v>
      </c>
      <c r="G805" t="s">
        <v>5</v>
      </c>
      <c r="H805" t="s">
        <v>65</v>
      </c>
      <c r="I805" t="s">
        <v>80</v>
      </c>
      <c r="J805" t="s">
        <v>81</v>
      </c>
      <c r="K805" t="s">
        <v>3</v>
      </c>
      <c r="L805" t="s">
        <v>4</v>
      </c>
      <c r="M805" t="s">
        <v>49</v>
      </c>
      <c r="N805" t="s">
        <v>3220</v>
      </c>
      <c r="O805" s="31" t="s">
        <v>3221</v>
      </c>
      <c r="P805">
        <v>220</v>
      </c>
      <c r="R805">
        <v>4</v>
      </c>
      <c r="S805" s="31">
        <v>300000</v>
      </c>
      <c r="T805" s="39">
        <v>320000</v>
      </c>
      <c r="U805">
        <v>25000</v>
      </c>
      <c r="V805">
        <v>16666.68</v>
      </c>
      <c r="W805">
        <v>0</v>
      </c>
      <c r="X805" s="39">
        <v>66750</v>
      </c>
      <c r="Y805">
        <v>0</v>
      </c>
      <c r="Z805" s="31">
        <v>278333.32</v>
      </c>
      <c r="AA805">
        <v>8</v>
      </c>
      <c r="AB805" s="3">
        <f t="shared" si="38"/>
        <v>278333.32</v>
      </c>
      <c r="AC805" t="str">
        <f>IF(AB805-S805&lt;0,"YES","NO")</f>
        <v>YES</v>
      </c>
      <c r="AD805">
        <f>IF(AC805="NO",0,AB805-S805)</f>
        <v>-21666.679999999993</v>
      </c>
      <c r="AE805" s="43">
        <v>0.08</v>
      </c>
      <c r="AF805" s="3">
        <f t="shared" si="39"/>
        <v>-20061.740740740734</v>
      </c>
      <c r="AG805" s="45">
        <f t="shared" si="40"/>
        <v>-22067.914814814809</v>
      </c>
      <c r="AH805" s="55"/>
    </row>
    <row r="806" spans="1:34" x14ac:dyDescent="0.25">
      <c r="A806" t="s">
        <v>3222</v>
      </c>
      <c r="B806" t="s">
        <v>3223</v>
      </c>
      <c r="C806" t="s">
        <v>3224</v>
      </c>
      <c r="D806" t="s">
        <v>3225</v>
      </c>
      <c r="E806" t="s">
        <v>3226</v>
      </c>
      <c r="F806" t="s">
        <v>3227</v>
      </c>
      <c r="G806" t="s">
        <v>5</v>
      </c>
      <c r="H806" t="s">
        <v>65</v>
      </c>
      <c r="I806" t="s">
        <v>78</v>
      </c>
      <c r="J806" t="s">
        <v>79</v>
      </c>
      <c r="K806" t="s">
        <v>3</v>
      </c>
      <c r="L806" t="s">
        <v>4</v>
      </c>
      <c r="M806" t="s">
        <v>49</v>
      </c>
      <c r="N806" t="s">
        <v>3228</v>
      </c>
      <c r="O806" s="31" t="s">
        <v>3229</v>
      </c>
      <c r="P806">
        <v>220</v>
      </c>
      <c r="R806">
        <v>3</v>
      </c>
      <c r="S806" s="31">
        <v>225000</v>
      </c>
      <c r="T806" s="39">
        <v>240000</v>
      </c>
      <c r="U806">
        <v>35000.01</v>
      </c>
      <c r="V806">
        <v>12999.99</v>
      </c>
      <c r="W806">
        <v>0</v>
      </c>
      <c r="X806" s="39">
        <v>73400.009999999995</v>
      </c>
      <c r="Y806">
        <v>0</v>
      </c>
      <c r="Z806" s="31">
        <v>192000</v>
      </c>
      <c r="AA806">
        <v>8</v>
      </c>
      <c r="AB806" s="3">
        <f t="shared" si="38"/>
        <v>192000</v>
      </c>
      <c r="AC806" t="str">
        <f>IF(AB806-S806&lt;0,"YES","NO")</f>
        <v>YES</v>
      </c>
      <c r="AD806">
        <f>IF(AC806="NO",0,AB806-S806)</f>
        <v>-33000</v>
      </c>
      <c r="AE806" s="43">
        <v>0.08</v>
      </c>
      <c r="AF806" s="3">
        <f t="shared" si="39"/>
        <v>-30555.555555555555</v>
      </c>
      <c r="AG806" s="45">
        <f t="shared" si="40"/>
        <v>-33611.111111111109</v>
      </c>
      <c r="AH806" s="55"/>
    </row>
    <row r="807" spans="1:34" x14ac:dyDescent="0.25">
      <c r="A807" t="s">
        <v>3230</v>
      </c>
      <c r="B807" t="s">
        <v>3231</v>
      </c>
      <c r="C807" t="s">
        <v>3232</v>
      </c>
      <c r="D807" t="s">
        <v>3233</v>
      </c>
      <c r="E807" t="s">
        <v>3234</v>
      </c>
      <c r="F807" t="s">
        <v>3235</v>
      </c>
      <c r="G807" t="s">
        <v>5</v>
      </c>
      <c r="H807" t="s">
        <v>65</v>
      </c>
      <c r="I807" t="s">
        <v>66</v>
      </c>
      <c r="J807" t="s">
        <v>67</v>
      </c>
      <c r="K807" t="s">
        <v>3</v>
      </c>
      <c r="L807" t="s">
        <v>4</v>
      </c>
      <c r="M807" t="s">
        <v>49</v>
      </c>
      <c r="N807" t="s">
        <v>3236</v>
      </c>
      <c r="O807" s="31" t="s">
        <v>3237</v>
      </c>
      <c r="P807">
        <v>220</v>
      </c>
      <c r="R807">
        <v>2</v>
      </c>
      <c r="S807" s="31">
        <v>150000</v>
      </c>
      <c r="T807" s="39">
        <v>160000</v>
      </c>
      <c r="U807">
        <v>20000</v>
      </c>
      <c r="V807">
        <v>16000</v>
      </c>
      <c r="W807">
        <v>0</v>
      </c>
      <c r="X807" s="39">
        <v>44800</v>
      </c>
      <c r="Y807">
        <v>0</v>
      </c>
      <c r="Z807" s="31">
        <v>124000</v>
      </c>
      <c r="AA807">
        <v>8</v>
      </c>
      <c r="AB807" s="3">
        <f t="shared" si="38"/>
        <v>124000</v>
      </c>
      <c r="AC807" t="str">
        <f>IF(AB807-S807&lt;0,"YES","NO")</f>
        <v>YES</v>
      </c>
      <c r="AD807">
        <f>IF(AC807="NO",0,AB807-S807)</f>
        <v>-26000</v>
      </c>
      <c r="AE807" s="43">
        <v>0.08</v>
      </c>
      <c r="AF807" s="3">
        <f t="shared" si="39"/>
        <v>-24074.074074074073</v>
      </c>
      <c r="AG807" s="45">
        <f t="shared" si="40"/>
        <v>-26481.481481481482</v>
      </c>
      <c r="AH807" s="55"/>
    </row>
    <row r="808" spans="1:34" x14ac:dyDescent="0.25">
      <c r="A808" t="s">
        <v>3238</v>
      </c>
      <c r="B808" t="s">
        <v>3239</v>
      </c>
      <c r="C808" t="s">
        <v>3222</v>
      </c>
      <c r="D808" t="s">
        <v>3240</v>
      </c>
      <c r="E808" t="s">
        <v>3241</v>
      </c>
      <c r="F808" t="s">
        <v>3242</v>
      </c>
      <c r="G808" t="s">
        <v>5</v>
      </c>
      <c r="H808" t="s">
        <v>65</v>
      </c>
      <c r="I808" t="s">
        <v>90</v>
      </c>
      <c r="J808" t="s">
        <v>91</v>
      </c>
      <c r="K808" t="s">
        <v>3</v>
      </c>
      <c r="L808" t="s">
        <v>4</v>
      </c>
      <c r="M808" t="s">
        <v>49</v>
      </c>
      <c r="N808" t="s">
        <v>3243</v>
      </c>
      <c r="O808" s="31" t="s">
        <v>3244</v>
      </c>
      <c r="P808">
        <v>220</v>
      </c>
      <c r="Q808" t="s">
        <v>92</v>
      </c>
      <c r="R808">
        <v>2</v>
      </c>
      <c r="S808" s="31">
        <v>118000</v>
      </c>
      <c r="T808" s="39">
        <v>140000</v>
      </c>
      <c r="U808">
        <v>20000</v>
      </c>
      <c r="V808">
        <v>13000</v>
      </c>
      <c r="W808">
        <v>0</v>
      </c>
      <c r="X808" s="39">
        <v>55000</v>
      </c>
      <c r="Y808">
        <v>0</v>
      </c>
      <c r="Z808" s="31">
        <v>107000</v>
      </c>
      <c r="AA808">
        <v>8</v>
      </c>
      <c r="AB808" s="3">
        <f t="shared" si="38"/>
        <v>107000</v>
      </c>
      <c r="AC808" t="str">
        <f>IF(AB808-S808&lt;0,"YES","NO")</f>
        <v>YES</v>
      </c>
      <c r="AD808">
        <f>IF(AC808="NO",0,AB808-S808)</f>
        <v>-11000</v>
      </c>
      <c r="AE808" s="43">
        <v>0.08</v>
      </c>
      <c r="AF808" s="3">
        <f t="shared" si="39"/>
        <v>-10185.185185185184</v>
      </c>
      <c r="AG808" s="45">
        <f t="shared" si="40"/>
        <v>-11203.703703703704</v>
      </c>
      <c r="AH808" s="55"/>
    </row>
    <row r="809" spans="1:34" x14ac:dyDescent="0.25">
      <c r="A809" t="s">
        <v>3245</v>
      </c>
      <c r="B809" t="s">
        <v>3246</v>
      </c>
      <c r="C809" t="s">
        <v>3247</v>
      </c>
      <c r="D809" t="s">
        <v>3248</v>
      </c>
      <c r="E809" t="s">
        <v>3249</v>
      </c>
      <c r="F809" t="s">
        <v>3250</v>
      </c>
      <c r="G809" t="s">
        <v>5</v>
      </c>
      <c r="H809" t="s">
        <v>65</v>
      </c>
      <c r="I809" t="s">
        <v>66</v>
      </c>
      <c r="J809" t="s">
        <v>67</v>
      </c>
      <c r="K809" t="s">
        <v>3</v>
      </c>
      <c r="L809" t="s">
        <v>4</v>
      </c>
      <c r="M809" t="s">
        <v>49</v>
      </c>
      <c r="N809" t="s">
        <v>3251</v>
      </c>
      <c r="O809" s="31" t="s">
        <v>3252</v>
      </c>
      <c r="P809">
        <v>220</v>
      </c>
      <c r="R809">
        <v>6</v>
      </c>
      <c r="S809" s="31">
        <v>450000</v>
      </c>
      <c r="T809" s="39">
        <v>480000</v>
      </c>
      <c r="U809">
        <v>75000</v>
      </c>
      <c r="V809">
        <v>48000</v>
      </c>
      <c r="W809">
        <v>0</v>
      </c>
      <c r="X809" s="39">
        <v>128550</v>
      </c>
      <c r="Y809">
        <v>0</v>
      </c>
      <c r="Z809" s="31">
        <v>357000</v>
      </c>
      <c r="AA809">
        <v>8</v>
      </c>
      <c r="AB809" s="3">
        <f t="shared" si="38"/>
        <v>357000</v>
      </c>
      <c r="AC809" t="str">
        <f>IF(AB809-S809&lt;0,"YES","NO")</f>
        <v>YES</v>
      </c>
      <c r="AD809">
        <f>IF(AC809="NO",0,AB809-S809)</f>
        <v>-93000</v>
      </c>
      <c r="AE809" s="43">
        <v>0.08</v>
      </c>
      <c r="AF809" s="3">
        <f t="shared" si="39"/>
        <v>-86111.111111111109</v>
      </c>
      <c r="AG809" s="45">
        <f t="shared" si="40"/>
        <v>-94722.222222222234</v>
      </c>
      <c r="AH809" s="55"/>
    </row>
    <row r="810" spans="1:34" x14ac:dyDescent="0.25">
      <c r="A810" t="s">
        <v>3253</v>
      </c>
      <c r="B810" t="s">
        <v>3254</v>
      </c>
      <c r="C810" t="s">
        <v>3255</v>
      </c>
      <c r="D810" t="s">
        <v>3256</v>
      </c>
      <c r="E810" t="s">
        <v>3257</v>
      </c>
      <c r="F810" t="s">
        <v>3258</v>
      </c>
      <c r="G810" t="s">
        <v>5</v>
      </c>
      <c r="H810" t="s">
        <v>65</v>
      </c>
      <c r="I810" t="s">
        <v>100</v>
      </c>
      <c r="J810" t="s">
        <v>101</v>
      </c>
      <c r="K810" t="s">
        <v>3</v>
      </c>
      <c r="L810" t="s">
        <v>4</v>
      </c>
      <c r="M810" t="s">
        <v>49</v>
      </c>
      <c r="N810" t="s">
        <v>3259</v>
      </c>
      <c r="O810" s="31" t="s">
        <v>3260</v>
      </c>
      <c r="P810">
        <v>200</v>
      </c>
      <c r="R810">
        <v>1</v>
      </c>
      <c r="S810" s="31">
        <v>72000</v>
      </c>
      <c r="T810" s="39">
        <v>0</v>
      </c>
      <c r="U810">
        <v>0</v>
      </c>
      <c r="V810">
        <v>0</v>
      </c>
      <c r="W810">
        <v>0</v>
      </c>
      <c r="X810" s="39">
        <v>0</v>
      </c>
      <c r="Y810">
        <v>0</v>
      </c>
      <c r="Z810" s="31">
        <v>0</v>
      </c>
      <c r="AA810">
        <v>8</v>
      </c>
      <c r="AB810" s="3">
        <f t="shared" si="38"/>
        <v>0</v>
      </c>
      <c r="AC810" t="str">
        <f>IF(AB810-S810&lt;0,"YES","NO")</f>
        <v>YES</v>
      </c>
      <c r="AD810">
        <f>IF(AC810="NO",0,AB810-S810)</f>
        <v>-72000</v>
      </c>
      <c r="AE810" s="43">
        <v>0.08</v>
      </c>
      <c r="AF810" s="3">
        <f t="shared" si="39"/>
        <v>-66666.666666666657</v>
      </c>
      <c r="AG810" s="45">
        <f t="shared" si="40"/>
        <v>-73333.333333333328</v>
      </c>
      <c r="AH810" s="55"/>
    </row>
    <row r="811" spans="1:34" x14ac:dyDescent="0.25">
      <c r="A811" t="s">
        <v>3253</v>
      </c>
      <c r="B811" t="s">
        <v>3254</v>
      </c>
      <c r="C811" t="s">
        <v>3255</v>
      </c>
      <c r="D811" t="s">
        <v>3256</v>
      </c>
      <c r="E811" t="s">
        <v>3257</v>
      </c>
      <c r="F811" t="s">
        <v>3258</v>
      </c>
      <c r="G811" t="s">
        <v>5</v>
      </c>
      <c r="H811" t="s">
        <v>61</v>
      </c>
      <c r="I811" t="s">
        <v>93</v>
      </c>
      <c r="J811" t="s">
        <v>94</v>
      </c>
      <c r="K811" t="s">
        <v>3</v>
      </c>
      <c r="L811" t="s">
        <v>4</v>
      </c>
      <c r="M811" t="s">
        <v>49</v>
      </c>
      <c r="N811" t="s">
        <v>3259</v>
      </c>
      <c r="O811" s="31" t="s">
        <v>3260</v>
      </c>
      <c r="P811">
        <v>20</v>
      </c>
      <c r="Q811" t="s">
        <v>86</v>
      </c>
      <c r="R811">
        <v>1</v>
      </c>
      <c r="S811" s="31">
        <v>0</v>
      </c>
      <c r="T811" s="39">
        <v>0</v>
      </c>
      <c r="U811">
        <v>0</v>
      </c>
      <c r="V811">
        <v>0</v>
      </c>
      <c r="W811">
        <v>0</v>
      </c>
      <c r="X811" s="39">
        <v>0</v>
      </c>
      <c r="Y811">
        <v>0</v>
      </c>
      <c r="Z811" s="31">
        <v>0</v>
      </c>
      <c r="AA811">
        <v>8</v>
      </c>
      <c r="AB811" s="3">
        <f t="shared" si="38"/>
        <v>0</v>
      </c>
      <c r="AC811" t="str">
        <f>IF(AB811-S811&lt;0,"YES","NO")</f>
        <v>NO</v>
      </c>
      <c r="AD811">
        <f>IF(AC811="NO",0,AB811-S811)</f>
        <v>0</v>
      </c>
      <c r="AE811" s="43">
        <v>0.08</v>
      </c>
      <c r="AF811" s="3">
        <f t="shared" si="39"/>
        <v>0</v>
      </c>
      <c r="AG811" s="45">
        <f t="shared" si="40"/>
        <v>0</v>
      </c>
      <c r="AH811" s="55"/>
    </row>
    <row r="812" spans="1:34" x14ac:dyDescent="0.25">
      <c r="A812" t="s">
        <v>3253</v>
      </c>
      <c r="B812" t="s">
        <v>3254</v>
      </c>
      <c r="C812" t="s">
        <v>3255</v>
      </c>
      <c r="D812" t="s">
        <v>3256</v>
      </c>
      <c r="E812" t="s">
        <v>3257</v>
      </c>
      <c r="F812" t="s">
        <v>3258</v>
      </c>
      <c r="G812" t="s">
        <v>5</v>
      </c>
      <c r="H812" t="s">
        <v>65</v>
      </c>
      <c r="I812" t="s">
        <v>95</v>
      </c>
      <c r="J812" t="s">
        <v>96</v>
      </c>
      <c r="K812" t="s">
        <v>3</v>
      </c>
      <c r="L812" t="s">
        <v>4</v>
      </c>
      <c r="M812" t="s">
        <v>49</v>
      </c>
      <c r="N812" t="s">
        <v>3259</v>
      </c>
      <c r="O812" s="31" t="s">
        <v>3260</v>
      </c>
      <c r="P812">
        <v>200</v>
      </c>
      <c r="R812">
        <v>2</v>
      </c>
      <c r="S812" s="31">
        <v>144000</v>
      </c>
      <c r="T812" s="39">
        <v>480000</v>
      </c>
      <c r="U812">
        <v>35000</v>
      </c>
      <c r="V812">
        <v>260000</v>
      </c>
      <c r="W812">
        <v>0</v>
      </c>
      <c r="X812" s="39">
        <v>72000</v>
      </c>
      <c r="Y812">
        <v>0</v>
      </c>
      <c r="Z812" s="31">
        <v>185000</v>
      </c>
      <c r="AA812">
        <v>8</v>
      </c>
      <c r="AB812" s="3">
        <f t="shared" si="38"/>
        <v>185000</v>
      </c>
      <c r="AC812" t="str">
        <f>IF(AB812-S812&lt;0,"YES","NO")</f>
        <v>NO</v>
      </c>
      <c r="AD812">
        <f>IF(AC812="NO",0,AB812-S812)</f>
        <v>0</v>
      </c>
      <c r="AE812" s="43">
        <v>0.08</v>
      </c>
      <c r="AF812" s="3">
        <f t="shared" si="39"/>
        <v>0</v>
      </c>
      <c r="AG812" s="45">
        <f t="shared" si="40"/>
        <v>0</v>
      </c>
      <c r="AH812" s="55"/>
    </row>
    <row r="813" spans="1:34" x14ac:dyDescent="0.25">
      <c r="A813" t="s">
        <v>3261</v>
      </c>
      <c r="B813" t="s">
        <v>3262</v>
      </c>
      <c r="C813" t="s">
        <v>3263</v>
      </c>
      <c r="D813" t="s">
        <v>3264</v>
      </c>
      <c r="E813" t="s">
        <v>3265</v>
      </c>
      <c r="F813" t="s">
        <v>3266</v>
      </c>
      <c r="G813" t="s">
        <v>5</v>
      </c>
      <c r="H813" t="s">
        <v>65</v>
      </c>
      <c r="I813" t="s">
        <v>66</v>
      </c>
      <c r="J813" t="s">
        <v>67</v>
      </c>
      <c r="K813" t="s">
        <v>3</v>
      </c>
      <c r="L813" t="s">
        <v>4</v>
      </c>
      <c r="M813" t="s">
        <v>49</v>
      </c>
      <c r="N813" t="s">
        <v>3267</v>
      </c>
      <c r="O813" s="31" t="s">
        <v>3268</v>
      </c>
      <c r="P813">
        <v>220</v>
      </c>
      <c r="R813">
        <v>2</v>
      </c>
      <c r="S813" s="31">
        <v>150000</v>
      </c>
      <c r="T813" s="39">
        <v>160000</v>
      </c>
      <c r="U813">
        <v>20000</v>
      </c>
      <c r="V813">
        <v>16000</v>
      </c>
      <c r="W813">
        <v>0</v>
      </c>
      <c r="X813" s="39">
        <v>34880</v>
      </c>
      <c r="Y813">
        <v>0</v>
      </c>
      <c r="Z813" s="31">
        <v>124000</v>
      </c>
      <c r="AA813">
        <v>8</v>
      </c>
      <c r="AB813" s="3">
        <f t="shared" si="38"/>
        <v>124000</v>
      </c>
      <c r="AC813" t="str">
        <f>IF(AB813-S813&lt;0,"YES","NO")</f>
        <v>YES</v>
      </c>
      <c r="AD813">
        <f>IF(AC813="NO",0,AB813-S813)</f>
        <v>-26000</v>
      </c>
      <c r="AE813" s="43">
        <v>0.08</v>
      </c>
      <c r="AF813" s="3">
        <f t="shared" si="39"/>
        <v>-24074.074074074073</v>
      </c>
      <c r="AG813" s="45">
        <f t="shared" si="40"/>
        <v>-26481.481481481482</v>
      </c>
      <c r="AH813" s="55"/>
    </row>
    <row r="814" spans="1:34" x14ac:dyDescent="0.25">
      <c r="A814" t="s">
        <v>3269</v>
      </c>
      <c r="B814" t="s">
        <v>3270</v>
      </c>
      <c r="C814" t="s">
        <v>3271</v>
      </c>
      <c r="D814" t="s">
        <v>3272</v>
      </c>
      <c r="E814" t="s">
        <v>3273</v>
      </c>
      <c r="F814" t="s">
        <v>3274</v>
      </c>
      <c r="G814" t="s">
        <v>5</v>
      </c>
      <c r="H814" t="s">
        <v>65</v>
      </c>
      <c r="I814" t="s">
        <v>66</v>
      </c>
      <c r="J814" t="s">
        <v>67</v>
      </c>
      <c r="K814" t="s">
        <v>3</v>
      </c>
      <c r="L814" t="s">
        <v>4</v>
      </c>
      <c r="M814" t="s">
        <v>49</v>
      </c>
      <c r="N814" t="s">
        <v>3275</v>
      </c>
      <c r="O814" s="31" t="s">
        <v>3276</v>
      </c>
      <c r="P814">
        <v>220</v>
      </c>
      <c r="R814">
        <v>2</v>
      </c>
      <c r="S814" s="31">
        <v>150000</v>
      </c>
      <c r="T814" s="39">
        <v>160000</v>
      </c>
      <c r="U814">
        <v>20000</v>
      </c>
      <c r="V814">
        <v>16000</v>
      </c>
      <c r="W814">
        <v>0</v>
      </c>
      <c r="X814" s="39">
        <v>20000</v>
      </c>
      <c r="Y814">
        <v>0</v>
      </c>
      <c r="Z814" s="31">
        <v>124000</v>
      </c>
      <c r="AA814">
        <v>8</v>
      </c>
      <c r="AB814" s="3">
        <f t="shared" si="38"/>
        <v>124000</v>
      </c>
      <c r="AC814" t="str">
        <f>IF(AB814-S814&lt;0,"YES","NO")</f>
        <v>YES</v>
      </c>
      <c r="AD814">
        <f>IF(AC814="NO",0,AB814-S814)</f>
        <v>-26000</v>
      </c>
      <c r="AE814" s="43">
        <v>0.08</v>
      </c>
      <c r="AF814" s="3">
        <f t="shared" si="39"/>
        <v>-24074.074074074073</v>
      </c>
      <c r="AG814" s="45">
        <f t="shared" si="40"/>
        <v>-26481.481481481482</v>
      </c>
      <c r="AH814" s="55"/>
    </row>
    <row r="815" spans="1:34" x14ac:dyDescent="0.25">
      <c r="A815" t="s">
        <v>3277</v>
      </c>
      <c r="B815" t="s">
        <v>3278</v>
      </c>
      <c r="C815" t="s">
        <v>3279</v>
      </c>
      <c r="D815" t="s">
        <v>3280</v>
      </c>
      <c r="E815" t="s">
        <v>3281</v>
      </c>
      <c r="F815" t="s">
        <v>3282</v>
      </c>
      <c r="G815" t="s">
        <v>5</v>
      </c>
      <c r="H815" t="s">
        <v>65</v>
      </c>
      <c r="I815" t="s">
        <v>66</v>
      </c>
      <c r="J815" t="s">
        <v>67</v>
      </c>
      <c r="K815" t="s">
        <v>3</v>
      </c>
      <c r="L815" t="s">
        <v>4</v>
      </c>
      <c r="M815" t="s">
        <v>49</v>
      </c>
      <c r="N815" t="s">
        <v>3283</v>
      </c>
      <c r="O815" s="31" t="s">
        <v>3284</v>
      </c>
      <c r="P815">
        <v>220</v>
      </c>
      <c r="R815">
        <v>6</v>
      </c>
      <c r="S815" s="31">
        <v>450000</v>
      </c>
      <c r="T815" s="39">
        <v>480000</v>
      </c>
      <c r="U815">
        <v>75000</v>
      </c>
      <c r="V815">
        <v>48000</v>
      </c>
      <c r="W815">
        <v>0</v>
      </c>
      <c r="X815" s="39">
        <v>128550</v>
      </c>
      <c r="Y815">
        <v>0</v>
      </c>
      <c r="Z815" s="31">
        <v>357000</v>
      </c>
      <c r="AA815">
        <v>8</v>
      </c>
      <c r="AB815" s="3">
        <f t="shared" si="38"/>
        <v>357000</v>
      </c>
      <c r="AC815" t="str">
        <f>IF(AB815-S815&lt;0,"YES","NO")</f>
        <v>YES</v>
      </c>
      <c r="AD815">
        <f>IF(AC815="NO",0,AB815-S815)</f>
        <v>-93000</v>
      </c>
      <c r="AE815" s="43">
        <v>0.08</v>
      </c>
      <c r="AF815" s="3">
        <f t="shared" si="39"/>
        <v>-86111.111111111109</v>
      </c>
      <c r="AG815" s="45">
        <f t="shared" si="40"/>
        <v>-94722.222222222234</v>
      </c>
      <c r="AH815" s="55"/>
    </row>
    <row r="816" spans="1:34" x14ac:dyDescent="0.25">
      <c r="A816" t="s">
        <v>3285</v>
      </c>
      <c r="B816" t="s">
        <v>3286</v>
      </c>
      <c r="C816" t="s">
        <v>3287</v>
      </c>
      <c r="D816" t="s">
        <v>3288</v>
      </c>
      <c r="E816" t="s">
        <v>3289</v>
      </c>
      <c r="F816" t="s">
        <v>3290</v>
      </c>
      <c r="G816" t="s">
        <v>5</v>
      </c>
      <c r="H816" t="s">
        <v>65</v>
      </c>
      <c r="I816" t="s">
        <v>82</v>
      </c>
      <c r="J816" t="s">
        <v>83</v>
      </c>
      <c r="K816" t="s">
        <v>3</v>
      </c>
      <c r="L816" t="s">
        <v>4</v>
      </c>
      <c r="M816" t="s">
        <v>49</v>
      </c>
      <c r="N816" t="s">
        <v>3291</v>
      </c>
      <c r="O816" s="31" t="s">
        <v>3292</v>
      </c>
      <c r="P816">
        <v>220</v>
      </c>
      <c r="R816">
        <v>2</v>
      </c>
      <c r="S816" s="31">
        <v>150000</v>
      </c>
      <c r="T816" s="39">
        <v>160000</v>
      </c>
      <c r="U816">
        <v>20000</v>
      </c>
      <c r="V816">
        <v>10000</v>
      </c>
      <c r="W816">
        <v>0</v>
      </c>
      <c r="X816" s="39">
        <v>46000</v>
      </c>
      <c r="Y816">
        <v>0</v>
      </c>
      <c r="Z816" s="31">
        <v>130000</v>
      </c>
      <c r="AA816">
        <v>8</v>
      </c>
      <c r="AB816" s="3">
        <f t="shared" si="38"/>
        <v>130000</v>
      </c>
      <c r="AC816" t="str">
        <f>IF(AB816-S816&lt;0,"YES","NO")</f>
        <v>YES</v>
      </c>
      <c r="AD816">
        <f>IF(AC816="NO",0,AB816-S816)</f>
        <v>-20000</v>
      </c>
      <c r="AE816" s="43">
        <v>0.08</v>
      </c>
      <c r="AF816" s="3">
        <f t="shared" si="39"/>
        <v>-18518.518518518518</v>
      </c>
      <c r="AG816" s="45">
        <f t="shared" si="40"/>
        <v>-20370.370370370372</v>
      </c>
      <c r="AH816" s="55"/>
    </row>
    <row r="817" spans="1:34" x14ac:dyDescent="0.25">
      <c r="A817" t="s">
        <v>3293</v>
      </c>
      <c r="B817" t="s">
        <v>3294</v>
      </c>
      <c r="C817" t="s">
        <v>3295</v>
      </c>
      <c r="D817" t="s">
        <v>3296</v>
      </c>
      <c r="E817" t="s">
        <v>3297</v>
      </c>
      <c r="F817" t="s">
        <v>3298</v>
      </c>
      <c r="G817" t="s">
        <v>5</v>
      </c>
      <c r="H817" t="s">
        <v>65</v>
      </c>
      <c r="I817" t="s">
        <v>82</v>
      </c>
      <c r="J817" t="s">
        <v>83</v>
      </c>
      <c r="K817" t="s">
        <v>3</v>
      </c>
      <c r="L817" t="s">
        <v>4</v>
      </c>
      <c r="M817" t="s">
        <v>49</v>
      </c>
      <c r="N817" t="s">
        <v>3299</v>
      </c>
      <c r="O817" s="31" t="s">
        <v>3300</v>
      </c>
      <c r="P817">
        <v>220</v>
      </c>
      <c r="R817">
        <v>2</v>
      </c>
      <c r="S817" s="31">
        <v>150000</v>
      </c>
      <c r="T817" s="39">
        <v>160000</v>
      </c>
      <c r="U817">
        <v>10000</v>
      </c>
      <c r="V817">
        <v>10000</v>
      </c>
      <c r="W817">
        <v>0</v>
      </c>
      <c r="X817" s="39">
        <v>35000</v>
      </c>
      <c r="Y817">
        <v>0</v>
      </c>
      <c r="Z817" s="31">
        <v>140000</v>
      </c>
      <c r="AA817">
        <v>8</v>
      </c>
      <c r="AB817" s="3">
        <f t="shared" si="38"/>
        <v>140000</v>
      </c>
      <c r="AC817" t="str">
        <f>IF(AB817-S817&lt;0,"YES","NO")</f>
        <v>YES</v>
      </c>
      <c r="AD817">
        <f>IF(AC817="NO",0,AB817-S817)</f>
        <v>-10000</v>
      </c>
      <c r="AE817" s="43">
        <v>0.08</v>
      </c>
      <c r="AF817" s="3">
        <f t="shared" si="39"/>
        <v>-9259.2592592592591</v>
      </c>
      <c r="AG817" s="45">
        <f t="shared" si="40"/>
        <v>-10185.185185185186</v>
      </c>
      <c r="AH817" s="55"/>
    </row>
    <row r="818" spans="1:34" x14ac:dyDescent="0.25">
      <c r="A818" t="s">
        <v>3293</v>
      </c>
      <c r="B818" t="s">
        <v>3294</v>
      </c>
      <c r="C818" t="s">
        <v>3295</v>
      </c>
      <c r="D818" t="s">
        <v>3296</v>
      </c>
      <c r="E818" t="s">
        <v>3297</v>
      </c>
      <c r="F818" t="s">
        <v>3298</v>
      </c>
      <c r="G818" t="s">
        <v>5</v>
      </c>
      <c r="H818" t="s">
        <v>65</v>
      </c>
      <c r="I818" t="s">
        <v>78</v>
      </c>
      <c r="J818" t="s">
        <v>79</v>
      </c>
      <c r="K818" t="s">
        <v>3</v>
      </c>
      <c r="L818" t="s">
        <v>4</v>
      </c>
      <c r="M818" t="s">
        <v>49</v>
      </c>
      <c r="N818" t="s">
        <v>3299</v>
      </c>
      <c r="O818" s="31" t="s">
        <v>3300</v>
      </c>
      <c r="P818">
        <v>220</v>
      </c>
      <c r="R818">
        <v>2</v>
      </c>
      <c r="S818" s="31">
        <v>150000</v>
      </c>
      <c r="T818" s="39">
        <v>160000</v>
      </c>
      <c r="U818">
        <v>10000</v>
      </c>
      <c r="V818">
        <v>10000</v>
      </c>
      <c r="W818">
        <v>0</v>
      </c>
      <c r="X818" s="39">
        <v>35000</v>
      </c>
      <c r="Y818">
        <v>0</v>
      </c>
      <c r="Z818" s="31">
        <v>140000</v>
      </c>
      <c r="AA818">
        <v>8</v>
      </c>
      <c r="AB818" s="3">
        <f t="shared" si="38"/>
        <v>140000</v>
      </c>
      <c r="AC818" t="str">
        <f>IF(AB818-S818&lt;0,"YES","NO")</f>
        <v>YES</v>
      </c>
      <c r="AD818">
        <f>IF(AC818="NO",0,AB818-S818)</f>
        <v>-10000</v>
      </c>
      <c r="AE818" s="43">
        <v>0.08</v>
      </c>
      <c r="AF818" s="3">
        <f t="shared" si="39"/>
        <v>-9259.2592592592591</v>
      </c>
      <c r="AG818" s="45">
        <f t="shared" si="40"/>
        <v>-10185.185185185186</v>
      </c>
      <c r="AH818" s="55"/>
    </row>
    <row r="819" spans="1:34" x14ac:dyDescent="0.25">
      <c r="A819" t="s">
        <v>3301</v>
      </c>
      <c r="B819" t="s">
        <v>3302</v>
      </c>
      <c r="C819" t="s">
        <v>3303</v>
      </c>
      <c r="D819" t="s">
        <v>3304</v>
      </c>
      <c r="E819" t="s">
        <v>3305</v>
      </c>
      <c r="F819" t="s">
        <v>3306</v>
      </c>
      <c r="G819" t="s">
        <v>5</v>
      </c>
      <c r="H819" t="s">
        <v>65</v>
      </c>
      <c r="I819" t="s">
        <v>66</v>
      </c>
      <c r="J819" t="s">
        <v>67</v>
      </c>
      <c r="K819" t="s">
        <v>3</v>
      </c>
      <c r="L819" t="s">
        <v>4</v>
      </c>
      <c r="M819" t="s">
        <v>49</v>
      </c>
      <c r="N819" t="s">
        <v>3307</v>
      </c>
      <c r="O819" s="31" t="s">
        <v>3308</v>
      </c>
      <c r="P819">
        <v>220</v>
      </c>
      <c r="R819">
        <v>2</v>
      </c>
      <c r="S819" s="31">
        <v>150000</v>
      </c>
      <c r="T819" s="39">
        <v>160000</v>
      </c>
      <c r="U819">
        <v>20000</v>
      </c>
      <c r="V819">
        <v>16000</v>
      </c>
      <c r="W819">
        <v>0</v>
      </c>
      <c r="X819" s="39">
        <v>32400</v>
      </c>
      <c r="Y819">
        <v>0</v>
      </c>
      <c r="Z819" s="31">
        <v>124000</v>
      </c>
      <c r="AA819">
        <v>8</v>
      </c>
      <c r="AB819" s="3">
        <f t="shared" si="38"/>
        <v>124000</v>
      </c>
      <c r="AC819" t="str">
        <f>IF(AB819-S819&lt;0,"YES","NO")</f>
        <v>YES</v>
      </c>
      <c r="AD819">
        <f>IF(AC819="NO",0,AB819-S819)</f>
        <v>-26000</v>
      </c>
      <c r="AE819" s="43">
        <v>0.08</v>
      </c>
      <c r="AF819" s="3">
        <f t="shared" si="39"/>
        <v>-24074.074074074073</v>
      </c>
      <c r="AG819" s="45">
        <f t="shared" si="40"/>
        <v>-26481.481481481482</v>
      </c>
      <c r="AH819" s="55"/>
    </row>
    <row r="820" spans="1:34" x14ac:dyDescent="0.25">
      <c r="A820" t="s">
        <v>3309</v>
      </c>
      <c r="B820" t="s">
        <v>3310</v>
      </c>
      <c r="C820" t="s">
        <v>3311</v>
      </c>
      <c r="D820" t="s">
        <v>3312</v>
      </c>
      <c r="E820" t="s">
        <v>3313</v>
      </c>
      <c r="F820" t="s">
        <v>3314</v>
      </c>
      <c r="G820" t="s">
        <v>5</v>
      </c>
      <c r="H820" t="s">
        <v>65</v>
      </c>
      <c r="I820" t="s">
        <v>82</v>
      </c>
      <c r="J820" t="s">
        <v>83</v>
      </c>
      <c r="K820" t="s">
        <v>3</v>
      </c>
      <c r="L820" t="s">
        <v>4</v>
      </c>
      <c r="M820" t="s">
        <v>49</v>
      </c>
      <c r="N820" t="s">
        <v>3315</v>
      </c>
      <c r="O820" s="31" t="s">
        <v>3316</v>
      </c>
      <c r="P820">
        <v>220</v>
      </c>
      <c r="R820">
        <v>3</v>
      </c>
      <c r="S820" s="31">
        <v>225000</v>
      </c>
      <c r="T820" s="39">
        <v>240000</v>
      </c>
      <c r="U820">
        <v>40994.01</v>
      </c>
      <c r="V820">
        <v>12999.99</v>
      </c>
      <c r="W820">
        <v>0</v>
      </c>
      <c r="X820" s="39">
        <v>70755</v>
      </c>
      <c r="Y820">
        <v>0</v>
      </c>
      <c r="Z820" s="31">
        <v>186006</v>
      </c>
      <c r="AA820">
        <v>8</v>
      </c>
      <c r="AB820" s="3">
        <f t="shared" si="38"/>
        <v>186006</v>
      </c>
      <c r="AC820" t="str">
        <f>IF(AB820-S820&lt;0,"YES","NO")</f>
        <v>YES</v>
      </c>
      <c r="AD820">
        <f>IF(AC820="NO",0,AB820-S820)</f>
        <v>-38994</v>
      </c>
      <c r="AE820" s="43">
        <v>0.08</v>
      </c>
      <c r="AF820" s="3">
        <f t="shared" si="39"/>
        <v>-36105.555555555555</v>
      </c>
      <c r="AG820" s="45">
        <f t="shared" si="40"/>
        <v>-39716.111111111117</v>
      </c>
      <c r="AH820" s="55"/>
    </row>
    <row r="821" spans="1:34" x14ac:dyDescent="0.25">
      <c r="A821" t="s">
        <v>3309</v>
      </c>
      <c r="B821" t="s">
        <v>3310</v>
      </c>
      <c r="C821" t="s">
        <v>3311</v>
      </c>
      <c r="D821" t="s">
        <v>3312</v>
      </c>
      <c r="E821" t="s">
        <v>3313</v>
      </c>
      <c r="F821" t="s">
        <v>3314</v>
      </c>
      <c r="G821" t="s">
        <v>5</v>
      </c>
      <c r="H821" t="s">
        <v>65</v>
      </c>
      <c r="I821" t="s">
        <v>66</v>
      </c>
      <c r="J821" t="s">
        <v>67</v>
      </c>
      <c r="K821" t="s">
        <v>3</v>
      </c>
      <c r="L821" t="s">
        <v>4</v>
      </c>
      <c r="M821" t="s">
        <v>49</v>
      </c>
      <c r="N821" t="s">
        <v>3315</v>
      </c>
      <c r="O821" s="31" t="s">
        <v>3316</v>
      </c>
      <c r="P821">
        <v>220</v>
      </c>
      <c r="R821">
        <v>3</v>
      </c>
      <c r="S821" s="31">
        <v>225000</v>
      </c>
      <c r="T821" s="39">
        <v>240000</v>
      </c>
      <c r="U821">
        <v>39006</v>
      </c>
      <c r="V821">
        <v>24000</v>
      </c>
      <c r="W821">
        <v>0</v>
      </c>
      <c r="X821" s="39">
        <v>67325.009999999995</v>
      </c>
      <c r="Y821">
        <v>0</v>
      </c>
      <c r="Z821" s="31">
        <v>176994</v>
      </c>
      <c r="AA821">
        <v>8</v>
      </c>
      <c r="AB821" s="3">
        <f t="shared" si="38"/>
        <v>176994</v>
      </c>
      <c r="AC821" t="str">
        <f>IF(AB821-S821&lt;0,"YES","NO")</f>
        <v>YES</v>
      </c>
      <c r="AD821">
        <f>IF(AC821="NO",0,AB821-S821)</f>
        <v>-48006</v>
      </c>
      <c r="AE821" s="43">
        <v>0.08</v>
      </c>
      <c r="AF821" s="3">
        <f t="shared" si="39"/>
        <v>-44450</v>
      </c>
      <c r="AG821" s="45">
        <f t="shared" si="40"/>
        <v>-48895.000000000007</v>
      </c>
      <c r="AH821" s="55"/>
    </row>
    <row r="822" spans="1:34" x14ac:dyDescent="0.25">
      <c r="A822" t="s">
        <v>3317</v>
      </c>
      <c r="B822" t="s">
        <v>3318</v>
      </c>
      <c r="C822" t="s">
        <v>3319</v>
      </c>
      <c r="D822" t="s">
        <v>3320</v>
      </c>
      <c r="E822" t="s">
        <v>3321</v>
      </c>
      <c r="F822" t="s">
        <v>3322</v>
      </c>
      <c r="G822" t="s">
        <v>5</v>
      </c>
      <c r="H822" t="s">
        <v>65</v>
      </c>
      <c r="I822" t="s">
        <v>68</v>
      </c>
      <c r="J822" t="s">
        <v>69</v>
      </c>
      <c r="K822" t="s">
        <v>3</v>
      </c>
      <c r="L822" t="s">
        <v>4</v>
      </c>
      <c r="M822" t="s">
        <v>49</v>
      </c>
      <c r="N822" t="s">
        <v>3323</v>
      </c>
      <c r="O822" s="31" t="s">
        <v>3324</v>
      </c>
      <c r="P822">
        <v>220</v>
      </c>
      <c r="Q822" t="s">
        <v>70</v>
      </c>
      <c r="R822">
        <v>2</v>
      </c>
      <c r="S822" s="31">
        <v>118000</v>
      </c>
      <c r="T822" s="39">
        <v>130000</v>
      </c>
      <c r="U822">
        <v>10000</v>
      </c>
      <c r="V822">
        <v>12000</v>
      </c>
      <c r="W822">
        <v>0</v>
      </c>
      <c r="X822" s="39">
        <v>31600</v>
      </c>
      <c r="Y822">
        <v>0</v>
      </c>
      <c r="Z822" s="31">
        <v>108000</v>
      </c>
      <c r="AA822">
        <v>8</v>
      </c>
      <c r="AB822" s="3">
        <f t="shared" si="38"/>
        <v>108000</v>
      </c>
      <c r="AC822" t="str">
        <f>IF(AB822-S822&lt;0,"YES","NO")</f>
        <v>YES</v>
      </c>
      <c r="AD822">
        <f>IF(AC822="NO",0,AB822-S822)</f>
        <v>-10000</v>
      </c>
      <c r="AE822" s="43">
        <v>0.08</v>
      </c>
      <c r="AF822" s="3">
        <f t="shared" si="39"/>
        <v>-9259.2592592592591</v>
      </c>
      <c r="AG822" s="45">
        <f t="shared" si="40"/>
        <v>-10185.185185185186</v>
      </c>
      <c r="AH822" s="55"/>
    </row>
    <row r="823" spans="1:34" x14ac:dyDescent="0.25">
      <c r="A823" t="s">
        <v>3317</v>
      </c>
      <c r="B823" t="s">
        <v>3318</v>
      </c>
      <c r="C823" t="s">
        <v>3319</v>
      </c>
      <c r="D823" t="s">
        <v>3320</v>
      </c>
      <c r="E823" t="s">
        <v>3321</v>
      </c>
      <c r="F823" t="s">
        <v>3322</v>
      </c>
      <c r="G823" t="s">
        <v>5</v>
      </c>
      <c r="H823" t="s">
        <v>65</v>
      </c>
      <c r="I823" t="s">
        <v>73</v>
      </c>
      <c r="J823" t="s">
        <v>74</v>
      </c>
      <c r="K823" t="s">
        <v>3</v>
      </c>
      <c r="L823" t="s">
        <v>4</v>
      </c>
      <c r="M823" t="s">
        <v>49</v>
      </c>
      <c r="N823" t="s">
        <v>3323</v>
      </c>
      <c r="O823" s="31" t="s">
        <v>3324</v>
      </c>
      <c r="P823">
        <v>220</v>
      </c>
      <c r="Q823" t="s">
        <v>70</v>
      </c>
      <c r="R823">
        <v>2</v>
      </c>
      <c r="S823" s="31">
        <v>118000</v>
      </c>
      <c r="T823" s="39">
        <v>130000</v>
      </c>
      <c r="U823">
        <v>10000</v>
      </c>
      <c r="V823">
        <v>12000</v>
      </c>
      <c r="W823">
        <v>0</v>
      </c>
      <c r="X823" s="39">
        <v>31600</v>
      </c>
      <c r="Y823">
        <v>0</v>
      </c>
      <c r="Z823" s="31">
        <v>108000</v>
      </c>
      <c r="AA823">
        <v>8</v>
      </c>
      <c r="AB823" s="3">
        <f t="shared" si="38"/>
        <v>108000</v>
      </c>
      <c r="AC823" t="str">
        <f>IF(AB823-S823&lt;0,"YES","NO")</f>
        <v>YES</v>
      </c>
      <c r="AD823">
        <f>IF(AC823="NO",0,AB823-S823)</f>
        <v>-10000</v>
      </c>
      <c r="AE823" s="43">
        <v>0.08</v>
      </c>
      <c r="AF823" s="3">
        <f t="shared" si="39"/>
        <v>-9259.2592592592591</v>
      </c>
      <c r="AG823" s="45">
        <f t="shared" si="40"/>
        <v>-10185.185185185186</v>
      </c>
      <c r="AH823" s="55"/>
    </row>
    <row r="824" spans="1:34" x14ac:dyDescent="0.25">
      <c r="A824" t="s">
        <v>3325</v>
      </c>
      <c r="B824" t="s">
        <v>3326</v>
      </c>
      <c r="C824" t="s">
        <v>3327</v>
      </c>
      <c r="D824" t="s">
        <v>3328</v>
      </c>
      <c r="E824" t="s">
        <v>3329</v>
      </c>
      <c r="F824" t="s">
        <v>3330</v>
      </c>
      <c r="G824" t="s">
        <v>5</v>
      </c>
      <c r="H824" t="s">
        <v>61</v>
      </c>
      <c r="I824" t="s">
        <v>84</v>
      </c>
      <c r="J824" t="s">
        <v>85</v>
      </c>
      <c r="K824" t="s">
        <v>3</v>
      </c>
      <c r="L824" t="s">
        <v>4</v>
      </c>
      <c r="M824" t="s">
        <v>49</v>
      </c>
      <c r="N824" t="s">
        <v>3331</v>
      </c>
      <c r="O824" s="31" t="s">
        <v>3332</v>
      </c>
      <c r="P824">
        <v>100</v>
      </c>
      <c r="Q824" t="s">
        <v>86</v>
      </c>
      <c r="R824">
        <v>1</v>
      </c>
      <c r="S824" s="31">
        <v>0</v>
      </c>
      <c r="T824" s="39">
        <v>0</v>
      </c>
      <c r="U824">
        <v>0</v>
      </c>
      <c r="V824">
        <v>0</v>
      </c>
      <c r="W824">
        <v>0</v>
      </c>
      <c r="X824" s="39">
        <v>0</v>
      </c>
      <c r="Y824">
        <v>0</v>
      </c>
      <c r="Z824" s="31">
        <v>0</v>
      </c>
      <c r="AA824">
        <v>8</v>
      </c>
      <c r="AB824" s="3">
        <f t="shared" si="38"/>
        <v>0</v>
      </c>
      <c r="AC824" t="str">
        <f>IF(AB824-S824&lt;0,"YES","NO")</f>
        <v>NO</v>
      </c>
      <c r="AD824">
        <f>IF(AC824="NO",0,AB824-S824)</f>
        <v>0</v>
      </c>
      <c r="AE824" s="43">
        <v>0.08</v>
      </c>
      <c r="AF824" s="3">
        <f t="shared" si="39"/>
        <v>0</v>
      </c>
      <c r="AG824" s="45">
        <f t="shared" si="40"/>
        <v>0</v>
      </c>
      <c r="AH824" s="55"/>
    </row>
    <row r="825" spans="1:34" x14ac:dyDescent="0.25">
      <c r="A825" t="s">
        <v>3325</v>
      </c>
      <c r="B825" t="s">
        <v>3326</v>
      </c>
      <c r="C825" t="s">
        <v>3327</v>
      </c>
      <c r="D825" t="s">
        <v>3328</v>
      </c>
      <c r="E825" t="s">
        <v>3329</v>
      </c>
      <c r="F825" t="s">
        <v>3330</v>
      </c>
      <c r="G825" t="s">
        <v>5</v>
      </c>
      <c r="H825" t="s">
        <v>65</v>
      </c>
      <c r="I825" t="s">
        <v>66</v>
      </c>
      <c r="J825" t="s">
        <v>67</v>
      </c>
      <c r="K825" t="s">
        <v>3</v>
      </c>
      <c r="L825" t="s">
        <v>4</v>
      </c>
      <c r="M825" t="s">
        <v>49</v>
      </c>
      <c r="N825" t="s">
        <v>3331</v>
      </c>
      <c r="O825" s="31" t="s">
        <v>3332</v>
      </c>
      <c r="P825">
        <v>220</v>
      </c>
      <c r="R825">
        <v>1</v>
      </c>
      <c r="S825" s="31">
        <v>75000</v>
      </c>
      <c r="T825" s="39">
        <v>80000</v>
      </c>
      <c r="U825">
        <v>11666.67</v>
      </c>
      <c r="V825">
        <v>4333.33</v>
      </c>
      <c r="W825">
        <v>0</v>
      </c>
      <c r="X825" s="39">
        <v>24466.67</v>
      </c>
      <c r="Y825">
        <v>0</v>
      </c>
      <c r="Z825" s="31">
        <v>64000</v>
      </c>
      <c r="AA825">
        <v>8</v>
      </c>
      <c r="AB825" s="3">
        <f t="shared" si="38"/>
        <v>64000</v>
      </c>
      <c r="AC825" t="str">
        <f>IF(AB825-S825&lt;0,"YES","NO")</f>
        <v>YES</v>
      </c>
      <c r="AD825">
        <f>IF(AC825="NO",0,AB825-S825)</f>
        <v>-11000</v>
      </c>
      <c r="AE825" s="43">
        <v>0.08</v>
      </c>
      <c r="AF825" s="3">
        <f t="shared" si="39"/>
        <v>-10185.185185185184</v>
      </c>
      <c r="AG825" s="45">
        <f t="shared" si="40"/>
        <v>-11203.703703703704</v>
      </c>
      <c r="AH825" s="55"/>
    </row>
    <row r="826" spans="1:34" x14ac:dyDescent="0.25">
      <c r="A826" t="s">
        <v>3325</v>
      </c>
      <c r="B826" t="s">
        <v>3326</v>
      </c>
      <c r="C826" t="s">
        <v>3327</v>
      </c>
      <c r="D826" t="s">
        <v>3328</v>
      </c>
      <c r="E826" t="s">
        <v>3329</v>
      </c>
      <c r="F826" t="s">
        <v>3330</v>
      </c>
      <c r="G826" t="s">
        <v>5</v>
      </c>
      <c r="H826" t="s">
        <v>65</v>
      </c>
      <c r="I826" t="s">
        <v>78</v>
      </c>
      <c r="J826" t="s">
        <v>79</v>
      </c>
      <c r="K826" t="s">
        <v>3</v>
      </c>
      <c r="L826" t="s">
        <v>4</v>
      </c>
      <c r="M826" t="s">
        <v>49</v>
      </c>
      <c r="N826" t="s">
        <v>3331</v>
      </c>
      <c r="O826" s="31" t="s">
        <v>3332</v>
      </c>
      <c r="P826">
        <v>220</v>
      </c>
      <c r="R826">
        <v>1</v>
      </c>
      <c r="S826" s="31">
        <v>75000</v>
      </c>
      <c r="T826" s="39">
        <v>80000</v>
      </c>
      <c r="U826">
        <v>11666.67</v>
      </c>
      <c r="V826">
        <v>4333.33</v>
      </c>
      <c r="W826">
        <v>0</v>
      </c>
      <c r="X826" s="39">
        <v>24466.67</v>
      </c>
      <c r="Y826">
        <v>0</v>
      </c>
      <c r="Z826" s="31">
        <v>64000</v>
      </c>
      <c r="AA826">
        <v>8</v>
      </c>
      <c r="AB826" s="3">
        <f t="shared" si="38"/>
        <v>64000</v>
      </c>
      <c r="AC826" t="str">
        <f>IF(AB826-S826&lt;0,"YES","NO")</f>
        <v>YES</v>
      </c>
      <c r="AD826">
        <f>IF(AC826="NO",0,AB826-S826)</f>
        <v>-11000</v>
      </c>
      <c r="AE826" s="43">
        <v>0.08</v>
      </c>
      <c r="AF826" s="3">
        <f t="shared" si="39"/>
        <v>-10185.185185185184</v>
      </c>
      <c r="AG826" s="45">
        <f t="shared" si="40"/>
        <v>-11203.703703703704</v>
      </c>
      <c r="AH826" s="55"/>
    </row>
    <row r="827" spans="1:34" x14ac:dyDescent="0.25">
      <c r="A827" t="s">
        <v>3325</v>
      </c>
      <c r="B827" t="s">
        <v>3326</v>
      </c>
      <c r="C827" t="s">
        <v>3327</v>
      </c>
      <c r="D827" t="s">
        <v>3328</v>
      </c>
      <c r="E827" t="s">
        <v>3329</v>
      </c>
      <c r="F827" t="s">
        <v>3330</v>
      </c>
      <c r="G827" t="s">
        <v>5</v>
      </c>
      <c r="H827" t="s">
        <v>65</v>
      </c>
      <c r="I827" t="s">
        <v>80</v>
      </c>
      <c r="J827" t="s">
        <v>81</v>
      </c>
      <c r="K827" t="s">
        <v>3</v>
      </c>
      <c r="L827" t="s">
        <v>4</v>
      </c>
      <c r="M827" t="s">
        <v>49</v>
      </c>
      <c r="N827" t="s">
        <v>3331</v>
      </c>
      <c r="O827" s="31" t="s">
        <v>3332</v>
      </c>
      <c r="P827">
        <v>220</v>
      </c>
      <c r="R827">
        <v>1</v>
      </c>
      <c r="S827" s="31">
        <v>75000</v>
      </c>
      <c r="T827" s="39">
        <v>80000</v>
      </c>
      <c r="U827">
        <v>11666.67</v>
      </c>
      <c r="V827">
        <v>4333.33</v>
      </c>
      <c r="W827">
        <v>0</v>
      </c>
      <c r="X827" s="39">
        <v>24466.67</v>
      </c>
      <c r="Y827">
        <v>0</v>
      </c>
      <c r="Z827" s="31">
        <v>64000</v>
      </c>
      <c r="AA827">
        <v>8</v>
      </c>
      <c r="AB827" s="3">
        <f t="shared" si="38"/>
        <v>64000</v>
      </c>
      <c r="AC827" t="str">
        <f>IF(AB827-S827&lt;0,"YES","NO")</f>
        <v>YES</v>
      </c>
      <c r="AD827">
        <f>IF(AC827="NO",0,AB827-S827)</f>
        <v>-11000</v>
      </c>
      <c r="AE827" s="43">
        <v>0.08</v>
      </c>
      <c r="AF827" s="3">
        <f t="shared" si="39"/>
        <v>-10185.185185185184</v>
      </c>
      <c r="AG827" s="45">
        <f t="shared" si="40"/>
        <v>-11203.703703703704</v>
      </c>
      <c r="AH827" s="55"/>
    </row>
    <row r="828" spans="1:34" x14ac:dyDescent="0.25">
      <c r="A828" t="s">
        <v>3333</v>
      </c>
      <c r="B828" t="s">
        <v>3334</v>
      </c>
      <c r="C828" t="s">
        <v>3335</v>
      </c>
      <c r="D828" t="s">
        <v>3336</v>
      </c>
      <c r="E828" t="s">
        <v>3337</v>
      </c>
      <c r="F828" t="s">
        <v>3338</v>
      </c>
      <c r="G828" t="s">
        <v>5</v>
      </c>
      <c r="H828" t="s">
        <v>61</v>
      </c>
      <c r="I828" t="s">
        <v>97</v>
      </c>
      <c r="J828" t="s">
        <v>98</v>
      </c>
      <c r="K828" t="s">
        <v>3</v>
      </c>
      <c r="L828" t="s">
        <v>4</v>
      </c>
      <c r="M828" t="s">
        <v>49</v>
      </c>
      <c r="N828" t="s">
        <v>3339</v>
      </c>
      <c r="O828" s="31" t="s">
        <v>3340</v>
      </c>
      <c r="P828">
        <v>20</v>
      </c>
      <c r="Q828" t="s">
        <v>99</v>
      </c>
      <c r="R828">
        <v>1</v>
      </c>
      <c r="S828" s="31">
        <v>0</v>
      </c>
      <c r="T828" s="39">
        <v>0</v>
      </c>
      <c r="U828">
        <v>0</v>
      </c>
      <c r="V828">
        <v>0</v>
      </c>
      <c r="W828">
        <v>0</v>
      </c>
      <c r="X828" s="39">
        <v>0</v>
      </c>
      <c r="Y828">
        <v>0</v>
      </c>
      <c r="Z828" s="31">
        <v>0</v>
      </c>
      <c r="AA828">
        <v>8</v>
      </c>
      <c r="AB828" s="3">
        <f t="shared" si="38"/>
        <v>0</v>
      </c>
      <c r="AC828" t="str">
        <f>IF(AB828-S828&lt;0,"YES","NO")</f>
        <v>NO</v>
      </c>
      <c r="AD828">
        <f>IF(AC828="NO",0,AB828-S828)</f>
        <v>0</v>
      </c>
      <c r="AE828" s="43">
        <v>0.08</v>
      </c>
      <c r="AF828" s="3">
        <f t="shared" si="39"/>
        <v>0</v>
      </c>
      <c r="AG828" s="45">
        <f t="shared" si="40"/>
        <v>0</v>
      </c>
      <c r="AH828" s="55"/>
    </row>
    <row r="829" spans="1:34" x14ac:dyDescent="0.25">
      <c r="A829" t="s">
        <v>3333</v>
      </c>
      <c r="B829" t="s">
        <v>3334</v>
      </c>
      <c r="C829" t="s">
        <v>3335</v>
      </c>
      <c r="D829" t="s">
        <v>3336</v>
      </c>
      <c r="E829" t="s">
        <v>3337</v>
      </c>
      <c r="F829" t="s">
        <v>3338</v>
      </c>
      <c r="G829" t="s">
        <v>5</v>
      </c>
      <c r="H829" t="s">
        <v>65</v>
      </c>
      <c r="I829" t="s">
        <v>100</v>
      </c>
      <c r="J829" t="s">
        <v>101</v>
      </c>
      <c r="K829" t="s">
        <v>3</v>
      </c>
      <c r="L829" t="s">
        <v>4</v>
      </c>
      <c r="M829" t="s">
        <v>49</v>
      </c>
      <c r="N829" t="s">
        <v>3339</v>
      </c>
      <c r="O829" s="31" t="s">
        <v>3340</v>
      </c>
      <c r="P829">
        <v>200</v>
      </c>
      <c r="R829">
        <v>2</v>
      </c>
      <c r="S829" s="31">
        <v>144000</v>
      </c>
      <c r="T829" s="39">
        <v>160000</v>
      </c>
      <c r="U829">
        <v>10993</v>
      </c>
      <c r="V829">
        <v>16000</v>
      </c>
      <c r="W829">
        <v>0</v>
      </c>
      <c r="X829" s="39">
        <v>37595</v>
      </c>
      <c r="Y829">
        <v>0</v>
      </c>
      <c r="Z829" s="31">
        <v>133007</v>
      </c>
      <c r="AA829">
        <v>8</v>
      </c>
      <c r="AB829" s="3">
        <f t="shared" si="38"/>
        <v>133007</v>
      </c>
      <c r="AC829" t="str">
        <f>IF(AB829-S829&lt;0,"YES","NO")</f>
        <v>YES</v>
      </c>
      <c r="AD829">
        <f>IF(AC829="NO",0,AB829-S829)</f>
        <v>-10993</v>
      </c>
      <c r="AE829" s="43">
        <v>0.08</v>
      </c>
      <c r="AF829" s="3">
        <f t="shared" si="39"/>
        <v>-10178.703703703703</v>
      </c>
      <c r="AG829" s="45">
        <f t="shared" si="40"/>
        <v>-11196.574074074073</v>
      </c>
      <c r="AH829" s="55"/>
    </row>
    <row r="830" spans="1:34" x14ac:dyDescent="0.25">
      <c r="A830" t="s">
        <v>3333</v>
      </c>
      <c r="B830" t="s">
        <v>3334</v>
      </c>
      <c r="C830" t="s">
        <v>3335</v>
      </c>
      <c r="D830" t="s">
        <v>3336</v>
      </c>
      <c r="E830" t="s">
        <v>3337</v>
      </c>
      <c r="F830" t="s">
        <v>3338</v>
      </c>
      <c r="G830" t="s">
        <v>5</v>
      </c>
      <c r="H830" t="s">
        <v>65</v>
      </c>
      <c r="I830" t="s">
        <v>71</v>
      </c>
      <c r="J830" t="s">
        <v>72</v>
      </c>
      <c r="K830" t="s">
        <v>3</v>
      </c>
      <c r="L830" t="s">
        <v>4</v>
      </c>
      <c r="M830" t="s">
        <v>49</v>
      </c>
      <c r="N830" t="s">
        <v>3339</v>
      </c>
      <c r="O830" s="31" t="s">
        <v>3340</v>
      </c>
      <c r="P830">
        <v>220</v>
      </c>
      <c r="Q830" t="s">
        <v>70</v>
      </c>
      <c r="R830">
        <v>2</v>
      </c>
      <c r="S830" s="31">
        <v>118000</v>
      </c>
      <c r="T830" s="39">
        <v>130000</v>
      </c>
      <c r="U830">
        <v>9007</v>
      </c>
      <c r="V830">
        <v>12000</v>
      </c>
      <c r="W830">
        <v>0</v>
      </c>
      <c r="X830" s="39">
        <v>30805</v>
      </c>
      <c r="Y830">
        <v>0</v>
      </c>
      <c r="Z830" s="31">
        <v>108993</v>
      </c>
      <c r="AA830">
        <v>8</v>
      </c>
      <c r="AB830" s="3">
        <f t="shared" si="38"/>
        <v>108993</v>
      </c>
      <c r="AC830" t="str">
        <f>IF(AB830-S830&lt;0,"YES","NO")</f>
        <v>YES</v>
      </c>
      <c r="AD830">
        <f>IF(AC830="NO",0,AB830-S830)</f>
        <v>-9007</v>
      </c>
      <c r="AE830" s="43">
        <v>0.08</v>
      </c>
      <c r="AF830" s="3">
        <f t="shared" si="39"/>
        <v>-8339.8148148148139</v>
      </c>
      <c r="AG830" s="45">
        <f t="shared" si="40"/>
        <v>-9173.7962962962956</v>
      </c>
      <c r="AH830" s="55"/>
    </row>
    <row r="831" spans="1:34" x14ac:dyDescent="0.25">
      <c r="A831" t="s">
        <v>3341</v>
      </c>
      <c r="B831" t="s">
        <v>3342</v>
      </c>
      <c r="C831" t="s">
        <v>3343</v>
      </c>
      <c r="D831" t="s">
        <v>3344</v>
      </c>
      <c r="E831" t="s">
        <v>3345</v>
      </c>
      <c r="F831" t="s">
        <v>3346</v>
      </c>
      <c r="G831" t="s">
        <v>5</v>
      </c>
      <c r="H831" t="s">
        <v>65</v>
      </c>
      <c r="I831" t="s">
        <v>68</v>
      </c>
      <c r="J831" t="s">
        <v>69</v>
      </c>
      <c r="K831" t="s">
        <v>3</v>
      </c>
      <c r="L831" t="s">
        <v>4</v>
      </c>
      <c r="M831" t="s">
        <v>49</v>
      </c>
      <c r="N831" t="s">
        <v>3347</v>
      </c>
      <c r="O831" s="31" t="s">
        <v>3348</v>
      </c>
      <c r="P831">
        <v>220</v>
      </c>
      <c r="Q831" t="s">
        <v>70</v>
      </c>
      <c r="R831">
        <v>1</v>
      </c>
      <c r="S831" s="31">
        <v>59000</v>
      </c>
      <c r="T831" s="39">
        <v>65000</v>
      </c>
      <c r="U831">
        <v>5303</v>
      </c>
      <c r="V831">
        <v>5000</v>
      </c>
      <c r="W831">
        <v>0</v>
      </c>
      <c r="X831" s="39">
        <v>35606</v>
      </c>
      <c r="Y831">
        <v>0</v>
      </c>
      <c r="Z831" s="31">
        <v>54697</v>
      </c>
      <c r="AA831">
        <v>8</v>
      </c>
      <c r="AB831" s="3">
        <f t="shared" si="38"/>
        <v>54697</v>
      </c>
      <c r="AC831" t="str">
        <f>IF(AB831-S831&lt;0,"YES","NO")</f>
        <v>YES</v>
      </c>
      <c r="AD831">
        <f>IF(AC831="NO",0,AB831-S831)</f>
        <v>-4303</v>
      </c>
      <c r="AE831" s="43">
        <v>0.08</v>
      </c>
      <c r="AF831" s="3">
        <f t="shared" si="39"/>
        <v>-3984.2592592592591</v>
      </c>
      <c r="AG831" s="45">
        <f t="shared" si="40"/>
        <v>-4382.6851851851852</v>
      </c>
      <c r="AH831" s="55"/>
    </row>
    <row r="832" spans="1:34" x14ac:dyDescent="0.25">
      <c r="A832" t="s">
        <v>3341</v>
      </c>
      <c r="B832" t="s">
        <v>3342</v>
      </c>
      <c r="C832" t="s">
        <v>3343</v>
      </c>
      <c r="D832" t="s">
        <v>3344</v>
      </c>
      <c r="E832" t="s">
        <v>3345</v>
      </c>
      <c r="F832" t="s">
        <v>3346</v>
      </c>
      <c r="G832" t="s">
        <v>5</v>
      </c>
      <c r="H832" t="s">
        <v>65</v>
      </c>
      <c r="I832" t="s">
        <v>71</v>
      </c>
      <c r="J832" t="s">
        <v>72</v>
      </c>
      <c r="K832" t="s">
        <v>3</v>
      </c>
      <c r="L832" t="s">
        <v>4</v>
      </c>
      <c r="M832" t="s">
        <v>49</v>
      </c>
      <c r="N832" t="s">
        <v>3347</v>
      </c>
      <c r="O832" s="31" t="s">
        <v>3348</v>
      </c>
      <c r="P832">
        <v>220</v>
      </c>
      <c r="Q832" t="s">
        <v>70</v>
      </c>
      <c r="R832">
        <v>1</v>
      </c>
      <c r="S832" s="31">
        <v>59000</v>
      </c>
      <c r="T832" s="39">
        <v>65000</v>
      </c>
      <c r="U832">
        <v>5303</v>
      </c>
      <c r="V832">
        <v>5000</v>
      </c>
      <c r="W832">
        <v>0</v>
      </c>
      <c r="X832" s="39">
        <v>35606</v>
      </c>
      <c r="Y832">
        <v>0</v>
      </c>
      <c r="Z832" s="31">
        <v>54697</v>
      </c>
      <c r="AA832">
        <v>8</v>
      </c>
      <c r="AB832" s="3">
        <f t="shared" si="38"/>
        <v>54697</v>
      </c>
      <c r="AC832" t="str">
        <f>IF(AB832-S832&lt;0,"YES","NO")</f>
        <v>YES</v>
      </c>
      <c r="AD832">
        <f>IF(AC832="NO",0,AB832-S832)</f>
        <v>-4303</v>
      </c>
      <c r="AE832" s="43">
        <v>0.08</v>
      </c>
      <c r="AF832" s="3">
        <f t="shared" si="39"/>
        <v>-3984.2592592592591</v>
      </c>
      <c r="AG832" s="45">
        <f t="shared" si="40"/>
        <v>-4382.6851851851852</v>
      </c>
      <c r="AH832" s="55"/>
    </row>
    <row r="833" spans="1:34" x14ac:dyDescent="0.25">
      <c r="A833" t="s">
        <v>3341</v>
      </c>
      <c r="B833" t="s">
        <v>3342</v>
      </c>
      <c r="C833" t="s">
        <v>3343</v>
      </c>
      <c r="D833" t="s">
        <v>3344</v>
      </c>
      <c r="E833" t="s">
        <v>3345</v>
      </c>
      <c r="F833" t="s">
        <v>3346</v>
      </c>
      <c r="G833" t="s">
        <v>5</v>
      </c>
      <c r="H833" t="s">
        <v>65</v>
      </c>
      <c r="I833" t="s">
        <v>73</v>
      </c>
      <c r="J833" t="s">
        <v>74</v>
      </c>
      <c r="K833" t="s">
        <v>3</v>
      </c>
      <c r="L833" t="s">
        <v>4</v>
      </c>
      <c r="M833" t="s">
        <v>49</v>
      </c>
      <c r="N833" t="s">
        <v>3347</v>
      </c>
      <c r="O833" s="31" t="s">
        <v>3348</v>
      </c>
      <c r="P833">
        <v>220</v>
      </c>
      <c r="Q833" t="s">
        <v>70</v>
      </c>
      <c r="R833">
        <v>1</v>
      </c>
      <c r="S833" s="31">
        <v>59000</v>
      </c>
      <c r="T833" s="39">
        <v>65000</v>
      </c>
      <c r="U833">
        <v>5303</v>
      </c>
      <c r="V833">
        <v>5000</v>
      </c>
      <c r="W833">
        <v>0</v>
      </c>
      <c r="X833" s="39">
        <v>35606</v>
      </c>
      <c r="Y833">
        <v>0</v>
      </c>
      <c r="Z833" s="31">
        <v>54697</v>
      </c>
      <c r="AA833">
        <v>8</v>
      </c>
      <c r="AB833" s="3">
        <f t="shared" si="38"/>
        <v>54697</v>
      </c>
      <c r="AC833" t="str">
        <f>IF(AB833-S833&lt;0,"YES","NO")</f>
        <v>YES</v>
      </c>
      <c r="AD833">
        <f>IF(AC833="NO",0,AB833-S833)</f>
        <v>-4303</v>
      </c>
      <c r="AE833" s="43">
        <v>0.08</v>
      </c>
      <c r="AF833" s="3">
        <f t="shared" si="39"/>
        <v>-3984.2592592592591</v>
      </c>
      <c r="AG833" s="45">
        <f t="shared" si="40"/>
        <v>-4382.6851851851852</v>
      </c>
      <c r="AH833" s="55"/>
    </row>
    <row r="834" spans="1:34" x14ac:dyDescent="0.25">
      <c r="A834" t="s">
        <v>3341</v>
      </c>
      <c r="B834" t="s">
        <v>3342</v>
      </c>
      <c r="C834" t="s">
        <v>3343</v>
      </c>
      <c r="D834" t="s">
        <v>3344</v>
      </c>
      <c r="E834" t="s">
        <v>3345</v>
      </c>
      <c r="F834" t="s">
        <v>3346</v>
      </c>
      <c r="G834" t="s">
        <v>5</v>
      </c>
      <c r="H834" t="s">
        <v>65</v>
      </c>
      <c r="I834" t="s">
        <v>66</v>
      </c>
      <c r="J834" t="s">
        <v>67</v>
      </c>
      <c r="K834" t="s">
        <v>3</v>
      </c>
      <c r="L834" t="s">
        <v>4</v>
      </c>
      <c r="M834" t="s">
        <v>49</v>
      </c>
      <c r="N834" t="s">
        <v>3347</v>
      </c>
      <c r="O834" s="31" t="s">
        <v>3348</v>
      </c>
      <c r="P834">
        <v>220</v>
      </c>
      <c r="R834">
        <v>3</v>
      </c>
      <c r="S834" s="31">
        <v>225000</v>
      </c>
      <c r="T834" s="39">
        <v>240000</v>
      </c>
      <c r="U834">
        <v>19091.009999999998</v>
      </c>
      <c r="V834">
        <v>24000</v>
      </c>
      <c r="W834">
        <v>0</v>
      </c>
      <c r="X834" s="39">
        <v>128181.99</v>
      </c>
      <c r="Y834">
        <v>0</v>
      </c>
      <c r="Z834" s="31">
        <v>196908.99</v>
      </c>
      <c r="AA834">
        <v>8</v>
      </c>
      <c r="AB834" s="3">
        <f t="shared" si="38"/>
        <v>196908.99</v>
      </c>
      <c r="AC834" t="str">
        <f>IF(AB834-S834&lt;0,"YES","NO")</f>
        <v>YES</v>
      </c>
      <c r="AD834">
        <f>IF(AC834="NO",0,AB834-S834)</f>
        <v>-28091.010000000009</v>
      </c>
      <c r="AE834" s="43">
        <v>0.08</v>
      </c>
      <c r="AF834" s="3">
        <f t="shared" si="39"/>
        <v>-26010.194444444453</v>
      </c>
      <c r="AG834" s="45">
        <f t="shared" si="40"/>
        <v>-28611.213888888899</v>
      </c>
      <c r="AH834" s="55"/>
    </row>
    <row r="835" spans="1:34" x14ac:dyDescent="0.25">
      <c r="A835" t="s">
        <v>3349</v>
      </c>
      <c r="B835" t="s">
        <v>3350</v>
      </c>
      <c r="C835" t="s">
        <v>3351</v>
      </c>
      <c r="D835" t="s">
        <v>3352</v>
      </c>
      <c r="E835" t="s">
        <v>3353</v>
      </c>
      <c r="F835" t="s">
        <v>3354</v>
      </c>
      <c r="G835" t="s">
        <v>5</v>
      </c>
      <c r="H835" t="s">
        <v>65</v>
      </c>
      <c r="I835" t="s">
        <v>66</v>
      </c>
      <c r="J835" t="s">
        <v>67</v>
      </c>
      <c r="K835" t="s">
        <v>3</v>
      </c>
      <c r="L835" t="s">
        <v>4</v>
      </c>
      <c r="M835" t="s">
        <v>49</v>
      </c>
      <c r="N835" t="s">
        <v>3355</v>
      </c>
      <c r="O835" s="31" t="s">
        <v>3356</v>
      </c>
      <c r="P835">
        <v>220</v>
      </c>
      <c r="R835">
        <v>6</v>
      </c>
      <c r="S835" s="31">
        <v>450000</v>
      </c>
      <c r="T835" s="39">
        <v>480000</v>
      </c>
      <c r="U835">
        <v>75000</v>
      </c>
      <c r="V835">
        <v>48000</v>
      </c>
      <c r="W835">
        <v>0</v>
      </c>
      <c r="X835" s="39">
        <v>75000</v>
      </c>
      <c r="Y835">
        <v>0</v>
      </c>
      <c r="Z835" s="31">
        <v>357000</v>
      </c>
      <c r="AA835">
        <v>8</v>
      </c>
      <c r="AB835" s="3">
        <f t="shared" si="38"/>
        <v>357000</v>
      </c>
      <c r="AC835" t="str">
        <f>IF(AB835-S835&lt;0,"YES","NO")</f>
        <v>YES</v>
      </c>
      <c r="AD835">
        <f>IF(AC835="NO",0,AB835-S835)</f>
        <v>-93000</v>
      </c>
      <c r="AE835" s="43">
        <v>0.08</v>
      </c>
      <c r="AF835" s="3">
        <f t="shared" si="39"/>
        <v>-86111.111111111109</v>
      </c>
      <c r="AG835" s="45">
        <f t="shared" si="40"/>
        <v>-94722.222222222234</v>
      </c>
      <c r="AH835" s="55"/>
    </row>
    <row r="836" spans="1:34" x14ac:dyDescent="0.25">
      <c r="A836" t="s">
        <v>3357</v>
      </c>
      <c r="B836" t="s">
        <v>3358</v>
      </c>
      <c r="C836" t="s">
        <v>3359</v>
      </c>
      <c r="D836" t="s">
        <v>3360</v>
      </c>
      <c r="E836" t="s">
        <v>3361</v>
      </c>
      <c r="F836" t="s">
        <v>3362</v>
      </c>
      <c r="G836" t="s">
        <v>5</v>
      </c>
      <c r="H836" t="s">
        <v>65</v>
      </c>
      <c r="I836" t="s">
        <v>66</v>
      </c>
      <c r="J836" t="s">
        <v>67</v>
      </c>
      <c r="K836" t="s">
        <v>3</v>
      </c>
      <c r="L836" t="s">
        <v>4</v>
      </c>
      <c r="M836" t="s">
        <v>49</v>
      </c>
      <c r="N836" t="s">
        <v>3363</v>
      </c>
      <c r="O836" s="31" t="s">
        <v>3364</v>
      </c>
      <c r="P836">
        <v>220</v>
      </c>
      <c r="R836">
        <v>2</v>
      </c>
      <c r="S836" s="31">
        <v>150000</v>
      </c>
      <c r="T836" s="39">
        <v>160000</v>
      </c>
      <c r="U836">
        <v>20000</v>
      </c>
      <c r="V836">
        <v>16000</v>
      </c>
      <c r="W836">
        <v>0</v>
      </c>
      <c r="X836" s="39">
        <v>55000</v>
      </c>
      <c r="Y836">
        <v>0</v>
      </c>
      <c r="Z836" s="31">
        <v>124000</v>
      </c>
      <c r="AA836">
        <v>8</v>
      </c>
      <c r="AB836" s="3">
        <f t="shared" si="38"/>
        <v>124000</v>
      </c>
      <c r="AC836" t="str">
        <f>IF(AB836-S836&lt;0,"YES","NO")</f>
        <v>YES</v>
      </c>
      <c r="AD836">
        <f>IF(AC836="NO",0,AB836-S836)</f>
        <v>-26000</v>
      </c>
      <c r="AE836" s="43">
        <v>0.08</v>
      </c>
      <c r="AF836" s="3">
        <f t="shared" si="39"/>
        <v>-24074.074074074073</v>
      </c>
      <c r="AG836" s="45">
        <f t="shared" si="40"/>
        <v>-26481.481481481482</v>
      </c>
      <c r="AH836" s="55"/>
    </row>
    <row r="837" spans="1:34" x14ac:dyDescent="0.25">
      <c r="A837" t="s">
        <v>3365</v>
      </c>
      <c r="B837" t="s">
        <v>3366</v>
      </c>
      <c r="C837" t="s">
        <v>3367</v>
      </c>
      <c r="D837" t="s">
        <v>3368</v>
      </c>
      <c r="E837" t="s">
        <v>3369</v>
      </c>
      <c r="F837" t="s">
        <v>3370</v>
      </c>
      <c r="G837" t="s">
        <v>5</v>
      </c>
      <c r="H837" t="s">
        <v>61</v>
      </c>
      <c r="I837" t="s">
        <v>84</v>
      </c>
      <c r="J837" t="s">
        <v>85</v>
      </c>
      <c r="K837" t="s">
        <v>3</v>
      </c>
      <c r="L837" t="s">
        <v>4</v>
      </c>
      <c r="M837" t="s">
        <v>49</v>
      </c>
      <c r="N837" t="s">
        <v>3371</v>
      </c>
      <c r="O837" s="31" t="s">
        <v>3372</v>
      </c>
      <c r="P837">
        <v>100</v>
      </c>
      <c r="Q837" t="s">
        <v>86</v>
      </c>
      <c r="R837">
        <v>1</v>
      </c>
      <c r="S837" s="31">
        <v>0</v>
      </c>
      <c r="T837" s="39">
        <v>0</v>
      </c>
      <c r="U837">
        <v>0</v>
      </c>
      <c r="V837">
        <v>0</v>
      </c>
      <c r="W837">
        <v>0</v>
      </c>
      <c r="X837" s="39">
        <v>0</v>
      </c>
      <c r="Y837">
        <v>0</v>
      </c>
      <c r="Z837" s="31">
        <v>0</v>
      </c>
      <c r="AA837">
        <v>8</v>
      </c>
      <c r="AB837" s="3">
        <f t="shared" si="38"/>
        <v>0</v>
      </c>
      <c r="AC837" t="str">
        <f>IF(AB837-S837&lt;0,"YES","NO")</f>
        <v>NO</v>
      </c>
      <c r="AD837">
        <f>IF(AC837="NO",0,AB837-S837)</f>
        <v>0</v>
      </c>
      <c r="AE837" s="43">
        <v>0.08</v>
      </c>
      <c r="AF837" s="3">
        <f t="shared" si="39"/>
        <v>0</v>
      </c>
      <c r="AG837" s="45">
        <f t="shared" si="40"/>
        <v>0</v>
      </c>
      <c r="AH837" s="55"/>
    </row>
    <row r="838" spans="1:34" x14ac:dyDescent="0.25">
      <c r="A838" t="s">
        <v>3365</v>
      </c>
      <c r="B838" t="s">
        <v>3366</v>
      </c>
      <c r="C838" t="s">
        <v>3367</v>
      </c>
      <c r="D838" t="s">
        <v>3368</v>
      </c>
      <c r="E838" t="s">
        <v>3369</v>
      </c>
      <c r="F838" t="s">
        <v>3370</v>
      </c>
      <c r="G838" t="s">
        <v>5</v>
      </c>
      <c r="H838" t="s">
        <v>65</v>
      </c>
      <c r="I838" t="s">
        <v>66</v>
      </c>
      <c r="J838" t="s">
        <v>67</v>
      </c>
      <c r="K838" t="s">
        <v>3</v>
      </c>
      <c r="L838" t="s">
        <v>4</v>
      </c>
      <c r="M838" t="s">
        <v>49</v>
      </c>
      <c r="N838" t="s">
        <v>3371</v>
      </c>
      <c r="O838" s="31" t="s">
        <v>3372</v>
      </c>
      <c r="P838">
        <v>220</v>
      </c>
      <c r="R838">
        <v>1</v>
      </c>
      <c r="S838" s="31">
        <v>75000</v>
      </c>
      <c r="T838" s="39">
        <v>80000</v>
      </c>
      <c r="U838">
        <v>11666.67</v>
      </c>
      <c r="V838">
        <v>4333.33</v>
      </c>
      <c r="W838">
        <v>0</v>
      </c>
      <c r="X838" s="39">
        <v>24466.67</v>
      </c>
      <c r="Y838">
        <v>0</v>
      </c>
      <c r="Z838" s="31">
        <v>64000</v>
      </c>
      <c r="AA838">
        <v>8</v>
      </c>
      <c r="AB838" s="3">
        <f t="shared" ref="AB838:AB901" si="41">Z838</f>
        <v>64000</v>
      </c>
      <c r="AC838" t="str">
        <f>IF(AB838-S838&lt;0,"YES","NO")</f>
        <v>YES</v>
      </c>
      <c r="AD838">
        <f>IF(AC838="NO",0,AB838-S838)</f>
        <v>-11000</v>
      </c>
      <c r="AE838" s="43">
        <v>0.08</v>
      </c>
      <c r="AF838" s="3">
        <f t="shared" ref="AF838:AF901" si="42">AD838/(1+AE838)</f>
        <v>-10185.185185185184</v>
      </c>
      <c r="AG838" s="45">
        <f t="shared" ref="AG838:AG901" si="43">AF838*1.1</f>
        <v>-11203.703703703704</v>
      </c>
      <c r="AH838" s="55"/>
    </row>
    <row r="839" spans="1:34" x14ac:dyDescent="0.25">
      <c r="A839" t="s">
        <v>3365</v>
      </c>
      <c r="B839" t="s">
        <v>3366</v>
      </c>
      <c r="C839" t="s">
        <v>3367</v>
      </c>
      <c r="D839" t="s">
        <v>3368</v>
      </c>
      <c r="E839" t="s">
        <v>3369</v>
      </c>
      <c r="F839" t="s">
        <v>3370</v>
      </c>
      <c r="G839" t="s">
        <v>5</v>
      </c>
      <c r="H839" t="s">
        <v>65</v>
      </c>
      <c r="I839" t="s">
        <v>78</v>
      </c>
      <c r="J839" t="s">
        <v>79</v>
      </c>
      <c r="K839" t="s">
        <v>3</v>
      </c>
      <c r="L839" t="s">
        <v>4</v>
      </c>
      <c r="M839" t="s">
        <v>49</v>
      </c>
      <c r="N839" t="s">
        <v>3371</v>
      </c>
      <c r="O839" s="31" t="s">
        <v>3372</v>
      </c>
      <c r="P839">
        <v>220</v>
      </c>
      <c r="R839">
        <v>1</v>
      </c>
      <c r="S839" s="31">
        <v>75000</v>
      </c>
      <c r="T839" s="39">
        <v>80000</v>
      </c>
      <c r="U839">
        <v>11666.67</v>
      </c>
      <c r="V839">
        <v>4333.33</v>
      </c>
      <c r="W839">
        <v>0</v>
      </c>
      <c r="X839" s="39">
        <v>24466.67</v>
      </c>
      <c r="Y839">
        <v>0</v>
      </c>
      <c r="Z839" s="31">
        <v>64000</v>
      </c>
      <c r="AA839">
        <v>8</v>
      </c>
      <c r="AB839" s="3">
        <f t="shared" si="41"/>
        <v>64000</v>
      </c>
      <c r="AC839" t="str">
        <f>IF(AB839-S839&lt;0,"YES","NO")</f>
        <v>YES</v>
      </c>
      <c r="AD839">
        <f>IF(AC839="NO",0,AB839-S839)</f>
        <v>-11000</v>
      </c>
      <c r="AE839" s="43">
        <v>0.08</v>
      </c>
      <c r="AF839" s="3">
        <f t="shared" si="42"/>
        <v>-10185.185185185184</v>
      </c>
      <c r="AG839" s="45">
        <f t="shared" si="43"/>
        <v>-11203.703703703704</v>
      </c>
      <c r="AH839" s="55"/>
    </row>
    <row r="840" spans="1:34" x14ac:dyDescent="0.25">
      <c r="A840" t="s">
        <v>3365</v>
      </c>
      <c r="B840" t="s">
        <v>3366</v>
      </c>
      <c r="C840" t="s">
        <v>3367</v>
      </c>
      <c r="D840" t="s">
        <v>3368</v>
      </c>
      <c r="E840" t="s">
        <v>3369</v>
      </c>
      <c r="F840" t="s">
        <v>3370</v>
      </c>
      <c r="G840" t="s">
        <v>5</v>
      </c>
      <c r="H840" t="s">
        <v>65</v>
      </c>
      <c r="I840" t="s">
        <v>80</v>
      </c>
      <c r="J840" t="s">
        <v>81</v>
      </c>
      <c r="K840" t="s">
        <v>3</v>
      </c>
      <c r="L840" t="s">
        <v>4</v>
      </c>
      <c r="M840" t="s">
        <v>49</v>
      </c>
      <c r="N840" t="s">
        <v>3371</v>
      </c>
      <c r="O840" s="31" t="s">
        <v>3372</v>
      </c>
      <c r="P840">
        <v>220</v>
      </c>
      <c r="R840">
        <v>1</v>
      </c>
      <c r="S840" s="31">
        <v>75000</v>
      </c>
      <c r="T840" s="39">
        <v>80000</v>
      </c>
      <c r="U840">
        <v>11666.67</v>
      </c>
      <c r="V840">
        <v>4333.33</v>
      </c>
      <c r="W840">
        <v>0</v>
      </c>
      <c r="X840" s="39">
        <v>24466.67</v>
      </c>
      <c r="Y840">
        <v>0</v>
      </c>
      <c r="Z840" s="31">
        <v>64000</v>
      </c>
      <c r="AA840">
        <v>8</v>
      </c>
      <c r="AB840" s="3">
        <f t="shared" si="41"/>
        <v>64000</v>
      </c>
      <c r="AC840" t="str">
        <f>IF(AB840-S840&lt;0,"YES","NO")</f>
        <v>YES</v>
      </c>
      <c r="AD840">
        <f>IF(AC840="NO",0,AB840-S840)</f>
        <v>-11000</v>
      </c>
      <c r="AE840" s="43">
        <v>0.08</v>
      </c>
      <c r="AF840" s="3">
        <f t="shared" si="42"/>
        <v>-10185.185185185184</v>
      </c>
      <c r="AG840" s="45">
        <f t="shared" si="43"/>
        <v>-11203.703703703704</v>
      </c>
      <c r="AH840" s="55"/>
    </row>
    <row r="841" spans="1:34" x14ac:dyDescent="0.25">
      <c r="A841" t="s">
        <v>3373</v>
      </c>
      <c r="B841" t="s">
        <v>3374</v>
      </c>
      <c r="C841" t="s">
        <v>3375</v>
      </c>
      <c r="D841" t="s">
        <v>3376</v>
      </c>
      <c r="E841" t="s">
        <v>3377</v>
      </c>
      <c r="F841" t="s">
        <v>3378</v>
      </c>
      <c r="G841" t="s">
        <v>5</v>
      </c>
      <c r="H841" t="s">
        <v>65</v>
      </c>
      <c r="I841" t="s">
        <v>66</v>
      </c>
      <c r="J841" t="s">
        <v>67</v>
      </c>
      <c r="K841" t="s">
        <v>3</v>
      </c>
      <c r="L841" t="s">
        <v>4</v>
      </c>
      <c r="M841" t="s">
        <v>49</v>
      </c>
      <c r="N841" t="s">
        <v>3379</v>
      </c>
      <c r="O841" s="31" t="s">
        <v>3380</v>
      </c>
      <c r="P841">
        <v>220</v>
      </c>
      <c r="R841">
        <v>2</v>
      </c>
      <c r="S841" s="31">
        <v>150000</v>
      </c>
      <c r="T841" s="39">
        <v>160000</v>
      </c>
      <c r="U841">
        <v>20000</v>
      </c>
      <c r="V841">
        <v>16000</v>
      </c>
      <c r="W841">
        <v>0</v>
      </c>
      <c r="X841" s="39">
        <v>44800</v>
      </c>
      <c r="Y841">
        <v>0</v>
      </c>
      <c r="Z841" s="31">
        <v>124000</v>
      </c>
      <c r="AA841">
        <v>8</v>
      </c>
      <c r="AB841" s="3">
        <f t="shared" si="41"/>
        <v>124000</v>
      </c>
      <c r="AC841" t="str">
        <f>IF(AB841-S841&lt;0,"YES","NO")</f>
        <v>YES</v>
      </c>
      <c r="AD841">
        <f>IF(AC841="NO",0,AB841-S841)</f>
        <v>-26000</v>
      </c>
      <c r="AE841" s="43">
        <v>0.08</v>
      </c>
      <c r="AF841" s="3">
        <f t="shared" si="42"/>
        <v>-24074.074074074073</v>
      </c>
      <c r="AG841" s="45">
        <f t="shared" si="43"/>
        <v>-26481.481481481482</v>
      </c>
      <c r="AH841" s="55"/>
    </row>
    <row r="842" spans="1:34" x14ac:dyDescent="0.25">
      <c r="A842" t="s">
        <v>3381</v>
      </c>
      <c r="B842" t="s">
        <v>3382</v>
      </c>
      <c r="C842" t="s">
        <v>3383</v>
      </c>
      <c r="D842" t="s">
        <v>3384</v>
      </c>
      <c r="E842" t="s">
        <v>3385</v>
      </c>
      <c r="F842" t="s">
        <v>3386</v>
      </c>
      <c r="G842" t="s">
        <v>5</v>
      </c>
      <c r="H842" t="s">
        <v>65</v>
      </c>
      <c r="I842" t="s">
        <v>66</v>
      </c>
      <c r="J842" t="s">
        <v>67</v>
      </c>
      <c r="K842" t="s">
        <v>3</v>
      </c>
      <c r="L842" t="s">
        <v>4</v>
      </c>
      <c r="M842" t="s">
        <v>49</v>
      </c>
      <c r="N842" t="s">
        <v>3387</v>
      </c>
      <c r="O842" s="31" t="s">
        <v>3388</v>
      </c>
      <c r="P842">
        <v>220</v>
      </c>
      <c r="R842">
        <v>3</v>
      </c>
      <c r="S842" s="31">
        <v>225000</v>
      </c>
      <c r="T842" s="39">
        <v>240000</v>
      </c>
      <c r="U842">
        <v>35000.01</v>
      </c>
      <c r="V842">
        <v>24000</v>
      </c>
      <c r="W842">
        <v>0</v>
      </c>
      <c r="X842" s="39">
        <v>71199.990000000005</v>
      </c>
      <c r="Y842">
        <v>0</v>
      </c>
      <c r="Z842" s="31">
        <v>180999.99</v>
      </c>
      <c r="AA842">
        <v>8</v>
      </c>
      <c r="AB842" s="3">
        <f t="shared" si="41"/>
        <v>180999.99</v>
      </c>
      <c r="AC842" t="str">
        <f>IF(AB842-S842&lt;0,"YES","NO")</f>
        <v>YES</v>
      </c>
      <c r="AD842">
        <f>IF(AC842="NO",0,AB842-S842)</f>
        <v>-44000.010000000009</v>
      </c>
      <c r="AE842" s="43">
        <v>0.08</v>
      </c>
      <c r="AF842" s="3">
        <f t="shared" si="42"/>
        <v>-40740.750000000007</v>
      </c>
      <c r="AG842" s="45">
        <f t="shared" si="43"/>
        <v>-44814.825000000012</v>
      </c>
      <c r="AH842" s="55"/>
    </row>
    <row r="843" spans="1:34" x14ac:dyDescent="0.25">
      <c r="A843" t="s">
        <v>3389</v>
      </c>
      <c r="B843" t="s">
        <v>3390</v>
      </c>
      <c r="C843" t="s">
        <v>3391</v>
      </c>
      <c r="D843" t="s">
        <v>3392</v>
      </c>
      <c r="E843" t="s">
        <v>3393</v>
      </c>
      <c r="F843" t="s">
        <v>3394</v>
      </c>
      <c r="G843" t="s">
        <v>5</v>
      </c>
      <c r="H843" t="s">
        <v>65</v>
      </c>
      <c r="I843" t="s">
        <v>66</v>
      </c>
      <c r="J843" t="s">
        <v>67</v>
      </c>
      <c r="K843" t="s">
        <v>3</v>
      </c>
      <c r="L843" t="s">
        <v>4</v>
      </c>
      <c r="M843" t="s">
        <v>49</v>
      </c>
      <c r="N843" t="s">
        <v>3395</v>
      </c>
      <c r="O843" s="31" t="s">
        <v>3396</v>
      </c>
      <c r="P843">
        <v>220</v>
      </c>
      <c r="R843">
        <v>6</v>
      </c>
      <c r="S843" s="31">
        <v>450000</v>
      </c>
      <c r="T843" s="39">
        <v>480000</v>
      </c>
      <c r="U843">
        <v>75000</v>
      </c>
      <c r="V843">
        <v>48000</v>
      </c>
      <c r="W843">
        <v>0</v>
      </c>
      <c r="X843" s="39">
        <v>139260</v>
      </c>
      <c r="Y843">
        <v>0</v>
      </c>
      <c r="Z843" s="31">
        <v>357000</v>
      </c>
      <c r="AA843">
        <v>8</v>
      </c>
      <c r="AB843" s="3">
        <f t="shared" si="41"/>
        <v>357000</v>
      </c>
      <c r="AC843" t="str">
        <f>IF(AB843-S843&lt;0,"YES","NO")</f>
        <v>YES</v>
      </c>
      <c r="AD843">
        <f>IF(AC843="NO",0,AB843-S843)</f>
        <v>-93000</v>
      </c>
      <c r="AE843" s="43">
        <v>0.08</v>
      </c>
      <c r="AF843" s="3">
        <f t="shared" si="42"/>
        <v>-86111.111111111109</v>
      </c>
      <c r="AG843" s="45">
        <f t="shared" si="43"/>
        <v>-94722.222222222234</v>
      </c>
      <c r="AH843" s="55"/>
    </row>
    <row r="844" spans="1:34" x14ac:dyDescent="0.25">
      <c r="A844" t="s">
        <v>3397</v>
      </c>
      <c r="B844" t="s">
        <v>3398</v>
      </c>
      <c r="C844" t="s">
        <v>3399</v>
      </c>
      <c r="D844" t="s">
        <v>3400</v>
      </c>
      <c r="E844" t="s">
        <v>3401</v>
      </c>
      <c r="F844" t="s">
        <v>3402</v>
      </c>
      <c r="G844" t="s">
        <v>2</v>
      </c>
      <c r="H844" t="s">
        <v>65</v>
      </c>
      <c r="I844" t="s">
        <v>68</v>
      </c>
      <c r="J844" t="s">
        <v>69</v>
      </c>
      <c r="K844" t="s">
        <v>3</v>
      </c>
      <c r="L844" t="s">
        <v>4</v>
      </c>
      <c r="M844" t="s">
        <v>49</v>
      </c>
      <c r="N844" t="s">
        <v>3403</v>
      </c>
      <c r="O844" s="31" t="s">
        <v>3404</v>
      </c>
      <c r="P844">
        <v>220</v>
      </c>
      <c r="Q844" t="s">
        <v>70</v>
      </c>
      <c r="R844">
        <v>2</v>
      </c>
      <c r="S844" s="31">
        <v>118000</v>
      </c>
      <c r="T844" s="39">
        <v>120000</v>
      </c>
      <c r="U844">
        <v>7155</v>
      </c>
      <c r="V844">
        <v>0</v>
      </c>
      <c r="W844">
        <v>0</v>
      </c>
      <c r="X844" s="39">
        <v>35906</v>
      </c>
      <c r="Y844">
        <v>0</v>
      </c>
      <c r="Z844" s="31">
        <v>112845</v>
      </c>
      <c r="AA844">
        <v>8</v>
      </c>
      <c r="AB844" s="3">
        <f t="shared" si="41"/>
        <v>112845</v>
      </c>
      <c r="AC844" t="str">
        <f>IF(AB844-S844&lt;0,"YES","NO")</f>
        <v>YES</v>
      </c>
      <c r="AD844">
        <f>IF(AC844="NO",0,AB844-S844)</f>
        <v>-5155</v>
      </c>
      <c r="AE844" s="43">
        <v>0.08</v>
      </c>
      <c r="AF844" s="3">
        <f t="shared" si="42"/>
        <v>-4773.1481481481478</v>
      </c>
      <c r="AG844" s="45">
        <f t="shared" si="43"/>
        <v>-5250.4629629629626</v>
      </c>
      <c r="AH844" s="55"/>
    </row>
    <row r="845" spans="1:34" x14ac:dyDescent="0.25">
      <c r="A845" t="s">
        <v>3397</v>
      </c>
      <c r="B845" t="s">
        <v>3398</v>
      </c>
      <c r="C845" t="s">
        <v>3399</v>
      </c>
      <c r="D845" t="s">
        <v>3400</v>
      </c>
      <c r="E845" t="s">
        <v>3401</v>
      </c>
      <c r="F845" t="s">
        <v>3402</v>
      </c>
      <c r="G845" t="s">
        <v>2</v>
      </c>
      <c r="H845" t="s">
        <v>65</v>
      </c>
      <c r="I845" t="s">
        <v>71</v>
      </c>
      <c r="J845" t="s">
        <v>72</v>
      </c>
      <c r="K845" t="s">
        <v>3</v>
      </c>
      <c r="L845" t="s">
        <v>4</v>
      </c>
      <c r="M845" t="s">
        <v>49</v>
      </c>
      <c r="N845" t="s">
        <v>3403</v>
      </c>
      <c r="O845" s="31" t="s">
        <v>3404</v>
      </c>
      <c r="P845">
        <v>220</v>
      </c>
      <c r="Q845" t="s">
        <v>70</v>
      </c>
      <c r="R845">
        <v>2</v>
      </c>
      <c r="S845" s="31">
        <v>118000</v>
      </c>
      <c r="T845" s="39">
        <v>120000</v>
      </c>
      <c r="U845">
        <v>7155</v>
      </c>
      <c r="V845">
        <v>0</v>
      </c>
      <c r="W845">
        <v>0</v>
      </c>
      <c r="X845" s="39">
        <v>35906</v>
      </c>
      <c r="Y845">
        <v>0</v>
      </c>
      <c r="Z845" s="31">
        <v>112845</v>
      </c>
      <c r="AA845">
        <v>8</v>
      </c>
      <c r="AB845" s="3">
        <f t="shared" si="41"/>
        <v>112845</v>
      </c>
      <c r="AC845" t="str">
        <f>IF(AB845-S845&lt;0,"YES","NO")</f>
        <v>YES</v>
      </c>
      <c r="AD845">
        <f>IF(AC845="NO",0,AB845-S845)</f>
        <v>-5155</v>
      </c>
      <c r="AE845" s="43">
        <v>0.08</v>
      </c>
      <c r="AF845" s="3">
        <f t="shared" si="42"/>
        <v>-4773.1481481481478</v>
      </c>
      <c r="AG845" s="45">
        <f t="shared" si="43"/>
        <v>-5250.4629629629626</v>
      </c>
      <c r="AH845" s="55"/>
    </row>
    <row r="846" spans="1:34" x14ac:dyDescent="0.25">
      <c r="A846" t="s">
        <v>3397</v>
      </c>
      <c r="B846" t="s">
        <v>3398</v>
      </c>
      <c r="C846" t="s">
        <v>3399</v>
      </c>
      <c r="D846" t="s">
        <v>3400</v>
      </c>
      <c r="E846" t="s">
        <v>3401</v>
      </c>
      <c r="F846" t="s">
        <v>3402</v>
      </c>
      <c r="G846" t="s">
        <v>2</v>
      </c>
      <c r="H846" t="s">
        <v>65</v>
      </c>
      <c r="I846" t="s">
        <v>73</v>
      </c>
      <c r="J846" t="s">
        <v>74</v>
      </c>
      <c r="K846" t="s">
        <v>3</v>
      </c>
      <c r="L846" t="s">
        <v>4</v>
      </c>
      <c r="M846" t="s">
        <v>49</v>
      </c>
      <c r="N846" t="s">
        <v>3403</v>
      </c>
      <c r="O846" s="31" t="s">
        <v>3404</v>
      </c>
      <c r="P846">
        <v>220</v>
      </c>
      <c r="Q846" t="s">
        <v>70</v>
      </c>
      <c r="R846">
        <v>2</v>
      </c>
      <c r="S846" s="31">
        <v>118000</v>
      </c>
      <c r="T846" s="39">
        <v>120000</v>
      </c>
      <c r="U846">
        <v>7155</v>
      </c>
      <c r="V846">
        <v>0</v>
      </c>
      <c r="W846">
        <v>0</v>
      </c>
      <c r="X846" s="39">
        <v>35906</v>
      </c>
      <c r="Y846">
        <v>0</v>
      </c>
      <c r="Z846" s="31">
        <v>112845</v>
      </c>
      <c r="AA846">
        <v>8</v>
      </c>
      <c r="AB846" s="3">
        <f t="shared" si="41"/>
        <v>112845</v>
      </c>
      <c r="AC846" t="str">
        <f>IF(AB846-S846&lt;0,"YES","NO")</f>
        <v>YES</v>
      </c>
      <c r="AD846">
        <f>IF(AC846="NO",0,AB846-S846)</f>
        <v>-5155</v>
      </c>
      <c r="AE846" s="43">
        <v>0.08</v>
      </c>
      <c r="AF846" s="3">
        <f t="shared" si="42"/>
        <v>-4773.1481481481478</v>
      </c>
      <c r="AG846" s="45">
        <f t="shared" si="43"/>
        <v>-5250.4629629629626</v>
      </c>
      <c r="AH846" s="55"/>
    </row>
    <row r="847" spans="1:34" x14ac:dyDescent="0.25">
      <c r="A847" t="s">
        <v>3397</v>
      </c>
      <c r="B847" t="s">
        <v>3398</v>
      </c>
      <c r="C847" t="s">
        <v>3399</v>
      </c>
      <c r="D847" t="s">
        <v>3400</v>
      </c>
      <c r="E847" t="s">
        <v>3401</v>
      </c>
      <c r="F847" t="s">
        <v>3402</v>
      </c>
      <c r="G847" t="s">
        <v>2</v>
      </c>
      <c r="H847" t="s">
        <v>65</v>
      </c>
      <c r="I847" t="s">
        <v>82</v>
      </c>
      <c r="J847" t="s">
        <v>83</v>
      </c>
      <c r="K847" t="s">
        <v>3</v>
      </c>
      <c r="L847" t="s">
        <v>4</v>
      </c>
      <c r="M847" t="s">
        <v>49</v>
      </c>
      <c r="N847" t="s">
        <v>3403</v>
      </c>
      <c r="O847" s="31" t="s">
        <v>3404</v>
      </c>
      <c r="P847">
        <v>220</v>
      </c>
      <c r="R847">
        <v>3</v>
      </c>
      <c r="S847" s="31">
        <v>225000</v>
      </c>
      <c r="T847" s="39">
        <v>227000.01</v>
      </c>
      <c r="U847">
        <v>13535.01</v>
      </c>
      <c r="V847">
        <v>0</v>
      </c>
      <c r="W847">
        <v>0</v>
      </c>
      <c r="X847" s="39">
        <v>67922.009999999995</v>
      </c>
      <c r="Y847">
        <v>0</v>
      </c>
      <c r="Z847" s="31">
        <v>213465</v>
      </c>
      <c r="AA847">
        <v>8</v>
      </c>
      <c r="AB847" s="3">
        <f t="shared" si="41"/>
        <v>213465</v>
      </c>
      <c r="AC847" t="str">
        <f>IF(AB847-S847&lt;0,"YES","NO")</f>
        <v>YES</v>
      </c>
      <c r="AD847">
        <f>IF(AC847="NO",0,AB847-S847)</f>
        <v>-11535</v>
      </c>
      <c r="AE847" s="43">
        <v>0.08</v>
      </c>
      <c r="AF847" s="3">
        <f t="shared" si="42"/>
        <v>-10680.555555555555</v>
      </c>
      <c r="AG847" s="45">
        <f t="shared" si="43"/>
        <v>-11748.611111111111</v>
      </c>
      <c r="AH847" s="55"/>
    </row>
    <row r="848" spans="1:34" x14ac:dyDescent="0.25">
      <c r="A848" t="s">
        <v>3405</v>
      </c>
      <c r="B848" t="s">
        <v>3406</v>
      </c>
      <c r="C848" t="s">
        <v>3407</v>
      </c>
      <c r="D848" t="s">
        <v>3408</v>
      </c>
      <c r="E848" t="s">
        <v>3409</v>
      </c>
      <c r="F848" t="s">
        <v>3410</v>
      </c>
      <c r="G848" t="s">
        <v>5</v>
      </c>
      <c r="H848" t="s">
        <v>65</v>
      </c>
      <c r="I848" t="s">
        <v>66</v>
      </c>
      <c r="J848" t="s">
        <v>67</v>
      </c>
      <c r="K848" t="s">
        <v>3</v>
      </c>
      <c r="L848" t="s">
        <v>4</v>
      </c>
      <c r="M848" t="s">
        <v>49</v>
      </c>
      <c r="N848" t="s">
        <v>3411</v>
      </c>
      <c r="O848" s="31" t="s">
        <v>3412</v>
      </c>
      <c r="P848">
        <v>220</v>
      </c>
      <c r="R848">
        <v>3</v>
      </c>
      <c r="S848" s="31">
        <v>225000</v>
      </c>
      <c r="T848" s="39">
        <v>240000</v>
      </c>
      <c r="U848">
        <v>35000.01</v>
      </c>
      <c r="V848">
        <v>24000</v>
      </c>
      <c r="W848">
        <v>0</v>
      </c>
      <c r="X848" s="39">
        <v>60339.99</v>
      </c>
      <c r="Y848">
        <v>0</v>
      </c>
      <c r="Z848" s="31">
        <v>180999.99</v>
      </c>
      <c r="AA848">
        <v>8</v>
      </c>
      <c r="AB848" s="3">
        <f t="shared" si="41"/>
        <v>180999.99</v>
      </c>
      <c r="AC848" t="str">
        <f>IF(AB848-S848&lt;0,"YES","NO")</f>
        <v>YES</v>
      </c>
      <c r="AD848">
        <f>IF(AC848="NO",0,AB848-S848)</f>
        <v>-44000.010000000009</v>
      </c>
      <c r="AE848" s="43">
        <v>0.08</v>
      </c>
      <c r="AF848" s="3">
        <f t="shared" si="42"/>
        <v>-40740.750000000007</v>
      </c>
      <c r="AG848" s="45">
        <f t="shared" si="43"/>
        <v>-44814.825000000012</v>
      </c>
      <c r="AH848" s="55"/>
    </row>
    <row r="849" spans="1:34" x14ac:dyDescent="0.25">
      <c r="A849" t="s">
        <v>3413</v>
      </c>
      <c r="B849" t="s">
        <v>3414</v>
      </c>
      <c r="C849" t="s">
        <v>3415</v>
      </c>
      <c r="D849" t="s">
        <v>3416</v>
      </c>
      <c r="E849" t="s">
        <v>3417</v>
      </c>
      <c r="F849" t="s">
        <v>3418</v>
      </c>
      <c r="G849" t="s">
        <v>5</v>
      </c>
      <c r="H849" t="s">
        <v>65</v>
      </c>
      <c r="I849" t="s">
        <v>73</v>
      </c>
      <c r="J849" t="s">
        <v>74</v>
      </c>
      <c r="K849" t="s">
        <v>3</v>
      </c>
      <c r="L849" t="s">
        <v>4</v>
      </c>
      <c r="M849" t="s">
        <v>49</v>
      </c>
      <c r="N849" t="s">
        <v>3419</v>
      </c>
      <c r="O849" s="31" t="s">
        <v>3420</v>
      </c>
      <c r="P849">
        <v>220</v>
      </c>
      <c r="Q849" t="s">
        <v>70</v>
      </c>
      <c r="R849">
        <v>2</v>
      </c>
      <c r="S849" s="31">
        <v>118000</v>
      </c>
      <c r="T849" s="39">
        <v>130000</v>
      </c>
      <c r="U849">
        <v>4262</v>
      </c>
      <c r="V849">
        <v>13000</v>
      </c>
      <c r="W849">
        <v>0</v>
      </c>
      <c r="X849" s="39">
        <v>29064</v>
      </c>
      <c r="Y849">
        <v>0</v>
      </c>
      <c r="Z849" s="31">
        <v>112738</v>
      </c>
      <c r="AA849">
        <v>8</v>
      </c>
      <c r="AB849" s="3">
        <f t="shared" si="41"/>
        <v>112738</v>
      </c>
      <c r="AC849" t="str">
        <f>IF(AB849-S849&lt;0,"YES","NO")</f>
        <v>YES</v>
      </c>
      <c r="AD849">
        <f>IF(AC849="NO",0,AB849-S849)</f>
        <v>-5262</v>
      </c>
      <c r="AE849" s="43">
        <v>0.08</v>
      </c>
      <c r="AF849" s="3">
        <f t="shared" si="42"/>
        <v>-4872.2222222222217</v>
      </c>
      <c r="AG849" s="45">
        <f t="shared" si="43"/>
        <v>-5359.4444444444443</v>
      </c>
      <c r="AH849" s="55"/>
    </row>
    <row r="850" spans="1:34" x14ac:dyDescent="0.25">
      <c r="A850" t="s">
        <v>3413</v>
      </c>
      <c r="B850" t="s">
        <v>3414</v>
      </c>
      <c r="C850" t="s">
        <v>3415</v>
      </c>
      <c r="D850" t="s">
        <v>3416</v>
      </c>
      <c r="E850" t="s">
        <v>3417</v>
      </c>
      <c r="F850" t="s">
        <v>3418</v>
      </c>
      <c r="G850" t="s">
        <v>5</v>
      </c>
      <c r="H850" t="s">
        <v>65</v>
      </c>
      <c r="I850" t="s">
        <v>66</v>
      </c>
      <c r="J850" t="s">
        <v>67</v>
      </c>
      <c r="K850" t="s">
        <v>3</v>
      </c>
      <c r="L850" t="s">
        <v>4</v>
      </c>
      <c r="M850" t="s">
        <v>49</v>
      </c>
      <c r="N850" t="s">
        <v>3419</v>
      </c>
      <c r="O850" s="31" t="s">
        <v>3420</v>
      </c>
      <c r="P850">
        <v>220</v>
      </c>
      <c r="R850">
        <v>2</v>
      </c>
      <c r="S850" s="31">
        <v>150000</v>
      </c>
      <c r="T850" s="39">
        <v>160000</v>
      </c>
      <c r="U850">
        <v>5246</v>
      </c>
      <c r="V850">
        <v>16000</v>
      </c>
      <c r="W850">
        <v>0</v>
      </c>
      <c r="X850" s="39">
        <v>35772</v>
      </c>
      <c r="Y850">
        <v>0</v>
      </c>
      <c r="Z850" s="31">
        <v>138754</v>
      </c>
      <c r="AA850">
        <v>8</v>
      </c>
      <c r="AB850" s="3">
        <f t="shared" si="41"/>
        <v>138754</v>
      </c>
      <c r="AC850" t="str">
        <f>IF(AB850-S850&lt;0,"YES","NO")</f>
        <v>YES</v>
      </c>
      <c r="AD850">
        <f>IF(AC850="NO",0,AB850-S850)</f>
        <v>-11246</v>
      </c>
      <c r="AE850" s="43">
        <v>0.08</v>
      </c>
      <c r="AF850" s="3">
        <f t="shared" si="42"/>
        <v>-10412.962962962962</v>
      </c>
      <c r="AG850" s="45">
        <f t="shared" si="43"/>
        <v>-11454.259259259259</v>
      </c>
      <c r="AH850" s="55"/>
    </row>
    <row r="851" spans="1:34" x14ac:dyDescent="0.25">
      <c r="A851" t="s">
        <v>3413</v>
      </c>
      <c r="B851" t="s">
        <v>3414</v>
      </c>
      <c r="C851" t="s">
        <v>3415</v>
      </c>
      <c r="D851" t="s">
        <v>3416</v>
      </c>
      <c r="E851" t="s">
        <v>3417</v>
      </c>
      <c r="F851" t="s">
        <v>3418</v>
      </c>
      <c r="G851" t="s">
        <v>5</v>
      </c>
      <c r="H851" t="s">
        <v>65</v>
      </c>
      <c r="I851" t="s">
        <v>82</v>
      </c>
      <c r="J851" t="s">
        <v>83</v>
      </c>
      <c r="K851" t="s">
        <v>3</v>
      </c>
      <c r="L851" t="s">
        <v>4</v>
      </c>
      <c r="M851" t="s">
        <v>49</v>
      </c>
      <c r="N851" t="s">
        <v>3419</v>
      </c>
      <c r="O851" s="31" t="s">
        <v>3420</v>
      </c>
      <c r="P851">
        <v>220</v>
      </c>
      <c r="R851">
        <v>2</v>
      </c>
      <c r="S851" s="31">
        <v>150000</v>
      </c>
      <c r="T851" s="39">
        <v>160000</v>
      </c>
      <c r="U851">
        <v>5246</v>
      </c>
      <c r="V851">
        <v>16000</v>
      </c>
      <c r="W851">
        <v>0</v>
      </c>
      <c r="X851" s="39">
        <v>35772</v>
      </c>
      <c r="Y851">
        <v>0</v>
      </c>
      <c r="Z851" s="31">
        <v>138754</v>
      </c>
      <c r="AA851">
        <v>8</v>
      </c>
      <c r="AB851" s="3">
        <f t="shared" si="41"/>
        <v>138754</v>
      </c>
      <c r="AC851" t="str">
        <f>IF(AB851-S851&lt;0,"YES","NO")</f>
        <v>YES</v>
      </c>
      <c r="AD851">
        <f>IF(AC851="NO",0,AB851-S851)</f>
        <v>-11246</v>
      </c>
      <c r="AE851" s="43">
        <v>0.08</v>
      </c>
      <c r="AF851" s="3">
        <f t="shared" si="42"/>
        <v>-10412.962962962962</v>
      </c>
      <c r="AG851" s="45">
        <f t="shared" si="43"/>
        <v>-11454.259259259259</v>
      </c>
      <c r="AH851" s="55"/>
    </row>
    <row r="852" spans="1:34" x14ac:dyDescent="0.25">
      <c r="A852" t="s">
        <v>3413</v>
      </c>
      <c r="B852" t="s">
        <v>3414</v>
      </c>
      <c r="C852" t="s">
        <v>3415</v>
      </c>
      <c r="D852" t="s">
        <v>3416</v>
      </c>
      <c r="E852" t="s">
        <v>3417</v>
      </c>
      <c r="F852" t="s">
        <v>3418</v>
      </c>
      <c r="G852" t="s">
        <v>5</v>
      </c>
      <c r="H852" t="s">
        <v>65</v>
      </c>
      <c r="I852" t="s">
        <v>78</v>
      </c>
      <c r="J852" t="s">
        <v>79</v>
      </c>
      <c r="K852" t="s">
        <v>3</v>
      </c>
      <c r="L852" t="s">
        <v>4</v>
      </c>
      <c r="M852" t="s">
        <v>49</v>
      </c>
      <c r="N852" t="s">
        <v>3419</v>
      </c>
      <c r="O852" s="31" t="s">
        <v>3420</v>
      </c>
      <c r="P852">
        <v>220</v>
      </c>
      <c r="R852">
        <v>2</v>
      </c>
      <c r="S852" s="31">
        <v>150000</v>
      </c>
      <c r="T852" s="39">
        <v>160000</v>
      </c>
      <c r="U852">
        <v>5246</v>
      </c>
      <c r="V852">
        <v>16000</v>
      </c>
      <c r="W852">
        <v>0</v>
      </c>
      <c r="X852" s="39">
        <v>35772</v>
      </c>
      <c r="Y852">
        <v>0</v>
      </c>
      <c r="Z852" s="31">
        <v>138754</v>
      </c>
      <c r="AA852">
        <v>8</v>
      </c>
      <c r="AB852" s="3">
        <f t="shared" si="41"/>
        <v>138754</v>
      </c>
      <c r="AC852" t="str">
        <f>IF(AB852-S852&lt;0,"YES","NO")</f>
        <v>YES</v>
      </c>
      <c r="AD852">
        <f>IF(AC852="NO",0,AB852-S852)</f>
        <v>-11246</v>
      </c>
      <c r="AE852" s="43">
        <v>0.08</v>
      </c>
      <c r="AF852" s="3">
        <f t="shared" si="42"/>
        <v>-10412.962962962962</v>
      </c>
      <c r="AG852" s="45">
        <f t="shared" si="43"/>
        <v>-11454.259259259259</v>
      </c>
      <c r="AH852" s="55"/>
    </row>
    <row r="853" spans="1:34" x14ac:dyDescent="0.25">
      <c r="A853" t="s">
        <v>3421</v>
      </c>
      <c r="B853" t="s">
        <v>3422</v>
      </c>
      <c r="C853" t="s">
        <v>3423</v>
      </c>
      <c r="D853" t="s">
        <v>3424</v>
      </c>
      <c r="E853" t="s">
        <v>3425</v>
      </c>
      <c r="F853" t="s">
        <v>3426</v>
      </c>
      <c r="G853" t="s">
        <v>54</v>
      </c>
      <c r="H853" t="s">
        <v>65</v>
      </c>
      <c r="I853" t="s">
        <v>82</v>
      </c>
      <c r="J853" t="s">
        <v>83</v>
      </c>
      <c r="K853" t="s">
        <v>3</v>
      </c>
      <c r="L853" t="s">
        <v>4</v>
      </c>
      <c r="M853" t="s">
        <v>49</v>
      </c>
      <c r="N853" t="s">
        <v>3427</v>
      </c>
      <c r="O853" s="31" t="s">
        <v>3428</v>
      </c>
      <c r="P853">
        <v>220</v>
      </c>
      <c r="R853">
        <v>4</v>
      </c>
      <c r="S853" s="31">
        <v>300000</v>
      </c>
      <c r="T853" s="39">
        <v>320000</v>
      </c>
      <c r="U853">
        <v>0</v>
      </c>
      <c r="V853">
        <v>60000</v>
      </c>
      <c r="W853">
        <v>0</v>
      </c>
      <c r="X853" s="39">
        <v>52000</v>
      </c>
      <c r="Y853">
        <v>0</v>
      </c>
      <c r="Z853" s="31">
        <v>260000</v>
      </c>
      <c r="AA853">
        <v>8</v>
      </c>
      <c r="AB853" s="3">
        <f t="shared" si="41"/>
        <v>260000</v>
      </c>
      <c r="AC853" t="str">
        <f>IF(AB853-S853&lt;0,"YES","NO")</f>
        <v>YES</v>
      </c>
      <c r="AD853">
        <f>IF(AC853="NO",0,AB853-S853)</f>
        <v>-40000</v>
      </c>
      <c r="AE853" s="43">
        <v>0.08</v>
      </c>
      <c r="AF853" s="3">
        <f t="shared" si="42"/>
        <v>-37037.037037037036</v>
      </c>
      <c r="AG853" s="45">
        <f t="shared" si="43"/>
        <v>-40740.740740740745</v>
      </c>
      <c r="AH853" s="55"/>
    </row>
    <row r="854" spans="1:34" x14ac:dyDescent="0.25">
      <c r="A854" t="s">
        <v>3429</v>
      </c>
      <c r="B854" t="s">
        <v>3430</v>
      </c>
      <c r="C854" t="s">
        <v>3431</v>
      </c>
      <c r="D854" t="s">
        <v>3432</v>
      </c>
      <c r="E854" t="s">
        <v>3433</v>
      </c>
      <c r="F854" t="s">
        <v>3434</v>
      </c>
      <c r="G854" t="s">
        <v>5</v>
      </c>
      <c r="H854" t="s">
        <v>65</v>
      </c>
      <c r="I854" t="s">
        <v>66</v>
      </c>
      <c r="J854" t="s">
        <v>67</v>
      </c>
      <c r="K854" t="s">
        <v>3</v>
      </c>
      <c r="L854" t="s">
        <v>4</v>
      </c>
      <c r="M854" t="s">
        <v>49</v>
      </c>
      <c r="N854" t="s">
        <v>3435</v>
      </c>
      <c r="O854" s="31" t="s">
        <v>3436</v>
      </c>
      <c r="P854">
        <v>220</v>
      </c>
      <c r="R854">
        <v>2</v>
      </c>
      <c r="S854" s="31">
        <v>150000</v>
      </c>
      <c r="T854" s="39">
        <v>160000</v>
      </c>
      <c r="U854">
        <v>10000</v>
      </c>
      <c r="V854">
        <v>16000</v>
      </c>
      <c r="W854">
        <v>0</v>
      </c>
      <c r="X854" s="39">
        <v>34120</v>
      </c>
      <c r="Y854">
        <v>0</v>
      </c>
      <c r="Z854" s="31">
        <v>134000</v>
      </c>
      <c r="AA854">
        <v>8</v>
      </c>
      <c r="AB854" s="3">
        <f t="shared" si="41"/>
        <v>134000</v>
      </c>
      <c r="AC854" t="str">
        <f>IF(AB854-S854&lt;0,"YES","NO")</f>
        <v>YES</v>
      </c>
      <c r="AD854">
        <f>IF(AC854="NO",0,AB854-S854)</f>
        <v>-16000</v>
      </c>
      <c r="AE854" s="43">
        <v>0.08</v>
      </c>
      <c r="AF854" s="3">
        <f t="shared" si="42"/>
        <v>-14814.814814814814</v>
      </c>
      <c r="AG854" s="45">
        <f t="shared" si="43"/>
        <v>-16296.296296296297</v>
      </c>
      <c r="AH854" s="55"/>
    </row>
    <row r="855" spans="1:34" x14ac:dyDescent="0.25">
      <c r="A855" t="s">
        <v>3429</v>
      </c>
      <c r="B855" t="s">
        <v>3430</v>
      </c>
      <c r="C855" t="s">
        <v>3431</v>
      </c>
      <c r="D855" t="s">
        <v>3432</v>
      </c>
      <c r="E855" t="s">
        <v>3433</v>
      </c>
      <c r="F855" t="s">
        <v>3434</v>
      </c>
      <c r="G855" t="s">
        <v>5</v>
      </c>
      <c r="H855" t="s">
        <v>65</v>
      </c>
      <c r="I855" t="s">
        <v>82</v>
      </c>
      <c r="J855" t="s">
        <v>83</v>
      </c>
      <c r="K855" t="s">
        <v>3</v>
      </c>
      <c r="L855" t="s">
        <v>4</v>
      </c>
      <c r="M855" t="s">
        <v>49</v>
      </c>
      <c r="N855" t="s">
        <v>3435</v>
      </c>
      <c r="O855" s="31" t="s">
        <v>3436</v>
      </c>
      <c r="P855">
        <v>220</v>
      </c>
      <c r="R855">
        <v>2</v>
      </c>
      <c r="S855" s="31">
        <v>150000</v>
      </c>
      <c r="T855" s="39">
        <v>160000</v>
      </c>
      <c r="U855">
        <v>10000</v>
      </c>
      <c r="V855">
        <v>16000</v>
      </c>
      <c r="W855">
        <v>0</v>
      </c>
      <c r="X855" s="39">
        <v>34120</v>
      </c>
      <c r="Y855">
        <v>0</v>
      </c>
      <c r="Z855" s="31">
        <v>134000</v>
      </c>
      <c r="AA855">
        <v>8</v>
      </c>
      <c r="AB855" s="3">
        <f t="shared" si="41"/>
        <v>134000</v>
      </c>
      <c r="AC855" t="str">
        <f>IF(AB855-S855&lt;0,"YES","NO")</f>
        <v>YES</v>
      </c>
      <c r="AD855">
        <f>IF(AC855="NO",0,AB855-S855)</f>
        <v>-16000</v>
      </c>
      <c r="AE855" s="43">
        <v>0.08</v>
      </c>
      <c r="AF855" s="3">
        <f t="shared" si="42"/>
        <v>-14814.814814814814</v>
      </c>
      <c r="AG855" s="45">
        <f t="shared" si="43"/>
        <v>-16296.296296296297</v>
      </c>
      <c r="AH855" s="55"/>
    </row>
    <row r="856" spans="1:34" x14ac:dyDescent="0.25">
      <c r="A856" t="s">
        <v>3437</v>
      </c>
      <c r="B856" t="s">
        <v>3438</v>
      </c>
      <c r="C856" t="s">
        <v>3439</v>
      </c>
      <c r="D856" t="s">
        <v>3440</v>
      </c>
      <c r="E856" t="s">
        <v>3441</v>
      </c>
      <c r="F856" t="s">
        <v>3442</v>
      </c>
      <c r="G856" t="s">
        <v>5</v>
      </c>
      <c r="H856" t="s">
        <v>65</v>
      </c>
      <c r="I856" t="s">
        <v>68</v>
      </c>
      <c r="J856" t="s">
        <v>69</v>
      </c>
      <c r="K856" t="s">
        <v>3</v>
      </c>
      <c r="L856" t="s">
        <v>4</v>
      </c>
      <c r="M856" t="s">
        <v>49</v>
      </c>
      <c r="N856" t="s">
        <v>3443</v>
      </c>
      <c r="O856" s="31" t="s">
        <v>3444</v>
      </c>
      <c r="P856">
        <v>220</v>
      </c>
      <c r="Q856" t="s">
        <v>70</v>
      </c>
      <c r="R856">
        <v>1</v>
      </c>
      <c r="S856" s="31">
        <v>59000</v>
      </c>
      <c r="T856" s="39">
        <v>65000</v>
      </c>
      <c r="U856">
        <v>11666.67</v>
      </c>
      <c r="V856">
        <v>6500</v>
      </c>
      <c r="W856">
        <v>0</v>
      </c>
      <c r="X856" s="39">
        <v>21970</v>
      </c>
      <c r="Y856">
        <v>0</v>
      </c>
      <c r="Z856" s="31">
        <v>46833.33</v>
      </c>
      <c r="AA856">
        <v>8</v>
      </c>
      <c r="AB856" s="3">
        <f t="shared" si="41"/>
        <v>46833.33</v>
      </c>
      <c r="AC856" t="str">
        <f>IF(AB856-S856&lt;0,"YES","NO")</f>
        <v>YES</v>
      </c>
      <c r="AD856">
        <f>IF(AC856="NO",0,AB856-S856)</f>
        <v>-12166.669999999998</v>
      </c>
      <c r="AE856" s="43">
        <v>0.08</v>
      </c>
      <c r="AF856" s="3">
        <f t="shared" si="42"/>
        <v>-11265.435185185182</v>
      </c>
      <c r="AG856" s="45">
        <f t="shared" si="43"/>
        <v>-12391.978703703702</v>
      </c>
      <c r="AH856" s="55"/>
    </row>
    <row r="857" spans="1:34" x14ac:dyDescent="0.25">
      <c r="A857" t="s">
        <v>3437</v>
      </c>
      <c r="B857" t="s">
        <v>3438</v>
      </c>
      <c r="C857" t="s">
        <v>3439</v>
      </c>
      <c r="D857" t="s">
        <v>3440</v>
      </c>
      <c r="E857" t="s">
        <v>3441</v>
      </c>
      <c r="F857" t="s">
        <v>3442</v>
      </c>
      <c r="G857" t="s">
        <v>5</v>
      </c>
      <c r="H857" t="s">
        <v>65</v>
      </c>
      <c r="I857" t="s">
        <v>71</v>
      </c>
      <c r="J857" t="s">
        <v>72</v>
      </c>
      <c r="K857" t="s">
        <v>3</v>
      </c>
      <c r="L857" t="s">
        <v>4</v>
      </c>
      <c r="M857" t="s">
        <v>49</v>
      </c>
      <c r="N857" t="s">
        <v>3443</v>
      </c>
      <c r="O857" s="31" t="s">
        <v>3444</v>
      </c>
      <c r="P857">
        <v>220</v>
      </c>
      <c r="Q857" t="s">
        <v>70</v>
      </c>
      <c r="R857">
        <v>1</v>
      </c>
      <c r="S857" s="31">
        <v>59000</v>
      </c>
      <c r="T857" s="39">
        <v>65000</v>
      </c>
      <c r="U857">
        <v>11666.67</v>
      </c>
      <c r="V857">
        <v>6500</v>
      </c>
      <c r="W857">
        <v>0</v>
      </c>
      <c r="X857" s="39">
        <v>21970</v>
      </c>
      <c r="Y857">
        <v>0</v>
      </c>
      <c r="Z857" s="31">
        <v>46833.33</v>
      </c>
      <c r="AA857">
        <v>8</v>
      </c>
      <c r="AB857" s="3">
        <f t="shared" si="41"/>
        <v>46833.33</v>
      </c>
      <c r="AC857" t="str">
        <f>IF(AB857-S857&lt;0,"YES","NO")</f>
        <v>YES</v>
      </c>
      <c r="AD857">
        <f>IF(AC857="NO",0,AB857-S857)</f>
        <v>-12166.669999999998</v>
      </c>
      <c r="AE857" s="43">
        <v>0.08</v>
      </c>
      <c r="AF857" s="3">
        <f t="shared" si="42"/>
        <v>-11265.435185185182</v>
      </c>
      <c r="AG857" s="45">
        <f t="shared" si="43"/>
        <v>-12391.978703703702</v>
      </c>
      <c r="AH857" s="55"/>
    </row>
    <row r="858" spans="1:34" x14ac:dyDescent="0.25">
      <c r="A858" t="s">
        <v>3437</v>
      </c>
      <c r="B858" t="s">
        <v>3438</v>
      </c>
      <c r="C858" t="s">
        <v>3439</v>
      </c>
      <c r="D858" t="s">
        <v>3440</v>
      </c>
      <c r="E858" t="s">
        <v>3441</v>
      </c>
      <c r="F858" t="s">
        <v>3442</v>
      </c>
      <c r="G858" t="s">
        <v>5</v>
      </c>
      <c r="H858" t="s">
        <v>65</v>
      </c>
      <c r="I858" t="s">
        <v>73</v>
      </c>
      <c r="J858" t="s">
        <v>74</v>
      </c>
      <c r="K858" t="s">
        <v>3</v>
      </c>
      <c r="L858" t="s">
        <v>4</v>
      </c>
      <c r="M858" t="s">
        <v>49</v>
      </c>
      <c r="N858" t="s">
        <v>3443</v>
      </c>
      <c r="O858" s="31" t="s">
        <v>3444</v>
      </c>
      <c r="P858">
        <v>220</v>
      </c>
      <c r="Q858" t="s">
        <v>70</v>
      </c>
      <c r="R858">
        <v>1</v>
      </c>
      <c r="S858" s="31">
        <v>59000</v>
      </c>
      <c r="T858" s="39">
        <v>65000</v>
      </c>
      <c r="U858">
        <v>11666.67</v>
      </c>
      <c r="V858">
        <v>6500</v>
      </c>
      <c r="W858">
        <v>0</v>
      </c>
      <c r="X858" s="39">
        <v>21970</v>
      </c>
      <c r="Y858">
        <v>0</v>
      </c>
      <c r="Z858" s="31">
        <v>46833.33</v>
      </c>
      <c r="AA858">
        <v>8</v>
      </c>
      <c r="AB858" s="3">
        <f t="shared" si="41"/>
        <v>46833.33</v>
      </c>
      <c r="AC858" t="str">
        <f>IF(AB858-S858&lt;0,"YES","NO")</f>
        <v>YES</v>
      </c>
      <c r="AD858">
        <f>IF(AC858="NO",0,AB858-S858)</f>
        <v>-12166.669999999998</v>
      </c>
      <c r="AE858" s="43">
        <v>0.08</v>
      </c>
      <c r="AF858" s="3">
        <f t="shared" si="42"/>
        <v>-11265.435185185182</v>
      </c>
      <c r="AG858" s="45">
        <f t="shared" si="43"/>
        <v>-12391.978703703702</v>
      </c>
      <c r="AH858" s="55"/>
    </row>
    <row r="859" spans="1:34" x14ac:dyDescent="0.25">
      <c r="A859" t="s">
        <v>3437</v>
      </c>
      <c r="B859" t="s">
        <v>3438</v>
      </c>
      <c r="C859" t="s">
        <v>3439</v>
      </c>
      <c r="D859" t="s">
        <v>3440</v>
      </c>
      <c r="E859" t="s">
        <v>3441</v>
      </c>
      <c r="F859" t="s">
        <v>3442</v>
      </c>
      <c r="G859" t="s">
        <v>5</v>
      </c>
      <c r="H859" t="s">
        <v>65</v>
      </c>
      <c r="I859" t="s">
        <v>66</v>
      </c>
      <c r="J859" t="s">
        <v>67</v>
      </c>
      <c r="K859" t="s">
        <v>3</v>
      </c>
      <c r="L859" t="s">
        <v>4</v>
      </c>
      <c r="M859" t="s">
        <v>49</v>
      </c>
      <c r="N859" t="s">
        <v>3443</v>
      </c>
      <c r="O859" s="31" t="s">
        <v>3444</v>
      </c>
      <c r="P859">
        <v>220</v>
      </c>
      <c r="R859">
        <v>2</v>
      </c>
      <c r="S859" s="31">
        <v>150000</v>
      </c>
      <c r="T859" s="39">
        <v>160000</v>
      </c>
      <c r="U859">
        <v>0</v>
      </c>
      <c r="V859">
        <v>16000</v>
      </c>
      <c r="W859">
        <v>0</v>
      </c>
      <c r="X859" s="39">
        <v>31680</v>
      </c>
      <c r="Y859">
        <v>0</v>
      </c>
      <c r="Z859" s="31">
        <v>144000</v>
      </c>
      <c r="AA859">
        <v>8</v>
      </c>
      <c r="AB859" s="3">
        <f t="shared" si="41"/>
        <v>144000</v>
      </c>
      <c r="AC859" t="str">
        <f>IF(AB859-S859&lt;0,"YES","NO")</f>
        <v>YES</v>
      </c>
      <c r="AD859">
        <f>IF(AC859="NO",0,AB859-S859)</f>
        <v>-6000</v>
      </c>
      <c r="AE859" s="43">
        <v>0.08</v>
      </c>
      <c r="AF859" s="3">
        <f t="shared" si="42"/>
        <v>-5555.5555555555547</v>
      </c>
      <c r="AG859" s="45">
        <f t="shared" si="43"/>
        <v>-6111.1111111111104</v>
      </c>
      <c r="AH859" s="55"/>
    </row>
    <row r="860" spans="1:34" x14ac:dyDescent="0.25">
      <c r="A860" t="s">
        <v>3445</v>
      </c>
      <c r="B860" t="s">
        <v>3446</v>
      </c>
      <c r="C860" t="s">
        <v>3447</v>
      </c>
      <c r="D860" t="s">
        <v>3448</v>
      </c>
      <c r="E860" t="s">
        <v>3449</v>
      </c>
      <c r="F860" t="s">
        <v>3450</v>
      </c>
      <c r="G860" t="s">
        <v>5</v>
      </c>
      <c r="H860" t="s">
        <v>61</v>
      </c>
      <c r="I860" t="s">
        <v>75</v>
      </c>
      <c r="J860" t="s">
        <v>76</v>
      </c>
      <c r="K860" t="s">
        <v>3</v>
      </c>
      <c r="L860" t="s">
        <v>4</v>
      </c>
      <c r="M860" t="s">
        <v>49</v>
      </c>
      <c r="N860" t="s">
        <v>3451</v>
      </c>
      <c r="O860" s="31" t="s">
        <v>3452</v>
      </c>
      <c r="P860">
        <v>20</v>
      </c>
      <c r="Q860" t="s">
        <v>77</v>
      </c>
      <c r="R860">
        <v>1</v>
      </c>
      <c r="S860" s="31">
        <v>0</v>
      </c>
      <c r="T860" s="39">
        <v>0</v>
      </c>
      <c r="U860">
        <v>0</v>
      </c>
      <c r="V860">
        <v>0</v>
      </c>
      <c r="W860">
        <v>0</v>
      </c>
      <c r="X860" s="39">
        <v>0</v>
      </c>
      <c r="Y860">
        <v>0</v>
      </c>
      <c r="Z860" s="31">
        <v>0</v>
      </c>
      <c r="AA860">
        <v>8</v>
      </c>
      <c r="AB860" s="3">
        <f t="shared" si="41"/>
        <v>0</v>
      </c>
      <c r="AC860" t="str">
        <f>IF(AB860-S860&lt;0,"YES","NO")</f>
        <v>NO</v>
      </c>
      <c r="AD860">
        <f>IF(AC860="NO",0,AB860-S860)</f>
        <v>0</v>
      </c>
      <c r="AE860" s="43">
        <v>0.08</v>
      </c>
      <c r="AF860" s="3">
        <f t="shared" si="42"/>
        <v>0</v>
      </c>
      <c r="AG860" s="45">
        <f t="shared" si="43"/>
        <v>0</v>
      </c>
      <c r="AH860" s="55"/>
    </row>
    <row r="861" spans="1:34" x14ac:dyDescent="0.25">
      <c r="A861" t="s">
        <v>3445</v>
      </c>
      <c r="B861" t="s">
        <v>3446</v>
      </c>
      <c r="C861" t="s">
        <v>3447</v>
      </c>
      <c r="D861" t="s">
        <v>3448</v>
      </c>
      <c r="E861" t="s">
        <v>3449</v>
      </c>
      <c r="F861" t="s">
        <v>3450</v>
      </c>
      <c r="G861" t="s">
        <v>5</v>
      </c>
      <c r="H861" t="s">
        <v>65</v>
      </c>
      <c r="I861" t="s">
        <v>82</v>
      </c>
      <c r="J861" t="s">
        <v>83</v>
      </c>
      <c r="K861" t="s">
        <v>3</v>
      </c>
      <c r="L861" t="s">
        <v>4</v>
      </c>
      <c r="M861" t="s">
        <v>49</v>
      </c>
      <c r="N861" t="s">
        <v>3451</v>
      </c>
      <c r="O861" s="31" t="s">
        <v>3452</v>
      </c>
      <c r="P861">
        <v>220</v>
      </c>
      <c r="R861">
        <v>6</v>
      </c>
      <c r="S861" s="31">
        <v>450000</v>
      </c>
      <c r="T861" s="39">
        <v>480000</v>
      </c>
      <c r="U861">
        <v>75000</v>
      </c>
      <c r="V861">
        <v>48000</v>
      </c>
      <c r="W861">
        <v>0</v>
      </c>
      <c r="X861" s="39">
        <v>153540</v>
      </c>
      <c r="Y861">
        <v>0</v>
      </c>
      <c r="Z861" s="31">
        <v>357000</v>
      </c>
      <c r="AA861">
        <v>8</v>
      </c>
      <c r="AB861" s="3">
        <f t="shared" si="41"/>
        <v>357000</v>
      </c>
      <c r="AC861" t="str">
        <f>IF(AB861-S861&lt;0,"YES","NO")</f>
        <v>YES</v>
      </c>
      <c r="AD861">
        <f>IF(AC861="NO",0,AB861-S861)</f>
        <v>-93000</v>
      </c>
      <c r="AE861" s="43">
        <v>0.08</v>
      </c>
      <c r="AF861" s="3">
        <f t="shared" si="42"/>
        <v>-86111.111111111109</v>
      </c>
      <c r="AG861" s="45">
        <f t="shared" si="43"/>
        <v>-94722.222222222234</v>
      </c>
      <c r="AH861" s="55"/>
    </row>
    <row r="862" spans="1:34" x14ac:dyDescent="0.25">
      <c r="A862" t="s">
        <v>3453</v>
      </c>
      <c r="B862" t="s">
        <v>3454</v>
      </c>
      <c r="C862" t="s">
        <v>3455</v>
      </c>
      <c r="D862" t="s">
        <v>3456</v>
      </c>
      <c r="E862" t="s">
        <v>3457</v>
      </c>
      <c r="F862" t="s">
        <v>3458</v>
      </c>
      <c r="G862" t="s">
        <v>5</v>
      </c>
      <c r="H862" t="s">
        <v>65</v>
      </c>
      <c r="I862" t="s">
        <v>66</v>
      </c>
      <c r="J862" t="s">
        <v>67</v>
      </c>
      <c r="K862" t="s">
        <v>3</v>
      </c>
      <c r="L862" t="s">
        <v>4</v>
      </c>
      <c r="M862" t="s">
        <v>49</v>
      </c>
      <c r="N862" t="s">
        <v>3459</v>
      </c>
      <c r="O862" s="31" t="s">
        <v>3460</v>
      </c>
      <c r="P862">
        <v>220</v>
      </c>
      <c r="R862">
        <v>2</v>
      </c>
      <c r="S862" s="31">
        <v>150000</v>
      </c>
      <c r="T862" s="39">
        <v>160000</v>
      </c>
      <c r="U862">
        <v>20000</v>
      </c>
      <c r="V862">
        <v>16000</v>
      </c>
      <c r="W862">
        <v>0</v>
      </c>
      <c r="X862" s="39">
        <v>37360</v>
      </c>
      <c r="Y862">
        <v>0</v>
      </c>
      <c r="Z862" s="31">
        <v>124000</v>
      </c>
      <c r="AA862">
        <v>8</v>
      </c>
      <c r="AB862" s="3">
        <f t="shared" si="41"/>
        <v>124000</v>
      </c>
      <c r="AC862" t="str">
        <f>IF(AB862-S862&lt;0,"YES","NO")</f>
        <v>YES</v>
      </c>
      <c r="AD862">
        <f>IF(AC862="NO",0,AB862-S862)</f>
        <v>-26000</v>
      </c>
      <c r="AE862" s="43">
        <v>0.08</v>
      </c>
      <c r="AF862" s="3">
        <f t="shared" si="42"/>
        <v>-24074.074074074073</v>
      </c>
      <c r="AG862" s="45">
        <f t="shared" si="43"/>
        <v>-26481.481481481482</v>
      </c>
      <c r="AH862" s="55"/>
    </row>
    <row r="863" spans="1:34" x14ac:dyDescent="0.25">
      <c r="A863" t="s">
        <v>3461</v>
      </c>
      <c r="B863" t="s">
        <v>3462</v>
      </c>
      <c r="C863" t="s">
        <v>3463</v>
      </c>
      <c r="D863" t="s">
        <v>3464</v>
      </c>
      <c r="E863" t="s">
        <v>3465</v>
      </c>
      <c r="F863" t="s">
        <v>3466</v>
      </c>
      <c r="G863" t="s">
        <v>5</v>
      </c>
      <c r="H863" t="s">
        <v>61</v>
      </c>
      <c r="I863" t="s">
        <v>75</v>
      </c>
      <c r="J863" t="s">
        <v>76</v>
      </c>
      <c r="K863" t="s">
        <v>3</v>
      </c>
      <c r="L863" t="s">
        <v>4</v>
      </c>
      <c r="M863" t="s">
        <v>49</v>
      </c>
      <c r="N863" t="s">
        <v>3467</v>
      </c>
      <c r="O863" s="31" t="s">
        <v>3468</v>
      </c>
      <c r="P863">
        <v>20</v>
      </c>
      <c r="Q863" t="s">
        <v>77</v>
      </c>
      <c r="R863">
        <v>1</v>
      </c>
      <c r="S863" s="31">
        <v>0</v>
      </c>
      <c r="T863" s="39">
        <v>0</v>
      </c>
      <c r="U863">
        <v>0</v>
      </c>
      <c r="V863">
        <v>0</v>
      </c>
      <c r="W863">
        <v>0</v>
      </c>
      <c r="X863" s="39">
        <v>0</v>
      </c>
      <c r="Y863">
        <v>0</v>
      </c>
      <c r="Z863" s="31">
        <v>0</v>
      </c>
      <c r="AA863">
        <v>8</v>
      </c>
      <c r="AB863" s="3">
        <f t="shared" si="41"/>
        <v>0</v>
      </c>
      <c r="AC863" t="str">
        <f>IF(AB863-S863&lt;0,"YES","NO")</f>
        <v>NO</v>
      </c>
      <c r="AD863">
        <f>IF(AC863="NO",0,AB863-S863)</f>
        <v>0</v>
      </c>
      <c r="AE863" s="43">
        <v>0.08</v>
      </c>
      <c r="AF863" s="3">
        <f t="shared" si="42"/>
        <v>0</v>
      </c>
      <c r="AG863" s="45">
        <f t="shared" si="43"/>
        <v>0</v>
      </c>
      <c r="AH863" s="55"/>
    </row>
    <row r="864" spans="1:34" x14ac:dyDescent="0.25">
      <c r="A864" t="s">
        <v>3461</v>
      </c>
      <c r="B864" t="s">
        <v>3462</v>
      </c>
      <c r="C864" t="s">
        <v>3463</v>
      </c>
      <c r="D864" t="s">
        <v>3464</v>
      </c>
      <c r="E864" t="s">
        <v>3465</v>
      </c>
      <c r="F864" t="s">
        <v>3466</v>
      </c>
      <c r="G864" t="s">
        <v>5</v>
      </c>
      <c r="H864" t="s">
        <v>65</v>
      </c>
      <c r="I864" t="s">
        <v>82</v>
      </c>
      <c r="J864" t="s">
        <v>83</v>
      </c>
      <c r="K864" t="s">
        <v>3</v>
      </c>
      <c r="L864" t="s">
        <v>4</v>
      </c>
      <c r="M864" t="s">
        <v>49</v>
      </c>
      <c r="N864" t="s">
        <v>3467</v>
      </c>
      <c r="O864" s="31" t="s">
        <v>3468</v>
      </c>
      <c r="P864">
        <v>220</v>
      </c>
      <c r="R864">
        <v>6</v>
      </c>
      <c r="S864" s="31">
        <v>450000</v>
      </c>
      <c r="T864" s="39">
        <v>480000</v>
      </c>
      <c r="U864">
        <v>75000</v>
      </c>
      <c r="V864">
        <v>48000</v>
      </c>
      <c r="W864">
        <v>0</v>
      </c>
      <c r="X864" s="39">
        <v>149970</v>
      </c>
      <c r="Y864">
        <v>0</v>
      </c>
      <c r="Z864" s="31">
        <v>357000</v>
      </c>
      <c r="AA864">
        <v>8</v>
      </c>
      <c r="AB864" s="3">
        <f t="shared" si="41"/>
        <v>357000</v>
      </c>
      <c r="AC864" t="str">
        <f>IF(AB864-S864&lt;0,"YES","NO")</f>
        <v>YES</v>
      </c>
      <c r="AD864">
        <f>IF(AC864="NO",0,AB864-S864)</f>
        <v>-93000</v>
      </c>
      <c r="AE864" s="43">
        <v>0.08</v>
      </c>
      <c r="AF864" s="3">
        <f t="shared" si="42"/>
        <v>-86111.111111111109</v>
      </c>
      <c r="AG864" s="45">
        <f t="shared" si="43"/>
        <v>-94722.222222222234</v>
      </c>
      <c r="AH864" s="55"/>
    </row>
    <row r="865" spans="1:34" x14ac:dyDescent="0.25">
      <c r="A865" t="s">
        <v>3469</v>
      </c>
      <c r="B865" t="s">
        <v>3470</v>
      </c>
      <c r="C865" t="s">
        <v>3471</v>
      </c>
      <c r="D865" t="s">
        <v>3472</v>
      </c>
      <c r="E865" t="s">
        <v>3473</v>
      </c>
      <c r="F865" t="s">
        <v>3474</v>
      </c>
      <c r="G865" t="s">
        <v>5</v>
      </c>
      <c r="H865" t="s">
        <v>65</v>
      </c>
      <c r="I865" t="s">
        <v>68</v>
      </c>
      <c r="J865" t="s">
        <v>69</v>
      </c>
      <c r="K865" t="s">
        <v>3</v>
      </c>
      <c r="L865" t="s">
        <v>4</v>
      </c>
      <c r="M865" t="s">
        <v>49</v>
      </c>
      <c r="N865" t="s">
        <v>3475</v>
      </c>
      <c r="O865" s="31" t="s">
        <v>3476</v>
      </c>
      <c r="P865">
        <v>220</v>
      </c>
      <c r="Q865" t="s">
        <v>70</v>
      </c>
      <c r="R865">
        <v>1</v>
      </c>
      <c r="S865" s="31">
        <v>59000</v>
      </c>
      <c r="T865" s="39">
        <v>65000</v>
      </c>
      <c r="U865">
        <v>11666.67</v>
      </c>
      <c r="V865">
        <v>6500</v>
      </c>
      <c r="W865">
        <v>0</v>
      </c>
      <c r="X865" s="39">
        <v>21033.33</v>
      </c>
      <c r="Y865">
        <v>0</v>
      </c>
      <c r="Z865" s="31">
        <v>46833.33</v>
      </c>
      <c r="AA865">
        <v>8</v>
      </c>
      <c r="AB865" s="3">
        <f t="shared" si="41"/>
        <v>46833.33</v>
      </c>
      <c r="AC865" t="str">
        <f>IF(AB865-S865&lt;0,"YES","NO")</f>
        <v>YES</v>
      </c>
      <c r="AD865">
        <f>IF(AC865="NO",0,AB865-S865)</f>
        <v>-12166.669999999998</v>
      </c>
      <c r="AE865" s="43">
        <v>0.08</v>
      </c>
      <c r="AF865" s="3">
        <f t="shared" si="42"/>
        <v>-11265.435185185182</v>
      </c>
      <c r="AG865" s="45">
        <f t="shared" si="43"/>
        <v>-12391.978703703702</v>
      </c>
      <c r="AH865" s="55"/>
    </row>
    <row r="866" spans="1:34" x14ac:dyDescent="0.25">
      <c r="A866" t="s">
        <v>3469</v>
      </c>
      <c r="B866" t="s">
        <v>3470</v>
      </c>
      <c r="C866" t="s">
        <v>3471</v>
      </c>
      <c r="D866" t="s">
        <v>3472</v>
      </c>
      <c r="E866" t="s">
        <v>3473</v>
      </c>
      <c r="F866" t="s">
        <v>3474</v>
      </c>
      <c r="G866" t="s">
        <v>5</v>
      </c>
      <c r="H866" t="s">
        <v>65</v>
      </c>
      <c r="I866" t="s">
        <v>71</v>
      </c>
      <c r="J866" t="s">
        <v>72</v>
      </c>
      <c r="K866" t="s">
        <v>3</v>
      </c>
      <c r="L866" t="s">
        <v>4</v>
      </c>
      <c r="M866" t="s">
        <v>49</v>
      </c>
      <c r="N866" t="s">
        <v>3475</v>
      </c>
      <c r="O866" s="31" t="s">
        <v>3476</v>
      </c>
      <c r="P866">
        <v>220</v>
      </c>
      <c r="Q866" t="s">
        <v>70</v>
      </c>
      <c r="R866">
        <v>1</v>
      </c>
      <c r="S866" s="31">
        <v>59000</v>
      </c>
      <c r="T866" s="39">
        <v>65000</v>
      </c>
      <c r="U866">
        <v>11666.67</v>
      </c>
      <c r="V866">
        <v>6500</v>
      </c>
      <c r="W866">
        <v>0</v>
      </c>
      <c r="X866" s="39">
        <v>21033.33</v>
      </c>
      <c r="Y866">
        <v>0</v>
      </c>
      <c r="Z866" s="31">
        <v>46833.33</v>
      </c>
      <c r="AA866">
        <v>8</v>
      </c>
      <c r="AB866" s="3">
        <f t="shared" si="41"/>
        <v>46833.33</v>
      </c>
      <c r="AC866" t="str">
        <f>IF(AB866-S866&lt;0,"YES","NO")</f>
        <v>YES</v>
      </c>
      <c r="AD866">
        <f>IF(AC866="NO",0,AB866-S866)</f>
        <v>-12166.669999999998</v>
      </c>
      <c r="AE866" s="43">
        <v>0.08</v>
      </c>
      <c r="AF866" s="3">
        <f t="shared" si="42"/>
        <v>-11265.435185185182</v>
      </c>
      <c r="AG866" s="45">
        <f t="shared" si="43"/>
        <v>-12391.978703703702</v>
      </c>
      <c r="AH866" s="55"/>
    </row>
    <row r="867" spans="1:34" x14ac:dyDescent="0.25">
      <c r="A867" t="s">
        <v>3469</v>
      </c>
      <c r="B867" t="s">
        <v>3470</v>
      </c>
      <c r="C867" t="s">
        <v>3471</v>
      </c>
      <c r="D867" t="s">
        <v>3472</v>
      </c>
      <c r="E867" t="s">
        <v>3473</v>
      </c>
      <c r="F867" t="s">
        <v>3474</v>
      </c>
      <c r="G867" t="s">
        <v>5</v>
      </c>
      <c r="H867" t="s">
        <v>65</v>
      </c>
      <c r="I867" t="s">
        <v>73</v>
      </c>
      <c r="J867" t="s">
        <v>74</v>
      </c>
      <c r="K867" t="s">
        <v>3</v>
      </c>
      <c r="L867" t="s">
        <v>4</v>
      </c>
      <c r="M867" t="s">
        <v>49</v>
      </c>
      <c r="N867" t="s">
        <v>3475</v>
      </c>
      <c r="O867" s="31" t="s">
        <v>3476</v>
      </c>
      <c r="P867">
        <v>220</v>
      </c>
      <c r="Q867" t="s">
        <v>70</v>
      </c>
      <c r="R867">
        <v>1</v>
      </c>
      <c r="S867" s="31">
        <v>59000</v>
      </c>
      <c r="T867" s="39">
        <v>65000</v>
      </c>
      <c r="U867">
        <v>11666.67</v>
      </c>
      <c r="V867">
        <v>6500</v>
      </c>
      <c r="W867">
        <v>0</v>
      </c>
      <c r="X867" s="39">
        <v>21033.33</v>
      </c>
      <c r="Y867">
        <v>0</v>
      </c>
      <c r="Z867" s="31">
        <v>46833.33</v>
      </c>
      <c r="AA867">
        <v>8</v>
      </c>
      <c r="AB867" s="3">
        <f t="shared" si="41"/>
        <v>46833.33</v>
      </c>
      <c r="AC867" t="str">
        <f>IF(AB867-S867&lt;0,"YES","NO")</f>
        <v>YES</v>
      </c>
      <c r="AD867">
        <f>IF(AC867="NO",0,AB867-S867)</f>
        <v>-12166.669999999998</v>
      </c>
      <c r="AE867" s="43">
        <v>0.08</v>
      </c>
      <c r="AF867" s="3">
        <f t="shared" si="42"/>
        <v>-11265.435185185182</v>
      </c>
      <c r="AG867" s="45">
        <f t="shared" si="43"/>
        <v>-12391.978703703702</v>
      </c>
      <c r="AH867" s="55"/>
    </row>
    <row r="868" spans="1:34" x14ac:dyDescent="0.25">
      <c r="A868" t="s">
        <v>3477</v>
      </c>
      <c r="B868" t="s">
        <v>3478</v>
      </c>
      <c r="C868" t="s">
        <v>3479</v>
      </c>
      <c r="D868" t="s">
        <v>3480</v>
      </c>
      <c r="E868" t="s">
        <v>3481</v>
      </c>
      <c r="F868" t="s">
        <v>3482</v>
      </c>
      <c r="G868" t="s">
        <v>5</v>
      </c>
      <c r="H868" t="s">
        <v>65</v>
      </c>
      <c r="I868" t="s">
        <v>66</v>
      </c>
      <c r="J868" t="s">
        <v>67</v>
      </c>
      <c r="K868" t="s">
        <v>3</v>
      </c>
      <c r="L868" t="s">
        <v>4</v>
      </c>
      <c r="M868" t="s">
        <v>49</v>
      </c>
      <c r="N868" t="s">
        <v>3483</v>
      </c>
      <c r="O868" s="31" t="s">
        <v>3484</v>
      </c>
      <c r="P868">
        <v>220</v>
      </c>
      <c r="R868">
        <v>2</v>
      </c>
      <c r="S868" s="31">
        <v>150000</v>
      </c>
      <c r="T868" s="39">
        <v>160000</v>
      </c>
      <c r="U868">
        <v>20000</v>
      </c>
      <c r="V868">
        <v>16000</v>
      </c>
      <c r="W868">
        <v>0</v>
      </c>
      <c r="X868" s="39">
        <v>37360</v>
      </c>
      <c r="Y868">
        <v>0</v>
      </c>
      <c r="Z868" s="31">
        <v>124000</v>
      </c>
      <c r="AA868">
        <v>8</v>
      </c>
      <c r="AB868" s="3">
        <f t="shared" si="41"/>
        <v>124000</v>
      </c>
      <c r="AC868" t="str">
        <f>IF(AB868-S868&lt;0,"YES","NO")</f>
        <v>YES</v>
      </c>
      <c r="AD868">
        <f>IF(AC868="NO",0,AB868-S868)</f>
        <v>-26000</v>
      </c>
      <c r="AE868" s="43">
        <v>0.08</v>
      </c>
      <c r="AF868" s="3">
        <f t="shared" si="42"/>
        <v>-24074.074074074073</v>
      </c>
      <c r="AG868" s="45">
        <f t="shared" si="43"/>
        <v>-26481.481481481482</v>
      </c>
      <c r="AH868" s="55"/>
    </row>
    <row r="869" spans="1:34" x14ac:dyDescent="0.25">
      <c r="A869" t="s">
        <v>3485</v>
      </c>
      <c r="B869" t="s">
        <v>3486</v>
      </c>
      <c r="C869" t="s">
        <v>3487</v>
      </c>
      <c r="D869" t="s">
        <v>3488</v>
      </c>
      <c r="E869" t="s">
        <v>3489</v>
      </c>
      <c r="F869" t="s">
        <v>3490</v>
      </c>
      <c r="G869" t="s">
        <v>5</v>
      </c>
      <c r="H869" t="s">
        <v>65</v>
      </c>
      <c r="I869" t="s">
        <v>66</v>
      </c>
      <c r="J869" t="s">
        <v>67</v>
      </c>
      <c r="K869" t="s">
        <v>3</v>
      </c>
      <c r="L869" t="s">
        <v>4</v>
      </c>
      <c r="M869" t="s">
        <v>49</v>
      </c>
      <c r="N869" t="s">
        <v>3491</v>
      </c>
      <c r="O869" s="31" t="s">
        <v>3492</v>
      </c>
      <c r="P869">
        <v>220</v>
      </c>
      <c r="R869">
        <v>2</v>
      </c>
      <c r="S869" s="31">
        <v>150000</v>
      </c>
      <c r="T869" s="39">
        <v>160000</v>
      </c>
      <c r="U869">
        <v>20000</v>
      </c>
      <c r="V869">
        <v>16000</v>
      </c>
      <c r="W869">
        <v>0</v>
      </c>
      <c r="X869" s="39">
        <v>44800</v>
      </c>
      <c r="Y869">
        <v>0</v>
      </c>
      <c r="Z869" s="31">
        <v>124000</v>
      </c>
      <c r="AA869">
        <v>8</v>
      </c>
      <c r="AB869" s="3">
        <f t="shared" si="41"/>
        <v>124000</v>
      </c>
      <c r="AC869" t="str">
        <f>IF(AB869-S869&lt;0,"YES","NO")</f>
        <v>YES</v>
      </c>
      <c r="AD869">
        <f>IF(AC869="NO",0,AB869-S869)</f>
        <v>-26000</v>
      </c>
      <c r="AE869" s="43">
        <v>0.08</v>
      </c>
      <c r="AF869" s="3">
        <f t="shared" si="42"/>
        <v>-24074.074074074073</v>
      </c>
      <c r="AG869" s="45">
        <f t="shared" si="43"/>
        <v>-26481.481481481482</v>
      </c>
      <c r="AH869" s="55"/>
    </row>
    <row r="870" spans="1:34" x14ac:dyDescent="0.25">
      <c r="A870" t="s">
        <v>3493</v>
      </c>
      <c r="B870" t="s">
        <v>3494</v>
      </c>
      <c r="C870" t="s">
        <v>3495</v>
      </c>
      <c r="D870" t="s">
        <v>3496</v>
      </c>
      <c r="E870" t="s">
        <v>3497</v>
      </c>
      <c r="F870" t="s">
        <v>3498</v>
      </c>
      <c r="G870" t="s">
        <v>5</v>
      </c>
      <c r="H870" t="s">
        <v>61</v>
      </c>
      <c r="I870" t="s">
        <v>84</v>
      </c>
      <c r="J870" t="s">
        <v>85</v>
      </c>
      <c r="K870" t="s">
        <v>3</v>
      </c>
      <c r="L870" t="s">
        <v>4</v>
      </c>
      <c r="M870" t="s">
        <v>49</v>
      </c>
      <c r="N870" t="s">
        <v>3499</v>
      </c>
      <c r="O870" s="31" t="s">
        <v>3500</v>
      </c>
      <c r="P870">
        <v>100</v>
      </c>
      <c r="Q870" t="s">
        <v>86</v>
      </c>
      <c r="R870">
        <v>1</v>
      </c>
      <c r="S870" s="31">
        <v>0</v>
      </c>
      <c r="T870" s="39">
        <v>0</v>
      </c>
      <c r="U870">
        <v>0</v>
      </c>
      <c r="V870">
        <v>0</v>
      </c>
      <c r="W870">
        <v>0</v>
      </c>
      <c r="X870" s="39">
        <v>0</v>
      </c>
      <c r="Y870">
        <v>0</v>
      </c>
      <c r="Z870" s="31">
        <v>0</v>
      </c>
      <c r="AA870">
        <v>8</v>
      </c>
      <c r="AB870" s="3">
        <f t="shared" si="41"/>
        <v>0</v>
      </c>
      <c r="AC870" t="str">
        <f>IF(AB870-S870&lt;0,"YES","NO")</f>
        <v>NO</v>
      </c>
      <c r="AD870">
        <f>IF(AC870="NO",0,AB870-S870)</f>
        <v>0</v>
      </c>
      <c r="AE870" s="43">
        <v>0.08</v>
      </c>
      <c r="AF870" s="3">
        <f t="shared" si="42"/>
        <v>0</v>
      </c>
      <c r="AG870" s="45">
        <f t="shared" si="43"/>
        <v>0</v>
      </c>
      <c r="AH870" s="55"/>
    </row>
    <row r="871" spans="1:34" x14ac:dyDescent="0.25">
      <c r="A871" t="s">
        <v>3493</v>
      </c>
      <c r="B871" t="s">
        <v>3494</v>
      </c>
      <c r="C871" t="s">
        <v>3495</v>
      </c>
      <c r="D871" t="s">
        <v>3496</v>
      </c>
      <c r="E871" t="s">
        <v>3497</v>
      </c>
      <c r="F871" t="s">
        <v>3498</v>
      </c>
      <c r="G871" t="s">
        <v>5</v>
      </c>
      <c r="H871" t="s">
        <v>65</v>
      </c>
      <c r="I871" t="s">
        <v>66</v>
      </c>
      <c r="J871" t="s">
        <v>67</v>
      </c>
      <c r="K871" t="s">
        <v>3</v>
      </c>
      <c r="L871" t="s">
        <v>4</v>
      </c>
      <c r="M871" t="s">
        <v>49</v>
      </c>
      <c r="N871" t="s">
        <v>3499</v>
      </c>
      <c r="O871" s="31" t="s">
        <v>3500</v>
      </c>
      <c r="P871">
        <v>220</v>
      </c>
      <c r="R871">
        <v>1</v>
      </c>
      <c r="S871" s="31">
        <v>75000</v>
      </c>
      <c r="T871" s="39">
        <v>80000</v>
      </c>
      <c r="U871">
        <v>11666.67</v>
      </c>
      <c r="V871">
        <v>8000</v>
      </c>
      <c r="W871">
        <v>0</v>
      </c>
      <c r="X871" s="39">
        <v>24940</v>
      </c>
      <c r="Y871">
        <v>0</v>
      </c>
      <c r="Z871" s="31">
        <v>60333.33</v>
      </c>
      <c r="AA871">
        <v>8</v>
      </c>
      <c r="AB871" s="3">
        <f t="shared" si="41"/>
        <v>60333.33</v>
      </c>
      <c r="AC871" t="str">
        <f>IF(AB871-S871&lt;0,"YES","NO")</f>
        <v>YES</v>
      </c>
      <c r="AD871">
        <f>IF(AC871="NO",0,AB871-S871)</f>
        <v>-14666.669999999998</v>
      </c>
      <c r="AE871" s="43">
        <v>0.08</v>
      </c>
      <c r="AF871" s="3">
        <f t="shared" si="42"/>
        <v>-13580.249999999998</v>
      </c>
      <c r="AG871" s="45">
        <f t="shared" si="43"/>
        <v>-14938.275</v>
      </c>
      <c r="AH871" s="55"/>
    </row>
    <row r="872" spans="1:34" x14ac:dyDescent="0.25">
      <c r="A872" t="s">
        <v>3493</v>
      </c>
      <c r="B872" t="s">
        <v>3494</v>
      </c>
      <c r="C872" t="s">
        <v>3495</v>
      </c>
      <c r="D872" t="s">
        <v>3496</v>
      </c>
      <c r="E872" t="s">
        <v>3497</v>
      </c>
      <c r="F872" t="s">
        <v>3498</v>
      </c>
      <c r="G872" t="s">
        <v>5</v>
      </c>
      <c r="H872" t="s">
        <v>65</v>
      </c>
      <c r="I872" t="s">
        <v>78</v>
      </c>
      <c r="J872" t="s">
        <v>79</v>
      </c>
      <c r="K872" t="s">
        <v>3</v>
      </c>
      <c r="L872" t="s">
        <v>4</v>
      </c>
      <c r="M872" t="s">
        <v>49</v>
      </c>
      <c r="N872" t="s">
        <v>3499</v>
      </c>
      <c r="O872" s="31" t="s">
        <v>3500</v>
      </c>
      <c r="P872">
        <v>220</v>
      </c>
      <c r="R872">
        <v>1</v>
      </c>
      <c r="S872" s="31">
        <v>75000</v>
      </c>
      <c r="T872" s="39">
        <v>80000</v>
      </c>
      <c r="U872">
        <v>11666.67</v>
      </c>
      <c r="V872">
        <v>8000</v>
      </c>
      <c r="W872">
        <v>0</v>
      </c>
      <c r="X872" s="39">
        <v>24940</v>
      </c>
      <c r="Y872">
        <v>0</v>
      </c>
      <c r="Z872" s="31">
        <v>60333.33</v>
      </c>
      <c r="AA872">
        <v>8</v>
      </c>
      <c r="AB872" s="3">
        <f t="shared" si="41"/>
        <v>60333.33</v>
      </c>
      <c r="AC872" t="str">
        <f>IF(AB872-S872&lt;0,"YES","NO")</f>
        <v>YES</v>
      </c>
      <c r="AD872">
        <f>IF(AC872="NO",0,AB872-S872)</f>
        <v>-14666.669999999998</v>
      </c>
      <c r="AE872" s="43">
        <v>0.08</v>
      </c>
      <c r="AF872" s="3">
        <f t="shared" si="42"/>
        <v>-13580.249999999998</v>
      </c>
      <c r="AG872" s="45">
        <f t="shared" si="43"/>
        <v>-14938.275</v>
      </c>
      <c r="AH872" s="55"/>
    </row>
    <row r="873" spans="1:34" x14ac:dyDescent="0.25">
      <c r="A873" t="s">
        <v>3493</v>
      </c>
      <c r="B873" t="s">
        <v>3494</v>
      </c>
      <c r="C873" t="s">
        <v>3495</v>
      </c>
      <c r="D873" t="s">
        <v>3496</v>
      </c>
      <c r="E873" t="s">
        <v>3497</v>
      </c>
      <c r="F873" t="s">
        <v>3498</v>
      </c>
      <c r="G873" t="s">
        <v>5</v>
      </c>
      <c r="H873" t="s">
        <v>65</v>
      </c>
      <c r="I873" t="s">
        <v>80</v>
      </c>
      <c r="J873" t="s">
        <v>81</v>
      </c>
      <c r="K873" t="s">
        <v>3</v>
      </c>
      <c r="L873" t="s">
        <v>4</v>
      </c>
      <c r="M873" t="s">
        <v>49</v>
      </c>
      <c r="N873" t="s">
        <v>3499</v>
      </c>
      <c r="O873" s="31" t="s">
        <v>3500</v>
      </c>
      <c r="P873">
        <v>220</v>
      </c>
      <c r="R873">
        <v>1</v>
      </c>
      <c r="S873" s="31">
        <v>75000</v>
      </c>
      <c r="T873" s="39">
        <v>80000</v>
      </c>
      <c r="U873">
        <v>11666.67</v>
      </c>
      <c r="V873">
        <v>8000</v>
      </c>
      <c r="W873">
        <v>0</v>
      </c>
      <c r="X873" s="39">
        <v>24940</v>
      </c>
      <c r="Y873">
        <v>0</v>
      </c>
      <c r="Z873" s="31">
        <v>60333.33</v>
      </c>
      <c r="AA873">
        <v>8</v>
      </c>
      <c r="AB873" s="3">
        <f t="shared" si="41"/>
        <v>60333.33</v>
      </c>
      <c r="AC873" t="str">
        <f>IF(AB873-S873&lt;0,"YES","NO")</f>
        <v>YES</v>
      </c>
      <c r="AD873">
        <f>IF(AC873="NO",0,AB873-S873)</f>
        <v>-14666.669999999998</v>
      </c>
      <c r="AE873" s="43">
        <v>0.08</v>
      </c>
      <c r="AF873" s="3">
        <f t="shared" si="42"/>
        <v>-13580.249999999998</v>
      </c>
      <c r="AG873" s="45">
        <f t="shared" si="43"/>
        <v>-14938.275</v>
      </c>
      <c r="AH873" s="55"/>
    </row>
    <row r="874" spans="1:34" x14ac:dyDescent="0.25">
      <c r="A874" t="s">
        <v>3501</v>
      </c>
      <c r="B874" t="s">
        <v>3502</v>
      </c>
      <c r="C874" t="s">
        <v>3503</v>
      </c>
      <c r="D874" t="s">
        <v>3504</v>
      </c>
      <c r="E874" t="s">
        <v>3505</v>
      </c>
      <c r="F874" t="s">
        <v>3506</v>
      </c>
      <c r="G874" t="s">
        <v>5</v>
      </c>
      <c r="H874" t="s">
        <v>61</v>
      </c>
      <c r="I874" t="s">
        <v>93</v>
      </c>
      <c r="J874" t="s">
        <v>94</v>
      </c>
      <c r="K874" t="s">
        <v>3</v>
      </c>
      <c r="L874" t="s">
        <v>4</v>
      </c>
      <c r="M874" t="s">
        <v>49</v>
      </c>
      <c r="N874" t="s">
        <v>3507</v>
      </c>
      <c r="O874" s="31" t="s">
        <v>3508</v>
      </c>
      <c r="P874">
        <v>20</v>
      </c>
      <c r="Q874" t="s">
        <v>86</v>
      </c>
      <c r="R874">
        <v>1</v>
      </c>
      <c r="S874" s="31">
        <v>0</v>
      </c>
      <c r="T874" s="39">
        <v>0</v>
      </c>
      <c r="U874">
        <v>0</v>
      </c>
      <c r="V874">
        <v>0</v>
      </c>
      <c r="W874">
        <v>0</v>
      </c>
      <c r="X874" s="39">
        <v>0</v>
      </c>
      <c r="Y874">
        <v>0</v>
      </c>
      <c r="Z874" s="31">
        <v>0</v>
      </c>
      <c r="AA874">
        <v>8</v>
      </c>
      <c r="AB874" s="3">
        <f t="shared" si="41"/>
        <v>0</v>
      </c>
      <c r="AC874" t="str">
        <f>IF(AB874-S874&lt;0,"YES","NO")</f>
        <v>NO</v>
      </c>
      <c r="AD874">
        <f>IF(AC874="NO",0,AB874-S874)</f>
        <v>0</v>
      </c>
      <c r="AE874" s="43">
        <v>0.08</v>
      </c>
      <c r="AF874" s="3">
        <f t="shared" si="42"/>
        <v>0</v>
      </c>
      <c r="AG874" s="45">
        <f t="shared" si="43"/>
        <v>0</v>
      </c>
      <c r="AH874" s="55"/>
    </row>
    <row r="875" spans="1:34" x14ac:dyDescent="0.25">
      <c r="A875" t="s">
        <v>3501</v>
      </c>
      <c r="B875" t="s">
        <v>3502</v>
      </c>
      <c r="C875" t="s">
        <v>3503</v>
      </c>
      <c r="D875" t="s">
        <v>3504</v>
      </c>
      <c r="E875" t="s">
        <v>3505</v>
      </c>
      <c r="F875" t="s">
        <v>3506</v>
      </c>
      <c r="G875" t="s">
        <v>5</v>
      </c>
      <c r="H875" t="s">
        <v>65</v>
      </c>
      <c r="I875" t="s">
        <v>102</v>
      </c>
      <c r="J875" t="s">
        <v>103</v>
      </c>
      <c r="K875" t="s">
        <v>3</v>
      </c>
      <c r="L875" t="s">
        <v>4</v>
      </c>
      <c r="M875" t="s">
        <v>49</v>
      </c>
      <c r="N875" t="s">
        <v>3507</v>
      </c>
      <c r="O875" s="31" t="s">
        <v>3508</v>
      </c>
      <c r="P875">
        <v>200</v>
      </c>
      <c r="R875">
        <v>12</v>
      </c>
      <c r="S875" s="31">
        <v>864000</v>
      </c>
      <c r="T875" s="39">
        <v>960000</v>
      </c>
      <c r="U875">
        <v>80000.039999999994</v>
      </c>
      <c r="V875">
        <v>96000</v>
      </c>
      <c r="W875">
        <v>0</v>
      </c>
      <c r="X875" s="39">
        <v>252480</v>
      </c>
      <c r="Y875">
        <v>0</v>
      </c>
      <c r="Z875" s="31">
        <v>783999.96</v>
      </c>
      <c r="AA875">
        <v>8</v>
      </c>
      <c r="AB875" s="3">
        <f t="shared" si="41"/>
        <v>783999.96</v>
      </c>
      <c r="AC875" t="str">
        <f>IF(AB875-S875&lt;0,"YES","NO")</f>
        <v>YES</v>
      </c>
      <c r="AD875">
        <f>IF(AC875="NO",0,AB875-S875)</f>
        <v>-80000.040000000037</v>
      </c>
      <c r="AE875" s="43">
        <v>0.08</v>
      </c>
      <c r="AF875" s="3">
        <f t="shared" si="42"/>
        <v>-74074.111111111139</v>
      </c>
      <c r="AG875" s="45">
        <f t="shared" si="43"/>
        <v>-81481.522222222266</v>
      </c>
      <c r="AH875" s="55"/>
    </row>
    <row r="876" spans="1:34" x14ac:dyDescent="0.25">
      <c r="A876" t="s">
        <v>3509</v>
      </c>
      <c r="B876" t="s">
        <v>3510</v>
      </c>
      <c r="C876" t="s">
        <v>3511</v>
      </c>
      <c r="D876" t="s">
        <v>3512</v>
      </c>
      <c r="E876" t="s">
        <v>3513</v>
      </c>
      <c r="F876" t="s">
        <v>3514</v>
      </c>
      <c r="G876" t="s">
        <v>5</v>
      </c>
      <c r="H876" t="s">
        <v>65</v>
      </c>
      <c r="I876" t="s">
        <v>109</v>
      </c>
      <c r="J876" t="s">
        <v>110</v>
      </c>
      <c r="K876" t="s">
        <v>3</v>
      </c>
      <c r="L876" t="s">
        <v>4</v>
      </c>
      <c r="M876" t="s">
        <v>49</v>
      </c>
      <c r="N876" t="s">
        <v>3515</v>
      </c>
      <c r="O876" s="31" t="s">
        <v>3516</v>
      </c>
      <c r="P876">
        <v>380</v>
      </c>
      <c r="R876">
        <v>2</v>
      </c>
      <c r="S876" s="31">
        <v>132000</v>
      </c>
      <c r="T876" s="39">
        <v>140000</v>
      </c>
      <c r="U876">
        <v>9333</v>
      </c>
      <c r="V876">
        <v>14000</v>
      </c>
      <c r="W876">
        <v>0</v>
      </c>
      <c r="X876" s="39">
        <v>34999</v>
      </c>
      <c r="Y876">
        <v>0</v>
      </c>
      <c r="Z876" s="31">
        <v>116667</v>
      </c>
      <c r="AA876">
        <v>8</v>
      </c>
      <c r="AB876" s="3">
        <f t="shared" si="41"/>
        <v>116667</v>
      </c>
      <c r="AC876" t="str">
        <f>IF(AB876-S876&lt;0,"YES","NO")</f>
        <v>YES</v>
      </c>
      <c r="AD876">
        <f>IF(AC876="NO",0,AB876-S876)</f>
        <v>-15333</v>
      </c>
      <c r="AE876" s="43">
        <v>0.08</v>
      </c>
      <c r="AF876" s="3">
        <f t="shared" si="42"/>
        <v>-14197.222222222221</v>
      </c>
      <c r="AG876" s="45">
        <f t="shared" si="43"/>
        <v>-15616.944444444443</v>
      </c>
      <c r="AH876" s="55"/>
    </row>
    <row r="877" spans="1:34" x14ac:dyDescent="0.25">
      <c r="A877" t="s">
        <v>3509</v>
      </c>
      <c r="B877" t="s">
        <v>3510</v>
      </c>
      <c r="C877" t="s">
        <v>3511</v>
      </c>
      <c r="D877" t="s">
        <v>3512</v>
      </c>
      <c r="E877" t="s">
        <v>3513</v>
      </c>
      <c r="F877" t="s">
        <v>3514</v>
      </c>
      <c r="G877" t="s">
        <v>5</v>
      </c>
      <c r="H877" t="s">
        <v>65</v>
      </c>
      <c r="I877" t="s">
        <v>82</v>
      </c>
      <c r="J877" t="s">
        <v>83</v>
      </c>
      <c r="K877" t="s">
        <v>3</v>
      </c>
      <c r="L877" t="s">
        <v>4</v>
      </c>
      <c r="M877" t="s">
        <v>49</v>
      </c>
      <c r="N877" t="s">
        <v>3515</v>
      </c>
      <c r="O877" s="31" t="s">
        <v>3516</v>
      </c>
      <c r="P877">
        <v>220</v>
      </c>
      <c r="R877">
        <v>2</v>
      </c>
      <c r="S877" s="31">
        <v>150000</v>
      </c>
      <c r="T877" s="39">
        <v>160000</v>
      </c>
      <c r="U877">
        <v>10667</v>
      </c>
      <c r="V877">
        <v>16000</v>
      </c>
      <c r="W877">
        <v>0</v>
      </c>
      <c r="X877" s="39">
        <v>40001</v>
      </c>
      <c r="Y877">
        <v>0</v>
      </c>
      <c r="Z877" s="31">
        <v>133333</v>
      </c>
      <c r="AA877">
        <v>8</v>
      </c>
      <c r="AB877" s="3">
        <f t="shared" si="41"/>
        <v>133333</v>
      </c>
      <c r="AC877" t="str">
        <f>IF(AB877-S877&lt;0,"YES","NO")</f>
        <v>YES</v>
      </c>
      <c r="AD877">
        <f>IF(AC877="NO",0,AB877-S877)</f>
        <v>-16667</v>
      </c>
      <c r="AE877" s="43">
        <v>0.08</v>
      </c>
      <c r="AF877" s="3">
        <f t="shared" si="42"/>
        <v>-15432.407407407407</v>
      </c>
      <c r="AG877" s="45">
        <f t="shared" si="43"/>
        <v>-16975.64814814815</v>
      </c>
      <c r="AH877" s="55"/>
    </row>
    <row r="878" spans="1:34" x14ac:dyDescent="0.25">
      <c r="A878" t="s">
        <v>3517</v>
      </c>
      <c r="B878" t="s">
        <v>3518</v>
      </c>
      <c r="C878" t="s">
        <v>3519</v>
      </c>
      <c r="D878" t="s">
        <v>3520</v>
      </c>
      <c r="E878" t="s">
        <v>3521</v>
      </c>
      <c r="F878" t="s">
        <v>3522</v>
      </c>
      <c r="G878" t="s">
        <v>5</v>
      </c>
      <c r="H878" t="s">
        <v>65</v>
      </c>
      <c r="I878" t="s">
        <v>66</v>
      </c>
      <c r="J878" t="s">
        <v>67</v>
      </c>
      <c r="K878" t="s">
        <v>3</v>
      </c>
      <c r="L878" t="s">
        <v>4</v>
      </c>
      <c r="M878" t="s">
        <v>49</v>
      </c>
      <c r="N878" t="s">
        <v>3523</v>
      </c>
      <c r="O878" s="31" t="s">
        <v>3524</v>
      </c>
      <c r="P878">
        <v>220</v>
      </c>
      <c r="R878">
        <v>3</v>
      </c>
      <c r="S878" s="31">
        <v>225000</v>
      </c>
      <c r="T878" s="39">
        <v>240000</v>
      </c>
      <c r="U878">
        <v>35000.01</v>
      </c>
      <c r="V878">
        <v>24000</v>
      </c>
      <c r="W878">
        <v>0</v>
      </c>
      <c r="X878" s="39">
        <v>74820</v>
      </c>
      <c r="Y878">
        <v>0</v>
      </c>
      <c r="Z878" s="31">
        <v>180999.99</v>
      </c>
      <c r="AA878">
        <v>8</v>
      </c>
      <c r="AB878" s="3">
        <f t="shared" si="41"/>
        <v>180999.99</v>
      </c>
      <c r="AC878" t="str">
        <f>IF(AB878-S878&lt;0,"YES","NO")</f>
        <v>YES</v>
      </c>
      <c r="AD878">
        <f>IF(AC878="NO",0,AB878-S878)</f>
        <v>-44000.010000000009</v>
      </c>
      <c r="AE878" s="43">
        <v>0.08</v>
      </c>
      <c r="AF878" s="3">
        <f t="shared" si="42"/>
        <v>-40740.750000000007</v>
      </c>
      <c r="AG878" s="45">
        <f t="shared" si="43"/>
        <v>-44814.825000000012</v>
      </c>
      <c r="AH878" s="55"/>
    </row>
    <row r="879" spans="1:34" x14ac:dyDescent="0.25">
      <c r="A879" t="s">
        <v>3525</v>
      </c>
      <c r="B879" t="s">
        <v>3526</v>
      </c>
      <c r="C879" t="s">
        <v>3527</v>
      </c>
      <c r="D879" t="s">
        <v>3528</v>
      </c>
      <c r="E879" t="s">
        <v>3529</v>
      </c>
      <c r="F879" t="s">
        <v>3530</v>
      </c>
      <c r="G879" t="s">
        <v>5</v>
      </c>
      <c r="H879" t="s">
        <v>61</v>
      </c>
      <c r="I879" t="s">
        <v>84</v>
      </c>
      <c r="J879" t="s">
        <v>85</v>
      </c>
      <c r="K879" t="s">
        <v>3</v>
      </c>
      <c r="L879" t="s">
        <v>4</v>
      </c>
      <c r="M879" t="s">
        <v>49</v>
      </c>
      <c r="N879" t="s">
        <v>3531</v>
      </c>
      <c r="O879" s="31" t="s">
        <v>3532</v>
      </c>
      <c r="P879">
        <v>100</v>
      </c>
      <c r="Q879" t="s">
        <v>86</v>
      </c>
      <c r="R879">
        <v>1</v>
      </c>
      <c r="S879" s="31">
        <v>0</v>
      </c>
      <c r="T879" s="39">
        <v>0</v>
      </c>
      <c r="U879">
        <v>0</v>
      </c>
      <c r="V879">
        <v>0</v>
      </c>
      <c r="W879">
        <v>0</v>
      </c>
      <c r="X879" s="39">
        <v>0</v>
      </c>
      <c r="Y879">
        <v>0</v>
      </c>
      <c r="Z879" s="31">
        <v>0</v>
      </c>
      <c r="AA879">
        <v>8</v>
      </c>
      <c r="AB879" s="3">
        <f t="shared" si="41"/>
        <v>0</v>
      </c>
      <c r="AC879" t="str">
        <f>IF(AB879-S879&lt;0,"YES","NO")</f>
        <v>NO</v>
      </c>
      <c r="AD879">
        <f>IF(AC879="NO",0,AB879-S879)</f>
        <v>0</v>
      </c>
      <c r="AE879" s="43">
        <v>0.08</v>
      </c>
      <c r="AF879" s="3">
        <f t="shared" si="42"/>
        <v>0</v>
      </c>
      <c r="AG879" s="45">
        <f t="shared" si="43"/>
        <v>0</v>
      </c>
      <c r="AH879" s="55"/>
    </row>
    <row r="880" spans="1:34" x14ac:dyDescent="0.25">
      <c r="A880" t="s">
        <v>3525</v>
      </c>
      <c r="B880" t="s">
        <v>3526</v>
      </c>
      <c r="C880" t="s">
        <v>3527</v>
      </c>
      <c r="D880" t="s">
        <v>3528</v>
      </c>
      <c r="E880" t="s">
        <v>3529</v>
      </c>
      <c r="F880" t="s">
        <v>3530</v>
      </c>
      <c r="G880" t="s">
        <v>5</v>
      </c>
      <c r="H880" t="s">
        <v>65</v>
      </c>
      <c r="I880" t="s">
        <v>66</v>
      </c>
      <c r="J880" t="s">
        <v>67</v>
      </c>
      <c r="K880" t="s">
        <v>3</v>
      </c>
      <c r="L880" t="s">
        <v>4</v>
      </c>
      <c r="M880" t="s">
        <v>49</v>
      </c>
      <c r="N880" t="s">
        <v>3531</v>
      </c>
      <c r="O880" s="31" t="s">
        <v>3532</v>
      </c>
      <c r="P880">
        <v>220</v>
      </c>
      <c r="R880">
        <v>1</v>
      </c>
      <c r="S880" s="31">
        <v>75000</v>
      </c>
      <c r="T880" s="39">
        <v>80000</v>
      </c>
      <c r="U880">
        <v>11666.67</v>
      </c>
      <c r="V880">
        <v>8000</v>
      </c>
      <c r="W880">
        <v>0</v>
      </c>
      <c r="X880" s="39">
        <v>24940</v>
      </c>
      <c r="Y880">
        <v>0</v>
      </c>
      <c r="Z880" s="31">
        <v>60333.33</v>
      </c>
      <c r="AA880">
        <v>8</v>
      </c>
      <c r="AB880" s="3">
        <f t="shared" si="41"/>
        <v>60333.33</v>
      </c>
      <c r="AC880" t="str">
        <f>IF(AB880-S880&lt;0,"YES","NO")</f>
        <v>YES</v>
      </c>
      <c r="AD880">
        <f>IF(AC880="NO",0,AB880-S880)</f>
        <v>-14666.669999999998</v>
      </c>
      <c r="AE880" s="43">
        <v>0.08</v>
      </c>
      <c r="AF880" s="3">
        <f t="shared" si="42"/>
        <v>-13580.249999999998</v>
      </c>
      <c r="AG880" s="45">
        <f t="shared" si="43"/>
        <v>-14938.275</v>
      </c>
      <c r="AH880" s="55"/>
    </row>
    <row r="881" spans="1:34" x14ac:dyDescent="0.25">
      <c r="A881" t="s">
        <v>3525</v>
      </c>
      <c r="B881" t="s">
        <v>3526</v>
      </c>
      <c r="C881" t="s">
        <v>3527</v>
      </c>
      <c r="D881" t="s">
        <v>3528</v>
      </c>
      <c r="E881" t="s">
        <v>3529</v>
      </c>
      <c r="F881" t="s">
        <v>3530</v>
      </c>
      <c r="G881" t="s">
        <v>5</v>
      </c>
      <c r="H881" t="s">
        <v>65</v>
      </c>
      <c r="I881" t="s">
        <v>78</v>
      </c>
      <c r="J881" t="s">
        <v>79</v>
      </c>
      <c r="K881" t="s">
        <v>3</v>
      </c>
      <c r="L881" t="s">
        <v>4</v>
      </c>
      <c r="M881" t="s">
        <v>49</v>
      </c>
      <c r="N881" t="s">
        <v>3531</v>
      </c>
      <c r="O881" s="31" t="s">
        <v>3532</v>
      </c>
      <c r="P881">
        <v>220</v>
      </c>
      <c r="R881">
        <v>1</v>
      </c>
      <c r="S881" s="31">
        <v>75000</v>
      </c>
      <c r="T881" s="39">
        <v>80000</v>
      </c>
      <c r="U881">
        <v>11666.67</v>
      </c>
      <c r="V881">
        <v>8000</v>
      </c>
      <c r="W881">
        <v>0</v>
      </c>
      <c r="X881" s="39">
        <v>24940</v>
      </c>
      <c r="Y881">
        <v>0</v>
      </c>
      <c r="Z881" s="31">
        <v>60333.33</v>
      </c>
      <c r="AA881">
        <v>8</v>
      </c>
      <c r="AB881" s="3">
        <f t="shared" si="41"/>
        <v>60333.33</v>
      </c>
      <c r="AC881" t="str">
        <f>IF(AB881-S881&lt;0,"YES","NO")</f>
        <v>YES</v>
      </c>
      <c r="AD881">
        <f>IF(AC881="NO",0,AB881-S881)</f>
        <v>-14666.669999999998</v>
      </c>
      <c r="AE881" s="43">
        <v>0.08</v>
      </c>
      <c r="AF881" s="3">
        <f t="shared" si="42"/>
        <v>-13580.249999999998</v>
      </c>
      <c r="AG881" s="45">
        <f t="shared" si="43"/>
        <v>-14938.275</v>
      </c>
      <c r="AH881" s="55"/>
    </row>
    <row r="882" spans="1:34" x14ac:dyDescent="0.25">
      <c r="A882" t="s">
        <v>3525</v>
      </c>
      <c r="B882" t="s">
        <v>3526</v>
      </c>
      <c r="C882" t="s">
        <v>3527</v>
      </c>
      <c r="D882" t="s">
        <v>3528</v>
      </c>
      <c r="E882" t="s">
        <v>3529</v>
      </c>
      <c r="F882" t="s">
        <v>3530</v>
      </c>
      <c r="G882" t="s">
        <v>5</v>
      </c>
      <c r="H882" t="s">
        <v>65</v>
      </c>
      <c r="I882" t="s">
        <v>80</v>
      </c>
      <c r="J882" t="s">
        <v>81</v>
      </c>
      <c r="K882" t="s">
        <v>3</v>
      </c>
      <c r="L882" t="s">
        <v>4</v>
      </c>
      <c r="M882" t="s">
        <v>49</v>
      </c>
      <c r="N882" t="s">
        <v>3531</v>
      </c>
      <c r="O882" s="31" t="s">
        <v>3532</v>
      </c>
      <c r="P882">
        <v>220</v>
      </c>
      <c r="R882">
        <v>1</v>
      </c>
      <c r="S882" s="31">
        <v>75000</v>
      </c>
      <c r="T882" s="39">
        <v>80000</v>
      </c>
      <c r="U882">
        <v>11666.67</v>
      </c>
      <c r="V882">
        <v>8000</v>
      </c>
      <c r="W882">
        <v>0</v>
      </c>
      <c r="X882" s="39">
        <v>24940</v>
      </c>
      <c r="Y882">
        <v>0</v>
      </c>
      <c r="Z882" s="31">
        <v>60333.33</v>
      </c>
      <c r="AA882">
        <v>8</v>
      </c>
      <c r="AB882" s="3">
        <f t="shared" si="41"/>
        <v>60333.33</v>
      </c>
      <c r="AC882" t="str">
        <f>IF(AB882-S882&lt;0,"YES","NO")</f>
        <v>YES</v>
      </c>
      <c r="AD882">
        <f>IF(AC882="NO",0,AB882-S882)</f>
        <v>-14666.669999999998</v>
      </c>
      <c r="AE882" s="43">
        <v>0.08</v>
      </c>
      <c r="AF882" s="3">
        <f t="shared" si="42"/>
        <v>-13580.249999999998</v>
      </c>
      <c r="AG882" s="45">
        <f t="shared" si="43"/>
        <v>-14938.275</v>
      </c>
      <c r="AH882" s="55"/>
    </row>
    <row r="883" spans="1:34" x14ac:dyDescent="0.25">
      <c r="A883" t="s">
        <v>3533</v>
      </c>
      <c r="B883" t="s">
        <v>3534</v>
      </c>
      <c r="C883" t="s">
        <v>3535</v>
      </c>
      <c r="D883" t="s">
        <v>3536</v>
      </c>
      <c r="E883" t="s">
        <v>3537</v>
      </c>
      <c r="F883" t="s">
        <v>3538</v>
      </c>
      <c r="G883" t="s">
        <v>5</v>
      </c>
      <c r="H883" t="s">
        <v>65</v>
      </c>
      <c r="I883" t="s">
        <v>78</v>
      </c>
      <c r="J883" t="s">
        <v>79</v>
      </c>
      <c r="K883" t="s">
        <v>3</v>
      </c>
      <c r="L883" t="s">
        <v>4</v>
      </c>
      <c r="M883" t="s">
        <v>49</v>
      </c>
      <c r="N883" t="s">
        <v>3539</v>
      </c>
      <c r="O883" s="31" t="s">
        <v>3540</v>
      </c>
      <c r="P883">
        <v>220</v>
      </c>
      <c r="R883">
        <v>3</v>
      </c>
      <c r="S883" s="31">
        <v>225000</v>
      </c>
      <c r="T883" s="39">
        <v>240000</v>
      </c>
      <c r="U883">
        <v>35000.01</v>
      </c>
      <c r="V883">
        <v>24000</v>
      </c>
      <c r="W883">
        <v>0</v>
      </c>
      <c r="X883" s="39">
        <v>74820</v>
      </c>
      <c r="Y883">
        <v>0</v>
      </c>
      <c r="Z883" s="31">
        <v>180999.99</v>
      </c>
      <c r="AA883">
        <v>8</v>
      </c>
      <c r="AB883" s="3">
        <f t="shared" si="41"/>
        <v>180999.99</v>
      </c>
      <c r="AC883" t="str">
        <f>IF(AB883-S883&lt;0,"YES","NO")</f>
        <v>YES</v>
      </c>
      <c r="AD883">
        <f>IF(AC883="NO",0,AB883-S883)</f>
        <v>-44000.010000000009</v>
      </c>
      <c r="AE883" s="43">
        <v>0.08</v>
      </c>
      <c r="AF883" s="3">
        <f t="shared" si="42"/>
        <v>-40740.750000000007</v>
      </c>
      <c r="AG883" s="45">
        <f t="shared" si="43"/>
        <v>-44814.825000000012</v>
      </c>
      <c r="AH883" s="55"/>
    </row>
    <row r="884" spans="1:34" x14ac:dyDescent="0.25">
      <c r="A884" t="s">
        <v>3541</v>
      </c>
      <c r="B884" t="s">
        <v>3542</v>
      </c>
      <c r="C884" t="s">
        <v>3543</v>
      </c>
      <c r="D884" t="s">
        <v>3544</v>
      </c>
      <c r="E884" t="s">
        <v>3545</v>
      </c>
      <c r="F884" t="s">
        <v>3546</v>
      </c>
      <c r="G884" t="s">
        <v>5</v>
      </c>
      <c r="H884" t="s">
        <v>65</v>
      </c>
      <c r="I884" t="s">
        <v>82</v>
      </c>
      <c r="J884" t="s">
        <v>83</v>
      </c>
      <c r="K884" t="s">
        <v>3</v>
      </c>
      <c r="L884" t="s">
        <v>4</v>
      </c>
      <c r="M884" t="s">
        <v>49</v>
      </c>
      <c r="N884" t="s">
        <v>3547</v>
      </c>
      <c r="O884" s="31" t="s">
        <v>3548</v>
      </c>
      <c r="P884">
        <v>220</v>
      </c>
      <c r="R884">
        <v>4</v>
      </c>
      <c r="S884" s="31">
        <v>300000</v>
      </c>
      <c r="T884" s="39">
        <v>320000</v>
      </c>
      <c r="U884">
        <v>20000</v>
      </c>
      <c r="V884">
        <v>32000</v>
      </c>
      <c r="W884">
        <v>0</v>
      </c>
      <c r="X884" s="39">
        <v>60200</v>
      </c>
      <c r="Y884">
        <v>0</v>
      </c>
      <c r="Z884" s="31">
        <v>268000</v>
      </c>
      <c r="AA884">
        <v>8</v>
      </c>
      <c r="AB884" s="3">
        <f t="shared" si="41"/>
        <v>268000</v>
      </c>
      <c r="AC884" t="str">
        <f>IF(AB884-S884&lt;0,"YES","NO")</f>
        <v>YES</v>
      </c>
      <c r="AD884">
        <f>IF(AC884="NO",0,AB884-S884)</f>
        <v>-32000</v>
      </c>
      <c r="AE884" s="43">
        <v>0.08</v>
      </c>
      <c r="AF884" s="3">
        <f t="shared" si="42"/>
        <v>-29629.629629629628</v>
      </c>
      <c r="AG884" s="45">
        <f t="shared" si="43"/>
        <v>-32592.592592592595</v>
      </c>
      <c r="AH884" s="55"/>
    </row>
    <row r="885" spans="1:34" x14ac:dyDescent="0.25">
      <c r="A885" t="s">
        <v>3549</v>
      </c>
      <c r="B885" t="s">
        <v>3550</v>
      </c>
      <c r="C885" t="s">
        <v>3551</v>
      </c>
      <c r="D885" t="s">
        <v>3552</v>
      </c>
      <c r="E885" t="s">
        <v>3553</v>
      </c>
      <c r="F885" t="s">
        <v>3546</v>
      </c>
      <c r="G885" t="s">
        <v>5</v>
      </c>
      <c r="H885" t="s">
        <v>65</v>
      </c>
      <c r="I885" t="s">
        <v>78</v>
      </c>
      <c r="J885" t="s">
        <v>79</v>
      </c>
      <c r="K885" t="s">
        <v>3</v>
      </c>
      <c r="L885" t="s">
        <v>4</v>
      </c>
      <c r="M885" t="s">
        <v>49</v>
      </c>
      <c r="N885" t="s">
        <v>3554</v>
      </c>
      <c r="O885" s="31" t="s">
        <v>3555</v>
      </c>
      <c r="P885">
        <v>220</v>
      </c>
      <c r="R885">
        <v>6</v>
      </c>
      <c r="S885" s="31">
        <v>450000</v>
      </c>
      <c r="T885" s="39">
        <v>480000</v>
      </c>
      <c r="U885">
        <v>75000</v>
      </c>
      <c r="V885">
        <v>48000</v>
      </c>
      <c r="W885">
        <v>0</v>
      </c>
      <c r="X885" s="39">
        <v>132120</v>
      </c>
      <c r="Y885">
        <v>0</v>
      </c>
      <c r="Z885" s="31">
        <v>357000</v>
      </c>
      <c r="AA885">
        <v>8</v>
      </c>
      <c r="AB885" s="3">
        <f t="shared" si="41"/>
        <v>357000</v>
      </c>
      <c r="AC885" t="str">
        <f>IF(AB885-S885&lt;0,"YES","NO")</f>
        <v>YES</v>
      </c>
      <c r="AD885">
        <f>IF(AC885="NO",0,AB885-S885)</f>
        <v>-93000</v>
      </c>
      <c r="AE885" s="43">
        <v>0.08</v>
      </c>
      <c r="AF885" s="3">
        <f t="shared" si="42"/>
        <v>-86111.111111111109</v>
      </c>
      <c r="AG885" s="45">
        <f t="shared" si="43"/>
        <v>-94722.222222222234</v>
      </c>
      <c r="AH885" s="55"/>
    </row>
    <row r="886" spans="1:34" x14ac:dyDescent="0.25">
      <c r="A886" t="s">
        <v>3556</v>
      </c>
      <c r="B886" t="s">
        <v>3557</v>
      </c>
      <c r="C886" t="s">
        <v>3558</v>
      </c>
      <c r="D886" t="s">
        <v>3559</v>
      </c>
      <c r="E886" t="s">
        <v>3560</v>
      </c>
      <c r="F886" t="s">
        <v>3561</v>
      </c>
      <c r="G886" t="s">
        <v>5</v>
      </c>
      <c r="H886" t="s">
        <v>65</v>
      </c>
      <c r="I886" t="s">
        <v>66</v>
      </c>
      <c r="J886" t="s">
        <v>67</v>
      </c>
      <c r="K886" t="s">
        <v>3</v>
      </c>
      <c r="L886" t="s">
        <v>4</v>
      </c>
      <c r="M886" t="s">
        <v>49</v>
      </c>
      <c r="N886" t="s">
        <v>3562</v>
      </c>
      <c r="O886" s="31" t="s">
        <v>3563</v>
      </c>
      <c r="P886">
        <v>220</v>
      </c>
      <c r="R886">
        <v>2</v>
      </c>
      <c r="S886" s="31">
        <v>150000</v>
      </c>
      <c r="T886" s="39">
        <v>160000</v>
      </c>
      <c r="U886">
        <v>25000</v>
      </c>
      <c r="V886">
        <v>16000</v>
      </c>
      <c r="W886">
        <v>0</v>
      </c>
      <c r="X886" s="39">
        <v>42850</v>
      </c>
      <c r="Y886">
        <v>0</v>
      </c>
      <c r="Z886" s="31">
        <v>119000</v>
      </c>
      <c r="AA886">
        <v>8</v>
      </c>
      <c r="AB886" s="3">
        <f t="shared" si="41"/>
        <v>119000</v>
      </c>
      <c r="AC886" t="str">
        <f>IF(AB886-S886&lt;0,"YES","NO")</f>
        <v>YES</v>
      </c>
      <c r="AD886">
        <f>IF(AC886="NO",0,AB886-S886)</f>
        <v>-31000</v>
      </c>
      <c r="AE886" s="43">
        <v>0.08</v>
      </c>
      <c r="AF886" s="3">
        <f t="shared" si="42"/>
        <v>-28703.703703703701</v>
      </c>
      <c r="AG886" s="45">
        <f t="shared" si="43"/>
        <v>-31574.074074074073</v>
      </c>
      <c r="AH886" s="55"/>
    </row>
    <row r="887" spans="1:34" x14ac:dyDescent="0.25">
      <c r="A887" t="s">
        <v>3556</v>
      </c>
      <c r="B887" t="s">
        <v>3557</v>
      </c>
      <c r="C887" t="s">
        <v>3558</v>
      </c>
      <c r="D887" t="s">
        <v>3559</v>
      </c>
      <c r="E887" t="s">
        <v>3560</v>
      </c>
      <c r="F887" t="s">
        <v>3561</v>
      </c>
      <c r="G887" t="s">
        <v>5</v>
      </c>
      <c r="H887" t="s">
        <v>65</v>
      </c>
      <c r="I887" t="s">
        <v>78</v>
      </c>
      <c r="J887" t="s">
        <v>79</v>
      </c>
      <c r="K887" t="s">
        <v>3</v>
      </c>
      <c r="L887" t="s">
        <v>4</v>
      </c>
      <c r="M887" t="s">
        <v>49</v>
      </c>
      <c r="N887" t="s">
        <v>3562</v>
      </c>
      <c r="O887" s="31" t="s">
        <v>3563</v>
      </c>
      <c r="P887">
        <v>220</v>
      </c>
      <c r="R887">
        <v>2</v>
      </c>
      <c r="S887" s="31">
        <v>150000</v>
      </c>
      <c r="T887" s="39">
        <v>160000</v>
      </c>
      <c r="U887">
        <v>25000</v>
      </c>
      <c r="V887">
        <v>16000</v>
      </c>
      <c r="W887">
        <v>0</v>
      </c>
      <c r="X887" s="39">
        <v>42850</v>
      </c>
      <c r="Y887">
        <v>0</v>
      </c>
      <c r="Z887" s="31">
        <v>119000</v>
      </c>
      <c r="AA887">
        <v>8</v>
      </c>
      <c r="AB887" s="3">
        <f t="shared" si="41"/>
        <v>119000</v>
      </c>
      <c r="AC887" t="str">
        <f>IF(AB887-S887&lt;0,"YES","NO")</f>
        <v>YES</v>
      </c>
      <c r="AD887">
        <f>IF(AC887="NO",0,AB887-S887)</f>
        <v>-31000</v>
      </c>
      <c r="AE887" s="43">
        <v>0.08</v>
      </c>
      <c r="AF887" s="3">
        <f t="shared" si="42"/>
        <v>-28703.703703703701</v>
      </c>
      <c r="AG887" s="45">
        <f t="shared" si="43"/>
        <v>-31574.074074074073</v>
      </c>
      <c r="AH887" s="55"/>
    </row>
    <row r="888" spans="1:34" x14ac:dyDescent="0.25">
      <c r="A888" t="s">
        <v>3556</v>
      </c>
      <c r="B888" t="s">
        <v>3557</v>
      </c>
      <c r="C888" t="s">
        <v>3558</v>
      </c>
      <c r="D888" t="s">
        <v>3559</v>
      </c>
      <c r="E888" t="s">
        <v>3560</v>
      </c>
      <c r="F888" t="s">
        <v>3561</v>
      </c>
      <c r="G888" t="s">
        <v>5</v>
      </c>
      <c r="H888" t="s">
        <v>65</v>
      </c>
      <c r="I888" t="s">
        <v>80</v>
      </c>
      <c r="J888" t="s">
        <v>81</v>
      </c>
      <c r="K888" t="s">
        <v>3</v>
      </c>
      <c r="L888" t="s">
        <v>4</v>
      </c>
      <c r="M888" t="s">
        <v>49</v>
      </c>
      <c r="N888" t="s">
        <v>3562</v>
      </c>
      <c r="O888" s="31" t="s">
        <v>3563</v>
      </c>
      <c r="P888">
        <v>220</v>
      </c>
      <c r="R888">
        <v>2</v>
      </c>
      <c r="S888" s="31">
        <v>150000</v>
      </c>
      <c r="T888" s="39">
        <v>160000</v>
      </c>
      <c r="U888">
        <v>25000</v>
      </c>
      <c r="V888">
        <v>16000</v>
      </c>
      <c r="W888">
        <v>0</v>
      </c>
      <c r="X888" s="39">
        <v>42850</v>
      </c>
      <c r="Y888">
        <v>0</v>
      </c>
      <c r="Z888" s="31">
        <v>119000</v>
      </c>
      <c r="AA888">
        <v>8</v>
      </c>
      <c r="AB888" s="3">
        <f t="shared" si="41"/>
        <v>119000</v>
      </c>
      <c r="AC888" t="str">
        <f>IF(AB888-S888&lt;0,"YES","NO")</f>
        <v>YES</v>
      </c>
      <c r="AD888">
        <f>IF(AC888="NO",0,AB888-S888)</f>
        <v>-31000</v>
      </c>
      <c r="AE888" s="43">
        <v>0.08</v>
      </c>
      <c r="AF888" s="3">
        <f t="shared" si="42"/>
        <v>-28703.703703703701</v>
      </c>
      <c r="AG888" s="45">
        <f t="shared" si="43"/>
        <v>-31574.074074074073</v>
      </c>
      <c r="AH888" s="55"/>
    </row>
    <row r="889" spans="1:34" x14ac:dyDescent="0.25">
      <c r="A889" t="s">
        <v>3564</v>
      </c>
      <c r="B889" t="s">
        <v>3565</v>
      </c>
      <c r="C889" t="s">
        <v>3566</v>
      </c>
      <c r="D889" t="s">
        <v>3567</v>
      </c>
      <c r="E889" t="s">
        <v>3568</v>
      </c>
      <c r="F889" t="s">
        <v>3569</v>
      </c>
      <c r="G889" t="s">
        <v>5</v>
      </c>
      <c r="H889" t="s">
        <v>65</v>
      </c>
      <c r="I889" t="s">
        <v>66</v>
      </c>
      <c r="J889" t="s">
        <v>67</v>
      </c>
      <c r="K889" t="s">
        <v>3</v>
      </c>
      <c r="L889" t="s">
        <v>4</v>
      </c>
      <c r="M889" t="s">
        <v>49</v>
      </c>
      <c r="N889" t="s">
        <v>3570</v>
      </c>
      <c r="O889" s="31" t="s">
        <v>3571</v>
      </c>
      <c r="P889">
        <v>220</v>
      </c>
      <c r="R889">
        <v>3</v>
      </c>
      <c r="S889" s="31">
        <v>225000</v>
      </c>
      <c r="T889" s="39">
        <v>240000</v>
      </c>
      <c r="U889">
        <v>35000.01</v>
      </c>
      <c r="V889">
        <v>24000</v>
      </c>
      <c r="W889">
        <v>0</v>
      </c>
      <c r="X889" s="39">
        <v>60339.99</v>
      </c>
      <c r="Y889">
        <v>0</v>
      </c>
      <c r="Z889" s="31">
        <v>180999.99</v>
      </c>
      <c r="AA889">
        <v>8</v>
      </c>
      <c r="AB889" s="3">
        <f t="shared" si="41"/>
        <v>180999.99</v>
      </c>
      <c r="AC889" t="str">
        <f>IF(AB889-S889&lt;0,"YES","NO")</f>
        <v>YES</v>
      </c>
      <c r="AD889">
        <f>IF(AC889="NO",0,AB889-S889)</f>
        <v>-44000.010000000009</v>
      </c>
      <c r="AE889" s="43">
        <v>0.08</v>
      </c>
      <c r="AF889" s="3">
        <f t="shared" si="42"/>
        <v>-40740.750000000007</v>
      </c>
      <c r="AG889" s="45">
        <f t="shared" si="43"/>
        <v>-44814.825000000012</v>
      </c>
      <c r="AH889" s="55"/>
    </row>
    <row r="890" spans="1:34" x14ac:dyDescent="0.25">
      <c r="A890" t="s">
        <v>3572</v>
      </c>
      <c r="B890" t="s">
        <v>3573</v>
      </c>
      <c r="C890" t="s">
        <v>3574</v>
      </c>
      <c r="D890" t="s">
        <v>3575</v>
      </c>
      <c r="E890" t="s">
        <v>3576</v>
      </c>
      <c r="F890" t="s">
        <v>3577</v>
      </c>
      <c r="G890" t="s">
        <v>5</v>
      </c>
      <c r="H890" t="s">
        <v>65</v>
      </c>
      <c r="I890" t="s">
        <v>66</v>
      </c>
      <c r="J890" t="s">
        <v>67</v>
      </c>
      <c r="K890" t="s">
        <v>3</v>
      </c>
      <c r="L890" t="s">
        <v>4</v>
      </c>
      <c r="M890" t="s">
        <v>49</v>
      </c>
      <c r="N890" t="s">
        <v>3578</v>
      </c>
      <c r="O890" s="31" t="s">
        <v>3579</v>
      </c>
      <c r="P890">
        <v>220</v>
      </c>
      <c r="R890">
        <v>2</v>
      </c>
      <c r="S890" s="31">
        <v>150000</v>
      </c>
      <c r="T890" s="39">
        <v>160000</v>
      </c>
      <c r="U890">
        <v>20000</v>
      </c>
      <c r="V890">
        <v>16000</v>
      </c>
      <c r="W890">
        <v>0</v>
      </c>
      <c r="X890" s="39">
        <v>41080</v>
      </c>
      <c r="Y890">
        <v>0</v>
      </c>
      <c r="Z890" s="31">
        <v>124000</v>
      </c>
      <c r="AA890">
        <v>8</v>
      </c>
      <c r="AB890" s="3">
        <f t="shared" si="41"/>
        <v>124000</v>
      </c>
      <c r="AC890" t="str">
        <f>IF(AB890-S890&lt;0,"YES","NO")</f>
        <v>YES</v>
      </c>
      <c r="AD890">
        <f>IF(AC890="NO",0,AB890-S890)</f>
        <v>-26000</v>
      </c>
      <c r="AE890" s="43">
        <v>0.08</v>
      </c>
      <c r="AF890" s="3">
        <f t="shared" si="42"/>
        <v>-24074.074074074073</v>
      </c>
      <c r="AG890" s="45">
        <f t="shared" si="43"/>
        <v>-26481.481481481482</v>
      </c>
      <c r="AH890" s="55"/>
    </row>
    <row r="891" spans="1:34" x14ac:dyDescent="0.25">
      <c r="A891" t="s">
        <v>3580</v>
      </c>
      <c r="B891" t="s">
        <v>3581</v>
      </c>
      <c r="C891" t="s">
        <v>3582</v>
      </c>
      <c r="D891" t="s">
        <v>3583</v>
      </c>
      <c r="E891" t="s">
        <v>3584</v>
      </c>
      <c r="F891" t="s">
        <v>3585</v>
      </c>
      <c r="G891" t="s">
        <v>5</v>
      </c>
      <c r="H891" t="s">
        <v>65</v>
      </c>
      <c r="I891" t="s">
        <v>66</v>
      </c>
      <c r="J891" t="s">
        <v>67</v>
      </c>
      <c r="K891" t="s">
        <v>3</v>
      </c>
      <c r="L891" t="s">
        <v>4</v>
      </c>
      <c r="M891" t="s">
        <v>49</v>
      </c>
      <c r="N891" t="s">
        <v>3586</v>
      </c>
      <c r="O891" s="31" t="s">
        <v>3587</v>
      </c>
      <c r="P891">
        <v>220</v>
      </c>
      <c r="R891">
        <v>3</v>
      </c>
      <c r="S891" s="31">
        <v>225000</v>
      </c>
      <c r="T891" s="39">
        <v>240000</v>
      </c>
      <c r="U891">
        <v>35000.01</v>
      </c>
      <c r="V891">
        <v>24000</v>
      </c>
      <c r="W891">
        <v>0</v>
      </c>
      <c r="X891" s="39">
        <v>65769.990000000005</v>
      </c>
      <c r="Y891">
        <v>0</v>
      </c>
      <c r="Z891" s="31">
        <v>180999.99</v>
      </c>
      <c r="AA891">
        <v>8</v>
      </c>
      <c r="AB891" s="3">
        <f t="shared" si="41"/>
        <v>180999.99</v>
      </c>
      <c r="AC891" t="str">
        <f>IF(AB891-S891&lt;0,"YES","NO")</f>
        <v>YES</v>
      </c>
      <c r="AD891">
        <f>IF(AC891="NO",0,AB891-S891)</f>
        <v>-44000.010000000009</v>
      </c>
      <c r="AE891" s="43">
        <v>0.08</v>
      </c>
      <c r="AF891" s="3">
        <f t="shared" si="42"/>
        <v>-40740.750000000007</v>
      </c>
      <c r="AG891" s="45">
        <f t="shared" si="43"/>
        <v>-44814.825000000012</v>
      </c>
      <c r="AH891" s="55"/>
    </row>
    <row r="892" spans="1:34" x14ac:dyDescent="0.25">
      <c r="A892" t="s">
        <v>3588</v>
      </c>
      <c r="B892" t="s">
        <v>3589</v>
      </c>
      <c r="C892" t="s">
        <v>3590</v>
      </c>
      <c r="D892" t="s">
        <v>3591</v>
      </c>
      <c r="E892" t="s">
        <v>3592</v>
      </c>
      <c r="F892" t="s">
        <v>3593</v>
      </c>
      <c r="G892" t="s">
        <v>5</v>
      </c>
      <c r="H892" t="s">
        <v>65</v>
      </c>
      <c r="I892" t="s">
        <v>95</v>
      </c>
      <c r="J892" t="s">
        <v>96</v>
      </c>
      <c r="K892" t="s">
        <v>3</v>
      </c>
      <c r="L892" t="s">
        <v>4</v>
      </c>
      <c r="M892" t="s">
        <v>49</v>
      </c>
      <c r="N892" t="s">
        <v>3594</v>
      </c>
      <c r="O892" s="31" t="s">
        <v>3595</v>
      </c>
      <c r="P892">
        <v>200</v>
      </c>
      <c r="R892">
        <v>6</v>
      </c>
      <c r="S892" s="31">
        <v>432000</v>
      </c>
      <c r="T892" s="39">
        <v>480000</v>
      </c>
      <c r="U892">
        <v>75000</v>
      </c>
      <c r="V892">
        <v>48000</v>
      </c>
      <c r="W892">
        <v>0</v>
      </c>
      <c r="X892" s="39">
        <v>139260</v>
      </c>
      <c r="Y892">
        <v>0</v>
      </c>
      <c r="Z892" s="31">
        <v>357000</v>
      </c>
      <c r="AA892">
        <v>8</v>
      </c>
      <c r="AB892" s="3">
        <f t="shared" si="41"/>
        <v>357000</v>
      </c>
      <c r="AC892" t="str">
        <f>IF(AB892-S892&lt;0,"YES","NO")</f>
        <v>YES</v>
      </c>
      <c r="AD892">
        <f>IF(AC892="NO",0,AB892-S892)</f>
        <v>-75000</v>
      </c>
      <c r="AE892" s="43">
        <v>0.08</v>
      </c>
      <c r="AF892" s="3">
        <f t="shared" si="42"/>
        <v>-69444.444444444438</v>
      </c>
      <c r="AG892" s="45">
        <f t="shared" si="43"/>
        <v>-76388.888888888891</v>
      </c>
      <c r="AH892" s="55"/>
    </row>
    <row r="893" spans="1:34" x14ac:dyDescent="0.25">
      <c r="A893" t="s">
        <v>3596</v>
      </c>
      <c r="B893" t="s">
        <v>3597</v>
      </c>
      <c r="C893" t="s">
        <v>3598</v>
      </c>
      <c r="D893" t="s">
        <v>3599</v>
      </c>
      <c r="E893" t="s">
        <v>3600</v>
      </c>
      <c r="F893" t="s">
        <v>3601</v>
      </c>
      <c r="G893" t="s">
        <v>5</v>
      </c>
      <c r="H893" t="s">
        <v>65</v>
      </c>
      <c r="I893" t="s">
        <v>82</v>
      </c>
      <c r="J893" t="s">
        <v>83</v>
      </c>
      <c r="K893" t="s">
        <v>3</v>
      </c>
      <c r="L893" t="s">
        <v>4</v>
      </c>
      <c r="M893" t="s">
        <v>49</v>
      </c>
      <c r="N893" t="s">
        <v>3602</v>
      </c>
      <c r="O893" s="31" t="s">
        <v>3603</v>
      </c>
      <c r="P893">
        <v>220</v>
      </c>
      <c r="R893">
        <v>2</v>
      </c>
      <c r="S893" s="31">
        <v>150000</v>
      </c>
      <c r="T893" s="39">
        <v>160000</v>
      </c>
      <c r="U893">
        <v>20000</v>
      </c>
      <c r="V893">
        <v>16000</v>
      </c>
      <c r="W893">
        <v>0</v>
      </c>
      <c r="X893" s="39">
        <v>44800</v>
      </c>
      <c r="Y893">
        <v>0</v>
      </c>
      <c r="Z893" s="31">
        <v>124000</v>
      </c>
      <c r="AA893">
        <v>8</v>
      </c>
      <c r="AB893" s="3">
        <f t="shared" si="41"/>
        <v>124000</v>
      </c>
      <c r="AC893" t="str">
        <f>IF(AB893-S893&lt;0,"YES","NO")</f>
        <v>YES</v>
      </c>
      <c r="AD893">
        <f>IF(AC893="NO",0,AB893-S893)</f>
        <v>-26000</v>
      </c>
      <c r="AE893" s="43">
        <v>0.08</v>
      </c>
      <c r="AF893" s="3">
        <f t="shared" si="42"/>
        <v>-24074.074074074073</v>
      </c>
      <c r="AG893" s="45">
        <f t="shared" si="43"/>
        <v>-26481.481481481482</v>
      </c>
      <c r="AH893" s="55"/>
    </row>
    <row r="894" spans="1:34" x14ac:dyDescent="0.25">
      <c r="A894" t="s">
        <v>3604</v>
      </c>
      <c r="B894" t="s">
        <v>3605</v>
      </c>
      <c r="C894" t="s">
        <v>3606</v>
      </c>
      <c r="D894" t="s">
        <v>3607</v>
      </c>
      <c r="E894" t="s">
        <v>3608</v>
      </c>
      <c r="F894" t="s">
        <v>3567</v>
      </c>
      <c r="G894" t="s">
        <v>5</v>
      </c>
      <c r="H894" t="s">
        <v>65</v>
      </c>
      <c r="I894" t="s">
        <v>82</v>
      </c>
      <c r="J894" t="s">
        <v>83</v>
      </c>
      <c r="K894" t="s">
        <v>3</v>
      </c>
      <c r="L894" t="s">
        <v>4</v>
      </c>
      <c r="M894" t="s">
        <v>49</v>
      </c>
      <c r="N894" t="s">
        <v>3609</v>
      </c>
      <c r="O894" s="31" t="s">
        <v>3610</v>
      </c>
      <c r="P894">
        <v>220</v>
      </c>
      <c r="R894">
        <v>12</v>
      </c>
      <c r="S894" s="31">
        <v>900000</v>
      </c>
      <c r="T894" s="39">
        <v>960000</v>
      </c>
      <c r="U894">
        <v>75000</v>
      </c>
      <c r="V894">
        <v>96000</v>
      </c>
      <c r="W894">
        <v>0</v>
      </c>
      <c r="X894" s="39">
        <v>217020</v>
      </c>
      <c r="Y894">
        <v>0</v>
      </c>
      <c r="Z894" s="31">
        <v>789000</v>
      </c>
      <c r="AA894">
        <v>8</v>
      </c>
      <c r="AB894" s="3">
        <f t="shared" si="41"/>
        <v>789000</v>
      </c>
      <c r="AC894" t="str">
        <f>IF(AB894-S894&lt;0,"YES","NO")</f>
        <v>YES</v>
      </c>
      <c r="AD894">
        <f>IF(AC894="NO",0,AB894-S894)</f>
        <v>-111000</v>
      </c>
      <c r="AE894" s="43">
        <v>0.08</v>
      </c>
      <c r="AF894" s="3">
        <f t="shared" si="42"/>
        <v>-102777.77777777777</v>
      </c>
      <c r="AG894" s="45">
        <f t="shared" si="43"/>
        <v>-113055.55555555555</v>
      </c>
      <c r="AH894" s="55"/>
    </row>
    <row r="895" spans="1:34" x14ac:dyDescent="0.25">
      <c r="A895" t="s">
        <v>3611</v>
      </c>
      <c r="B895" t="s">
        <v>3612</v>
      </c>
      <c r="C895" t="s">
        <v>3613</v>
      </c>
      <c r="D895" t="s">
        <v>3614</v>
      </c>
      <c r="E895" t="s">
        <v>3615</v>
      </c>
      <c r="F895" t="s">
        <v>3616</v>
      </c>
      <c r="G895" t="s">
        <v>5</v>
      </c>
      <c r="H895" t="s">
        <v>61</v>
      </c>
      <c r="I895" t="s">
        <v>84</v>
      </c>
      <c r="J895" t="s">
        <v>85</v>
      </c>
      <c r="K895" t="s">
        <v>3</v>
      </c>
      <c r="L895" t="s">
        <v>4</v>
      </c>
      <c r="M895" t="s">
        <v>49</v>
      </c>
      <c r="N895" t="s">
        <v>3617</v>
      </c>
      <c r="O895" s="31" t="s">
        <v>3618</v>
      </c>
      <c r="P895">
        <v>100</v>
      </c>
      <c r="Q895" t="s">
        <v>86</v>
      </c>
      <c r="R895">
        <v>1</v>
      </c>
      <c r="S895" s="31">
        <v>0</v>
      </c>
      <c r="T895" s="39">
        <v>0</v>
      </c>
      <c r="U895">
        <v>0</v>
      </c>
      <c r="V895">
        <v>0</v>
      </c>
      <c r="W895">
        <v>0</v>
      </c>
      <c r="X895" s="39">
        <v>0</v>
      </c>
      <c r="Y895">
        <v>0</v>
      </c>
      <c r="Z895" s="31">
        <v>0</v>
      </c>
      <c r="AA895">
        <v>8</v>
      </c>
      <c r="AB895" s="3">
        <f t="shared" si="41"/>
        <v>0</v>
      </c>
      <c r="AC895" t="str">
        <f>IF(AB895-S895&lt;0,"YES","NO")</f>
        <v>NO</v>
      </c>
      <c r="AD895">
        <f>IF(AC895="NO",0,AB895-S895)</f>
        <v>0</v>
      </c>
      <c r="AE895" s="43">
        <v>0.08</v>
      </c>
      <c r="AF895" s="3">
        <f t="shared" si="42"/>
        <v>0</v>
      </c>
      <c r="AG895" s="45">
        <f t="shared" si="43"/>
        <v>0</v>
      </c>
      <c r="AH895" s="55"/>
    </row>
    <row r="896" spans="1:34" x14ac:dyDescent="0.25">
      <c r="A896" t="s">
        <v>3611</v>
      </c>
      <c r="B896" t="s">
        <v>3612</v>
      </c>
      <c r="C896" t="s">
        <v>3613</v>
      </c>
      <c r="D896" t="s">
        <v>3614</v>
      </c>
      <c r="E896" t="s">
        <v>3615</v>
      </c>
      <c r="F896" t="s">
        <v>3616</v>
      </c>
      <c r="G896" t="s">
        <v>5</v>
      </c>
      <c r="H896" t="s">
        <v>65</v>
      </c>
      <c r="I896" t="s">
        <v>71</v>
      </c>
      <c r="J896" t="s">
        <v>72</v>
      </c>
      <c r="K896" t="s">
        <v>3</v>
      </c>
      <c r="L896" t="s">
        <v>4</v>
      </c>
      <c r="M896" t="s">
        <v>49</v>
      </c>
      <c r="N896" t="s">
        <v>3617</v>
      </c>
      <c r="O896" s="31" t="s">
        <v>3618</v>
      </c>
      <c r="P896">
        <v>220</v>
      </c>
      <c r="Q896" t="s">
        <v>70</v>
      </c>
      <c r="R896">
        <v>3</v>
      </c>
      <c r="S896" s="31">
        <v>177000</v>
      </c>
      <c r="T896" s="39">
        <v>195000</v>
      </c>
      <c r="U896">
        <v>35000.01</v>
      </c>
      <c r="V896">
        <v>19500</v>
      </c>
      <c r="W896">
        <v>0</v>
      </c>
      <c r="X896" s="39">
        <v>56075.01</v>
      </c>
      <c r="Y896">
        <v>0</v>
      </c>
      <c r="Z896" s="31">
        <v>140499.99</v>
      </c>
      <c r="AA896">
        <v>8</v>
      </c>
      <c r="AB896" s="3">
        <f t="shared" si="41"/>
        <v>140499.99</v>
      </c>
      <c r="AC896" t="str">
        <f>IF(AB896-S896&lt;0,"YES","NO")</f>
        <v>YES</v>
      </c>
      <c r="AD896">
        <f>IF(AC896="NO",0,AB896-S896)</f>
        <v>-36500.010000000009</v>
      </c>
      <c r="AE896" s="43">
        <v>0.08</v>
      </c>
      <c r="AF896" s="3">
        <f t="shared" si="42"/>
        <v>-33796.305555555562</v>
      </c>
      <c r="AG896" s="45">
        <f t="shared" si="43"/>
        <v>-37175.936111111121</v>
      </c>
      <c r="AH896" s="55"/>
    </row>
    <row r="897" spans="1:34" x14ac:dyDescent="0.25">
      <c r="A897" t="s">
        <v>3619</v>
      </c>
      <c r="B897" t="s">
        <v>3620</v>
      </c>
      <c r="C897" t="s">
        <v>3621</v>
      </c>
      <c r="D897" t="s">
        <v>3622</v>
      </c>
      <c r="E897" t="s">
        <v>3623</v>
      </c>
      <c r="F897" t="s">
        <v>3624</v>
      </c>
      <c r="G897" t="s">
        <v>5</v>
      </c>
      <c r="H897" t="s">
        <v>61</v>
      </c>
      <c r="I897" t="s">
        <v>84</v>
      </c>
      <c r="J897" t="s">
        <v>85</v>
      </c>
      <c r="K897" t="s">
        <v>3</v>
      </c>
      <c r="L897" t="s">
        <v>4</v>
      </c>
      <c r="M897" t="s">
        <v>49</v>
      </c>
      <c r="N897" t="s">
        <v>3625</v>
      </c>
      <c r="O897" s="31" t="s">
        <v>3626</v>
      </c>
      <c r="P897">
        <v>100</v>
      </c>
      <c r="Q897" t="s">
        <v>86</v>
      </c>
      <c r="R897">
        <v>1</v>
      </c>
      <c r="S897" s="31">
        <v>0</v>
      </c>
      <c r="T897" s="39">
        <v>0</v>
      </c>
      <c r="U897">
        <v>0</v>
      </c>
      <c r="V897">
        <v>0</v>
      </c>
      <c r="W897">
        <v>0</v>
      </c>
      <c r="X897" s="39">
        <v>0</v>
      </c>
      <c r="Y897">
        <v>0</v>
      </c>
      <c r="Z897" s="31">
        <v>0</v>
      </c>
      <c r="AA897">
        <v>8</v>
      </c>
      <c r="AB897" s="3">
        <f t="shared" si="41"/>
        <v>0</v>
      </c>
      <c r="AC897" t="str">
        <f>IF(AB897-S897&lt;0,"YES","NO")</f>
        <v>NO</v>
      </c>
      <c r="AD897">
        <f>IF(AC897="NO",0,AB897-S897)</f>
        <v>0</v>
      </c>
      <c r="AE897" s="43">
        <v>0.08</v>
      </c>
      <c r="AF897" s="3">
        <f t="shared" si="42"/>
        <v>0</v>
      </c>
      <c r="AG897" s="45">
        <f t="shared" si="43"/>
        <v>0</v>
      </c>
      <c r="AH897" s="55"/>
    </row>
    <row r="898" spans="1:34" x14ac:dyDescent="0.25">
      <c r="A898" t="s">
        <v>3619</v>
      </c>
      <c r="B898" t="s">
        <v>3620</v>
      </c>
      <c r="C898" t="s">
        <v>3621</v>
      </c>
      <c r="D898" t="s">
        <v>3622</v>
      </c>
      <c r="E898" t="s">
        <v>3623</v>
      </c>
      <c r="F898" t="s">
        <v>3624</v>
      </c>
      <c r="G898" t="s">
        <v>5</v>
      </c>
      <c r="H898" t="s">
        <v>61</v>
      </c>
      <c r="I898" t="s">
        <v>84</v>
      </c>
      <c r="J898" t="s">
        <v>85</v>
      </c>
      <c r="K898" t="s">
        <v>3</v>
      </c>
      <c r="L898" t="s">
        <v>4</v>
      </c>
      <c r="M898" t="s">
        <v>49</v>
      </c>
      <c r="N898" t="s">
        <v>3625</v>
      </c>
      <c r="O898" s="31" t="s">
        <v>3626</v>
      </c>
      <c r="P898">
        <v>100</v>
      </c>
      <c r="Q898" t="s">
        <v>86</v>
      </c>
      <c r="R898">
        <v>1</v>
      </c>
      <c r="S898" s="31">
        <v>0</v>
      </c>
      <c r="T898" s="39">
        <v>0</v>
      </c>
      <c r="U898">
        <v>0</v>
      </c>
      <c r="V898">
        <v>0</v>
      </c>
      <c r="W898">
        <v>0</v>
      </c>
      <c r="X898" s="39">
        <v>0</v>
      </c>
      <c r="Y898">
        <v>0</v>
      </c>
      <c r="Z898" s="31">
        <v>0</v>
      </c>
      <c r="AA898">
        <v>8</v>
      </c>
      <c r="AB898" s="3">
        <f t="shared" si="41"/>
        <v>0</v>
      </c>
      <c r="AC898" t="str">
        <f>IF(AB898-S898&lt;0,"YES","NO")</f>
        <v>NO</v>
      </c>
      <c r="AD898">
        <f>IF(AC898="NO",0,AB898-S898)</f>
        <v>0</v>
      </c>
      <c r="AE898" s="43">
        <v>0.08</v>
      </c>
      <c r="AF898" s="3">
        <f t="shared" si="42"/>
        <v>0</v>
      </c>
      <c r="AG898" s="45">
        <f t="shared" si="43"/>
        <v>0</v>
      </c>
      <c r="AH898" s="55"/>
    </row>
    <row r="899" spans="1:34" x14ac:dyDescent="0.25">
      <c r="A899" t="s">
        <v>3619</v>
      </c>
      <c r="B899" t="s">
        <v>3620</v>
      </c>
      <c r="C899" t="s">
        <v>3621</v>
      </c>
      <c r="D899" t="s">
        <v>3622</v>
      </c>
      <c r="E899" t="s">
        <v>3623</v>
      </c>
      <c r="F899" t="s">
        <v>3624</v>
      </c>
      <c r="G899" t="s">
        <v>5</v>
      </c>
      <c r="H899" t="s">
        <v>65</v>
      </c>
      <c r="I899" t="s">
        <v>90</v>
      </c>
      <c r="J899" t="s">
        <v>91</v>
      </c>
      <c r="K899" t="s">
        <v>3</v>
      </c>
      <c r="L899" t="s">
        <v>4</v>
      </c>
      <c r="M899" t="s">
        <v>49</v>
      </c>
      <c r="N899" t="s">
        <v>3625</v>
      </c>
      <c r="O899" s="31" t="s">
        <v>3626</v>
      </c>
      <c r="P899">
        <v>220</v>
      </c>
      <c r="Q899" t="s">
        <v>92</v>
      </c>
      <c r="R899">
        <v>2</v>
      </c>
      <c r="S899" s="31">
        <v>118000</v>
      </c>
      <c r="T899" s="39">
        <v>140000</v>
      </c>
      <c r="U899">
        <v>9333</v>
      </c>
      <c r="V899">
        <v>14000</v>
      </c>
      <c r="W899">
        <v>0</v>
      </c>
      <c r="X899" s="39">
        <v>26833</v>
      </c>
      <c r="Y899">
        <v>0</v>
      </c>
      <c r="Z899" s="31">
        <v>116667</v>
      </c>
      <c r="AA899">
        <v>8</v>
      </c>
      <c r="AB899" s="3">
        <f t="shared" si="41"/>
        <v>116667</v>
      </c>
      <c r="AC899" t="str">
        <f>IF(AB899-S899&lt;0,"YES","NO")</f>
        <v>YES</v>
      </c>
      <c r="AD899">
        <f>IF(AC899="NO",0,AB899-S899)</f>
        <v>-1333</v>
      </c>
      <c r="AE899" s="43">
        <v>0.08</v>
      </c>
      <c r="AF899" s="3">
        <f t="shared" si="42"/>
        <v>-1234.2592592592591</v>
      </c>
      <c r="AG899" s="45">
        <f t="shared" si="43"/>
        <v>-1357.6851851851852</v>
      </c>
      <c r="AH899" s="55"/>
    </row>
    <row r="900" spans="1:34" x14ac:dyDescent="0.25">
      <c r="A900" t="s">
        <v>3619</v>
      </c>
      <c r="B900" t="s">
        <v>3620</v>
      </c>
      <c r="C900" t="s">
        <v>3621</v>
      </c>
      <c r="D900" t="s">
        <v>3622</v>
      </c>
      <c r="E900" t="s">
        <v>3623</v>
      </c>
      <c r="F900" t="s">
        <v>3624</v>
      </c>
      <c r="G900" t="s">
        <v>5</v>
      </c>
      <c r="H900" t="s">
        <v>65</v>
      </c>
      <c r="I900" t="s">
        <v>66</v>
      </c>
      <c r="J900" t="s">
        <v>67</v>
      </c>
      <c r="K900" t="s">
        <v>3</v>
      </c>
      <c r="L900" t="s">
        <v>4</v>
      </c>
      <c r="M900" t="s">
        <v>49</v>
      </c>
      <c r="N900" t="s">
        <v>3625</v>
      </c>
      <c r="O900" s="31" t="s">
        <v>3626</v>
      </c>
      <c r="P900">
        <v>220</v>
      </c>
      <c r="R900">
        <v>2</v>
      </c>
      <c r="S900" s="31">
        <v>150000</v>
      </c>
      <c r="T900" s="39">
        <v>160000</v>
      </c>
      <c r="U900">
        <v>10667</v>
      </c>
      <c r="V900">
        <v>16000</v>
      </c>
      <c r="W900">
        <v>0</v>
      </c>
      <c r="X900" s="39">
        <v>30667</v>
      </c>
      <c r="Y900">
        <v>0</v>
      </c>
      <c r="Z900" s="31">
        <v>133333</v>
      </c>
      <c r="AA900">
        <v>8</v>
      </c>
      <c r="AB900" s="3">
        <f t="shared" si="41"/>
        <v>133333</v>
      </c>
      <c r="AC900" t="str">
        <f>IF(AB900-S900&lt;0,"YES","NO")</f>
        <v>YES</v>
      </c>
      <c r="AD900">
        <f>IF(AC900="NO",0,AB900-S900)</f>
        <v>-16667</v>
      </c>
      <c r="AE900" s="43">
        <v>0.08</v>
      </c>
      <c r="AF900" s="3">
        <f t="shared" si="42"/>
        <v>-15432.407407407407</v>
      </c>
      <c r="AG900" s="45">
        <f t="shared" si="43"/>
        <v>-16975.64814814815</v>
      </c>
      <c r="AH900" s="55"/>
    </row>
    <row r="901" spans="1:34" x14ac:dyDescent="0.25">
      <c r="A901" t="s">
        <v>3627</v>
      </c>
      <c r="B901" t="s">
        <v>3628</v>
      </c>
      <c r="C901" t="s">
        <v>3629</v>
      </c>
      <c r="D901" t="s">
        <v>3630</v>
      </c>
      <c r="E901" t="s">
        <v>3631</v>
      </c>
      <c r="F901" t="s">
        <v>3632</v>
      </c>
      <c r="G901" t="s">
        <v>5</v>
      </c>
      <c r="H901" t="s">
        <v>61</v>
      </c>
      <c r="I901" t="s">
        <v>84</v>
      </c>
      <c r="J901" t="s">
        <v>85</v>
      </c>
      <c r="K901" t="s">
        <v>3</v>
      </c>
      <c r="L901" t="s">
        <v>4</v>
      </c>
      <c r="M901" t="s">
        <v>49</v>
      </c>
      <c r="N901" t="s">
        <v>3633</v>
      </c>
      <c r="O901" s="31" t="s">
        <v>3634</v>
      </c>
      <c r="P901">
        <v>100</v>
      </c>
      <c r="Q901" t="s">
        <v>86</v>
      </c>
      <c r="R901">
        <v>1</v>
      </c>
      <c r="S901" s="31">
        <v>0</v>
      </c>
      <c r="T901" s="39">
        <v>0</v>
      </c>
      <c r="U901">
        <v>0</v>
      </c>
      <c r="V901">
        <v>0</v>
      </c>
      <c r="W901">
        <v>0</v>
      </c>
      <c r="X901" s="39">
        <v>0</v>
      </c>
      <c r="Y901">
        <v>0</v>
      </c>
      <c r="Z901" s="31">
        <v>0</v>
      </c>
      <c r="AA901">
        <v>8</v>
      </c>
      <c r="AB901" s="3">
        <f t="shared" si="41"/>
        <v>0</v>
      </c>
      <c r="AC901" t="str">
        <f>IF(AB901-S901&lt;0,"YES","NO")</f>
        <v>NO</v>
      </c>
      <c r="AD901">
        <f>IF(AC901="NO",0,AB901-S901)</f>
        <v>0</v>
      </c>
      <c r="AE901" s="43">
        <v>0.08</v>
      </c>
      <c r="AF901" s="3">
        <f t="shared" si="42"/>
        <v>0</v>
      </c>
      <c r="AG901" s="45">
        <f t="shared" si="43"/>
        <v>0</v>
      </c>
      <c r="AH901" s="55"/>
    </row>
    <row r="902" spans="1:34" x14ac:dyDescent="0.25">
      <c r="A902" t="s">
        <v>3627</v>
      </c>
      <c r="B902" t="s">
        <v>3628</v>
      </c>
      <c r="C902" t="s">
        <v>3629</v>
      </c>
      <c r="D902" t="s">
        <v>3630</v>
      </c>
      <c r="E902" t="s">
        <v>3631</v>
      </c>
      <c r="F902" t="s">
        <v>3632</v>
      </c>
      <c r="G902" t="s">
        <v>5</v>
      </c>
      <c r="H902" t="s">
        <v>65</v>
      </c>
      <c r="I902" t="s">
        <v>78</v>
      </c>
      <c r="J902" t="s">
        <v>79</v>
      </c>
      <c r="K902" t="s">
        <v>3</v>
      </c>
      <c r="L902" t="s">
        <v>4</v>
      </c>
      <c r="M902" t="s">
        <v>49</v>
      </c>
      <c r="N902" t="s">
        <v>3633</v>
      </c>
      <c r="O902" s="31" t="s">
        <v>3634</v>
      </c>
      <c r="P902">
        <v>220</v>
      </c>
      <c r="R902">
        <v>3</v>
      </c>
      <c r="S902" s="31">
        <v>225000</v>
      </c>
      <c r="T902" s="39">
        <v>240000</v>
      </c>
      <c r="U902">
        <v>35000.01</v>
      </c>
      <c r="V902">
        <v>24000</v>
      </c>
      <c r="W902">
        <v>0</v>
      </c>
      <c r="X902" s="39">
        <v>71199.990000000005</v>
      </c>
      <c r="Y902">
        <v>0</v>
      </c>
      <c r="Z902" s="31">
        <v>180999.99</v>
      </c>
      <c r="AA902">
        <v>8</v>
      </c>
      <c r="AB902" s="3">
        <f t="shared" ref="AB902:AB965" si="44">Z902</f>
        <v>180999.99</v>
      </c>
      <c r="AC902" t="str">
        <f>IF(AB902-S902&lt;0,"YES","NO")</f>
        <v>YES</v>
      </c>
      <c r="AD902">
        <f>IF(AC902="NO",0,AB902-S902)</f>
        <v>-44000.010000000009</v>
      </c>
      <c r="AE902" s="43">
        <v>0.08</v>
      </c>
      <c r="AF902" s="3">
        <f t="shared" ref="AF902:AF965" si="45">AD902/(1+AE902)</f>
        <v>-40740.750000000007</v>
      </c>
      <c r="AG902" s="45">
        <f t="shared" ref="AG902:AG965" si="46">AF902*1.1</f>
        <v>-44814.825000000012</v>
      </c>
      <c r="AH902" s="55"/>
    </row>
    <row r="903" spans="1:34" x14ac:dyDescent="0.25">
      <c r="A903" t="s">
        <v>3635</v>
      </c>
      <c r="B903" t="s">
        <v>3636</v>
      </c>
      <c r="C903" t="s">
        <v>3637</v>
      </c>
      <c r="D903" t="s">
        <v>3638</v>
      </c>
      <c r="E903" t="s">
        <v>3639</v>
      </c>
      <c r="F903" t="s">
        <v>3640</v>
      </c>
      <c r="G903" t="s">
        <v>5</v>
      </c>
      <c r="H903" t="s">
        <v>61</v>
      </c>
      <c r="I903" t="s">
        <v>84</v>
      </c>
      <c r="J903" t="s">
        <v>85</v>
      </c>
      <c r="K903" t="s">
        <v>3</v>
      </c>
      <c r="L903" t="s">
        <v>4</v>
      </c>
      <c r="M903" t="s">
        <v>49</v>
      </c>
      <c r="N903" t="s">
        <v>3641</v>
      </c>
      <c r="O903" s="31" t="s">
        <v>3642</v>
      </c>
      <c r="P903">
        <v>100</v>
      </c>
      <c r="Q903" t="s">
        <v>86</v>
      </c>
      <c r="R903">
        <v>1</v>
      </c>
      <c r="S903" s="31">
        <v>0</v>
      </c>
      <c r="T903" s="39">
        <v>0</v>
      </c>
      <c r="U903">
        <v>0</v>
      </c>
      <c r="V903">
        <v>0</v>
      </c>
      <c r="W903">
        <v>0</v>
      </c>
      <c r="X903" s="39">
        <v>0</v>
      </c>
      <c r="Y903">
        <v>0</v>
      </c>
      <c r="Z903" s="31">
        <v>0</v>
      </c>
      <c r="AA903">
        <v>8</v>
      </c>
      <c r="AB903" s="3">
        <f t="shared" si="44"/>
        <v>0</v>
      </c>
      <c r="AC903" t="str">
        <f>IF(AB903-S903&lt;0,"YES","NO")</f>
        <v>NO</v>
      </c>
      <c r="AD903">
        <f>IF(AC903="NO",0,AB903-S903)</f>
        <v>0</v>
      </c>
      <c r="AE903" s="43">
        <v>0.08</v>
      </c>
      <c r="AF903" s="3">
        <f t="shared" si="45"/>
        <v>0</v>
      </c>
      <c r="AG903" s="45">
        <f t="shared" si="46"/>
        <v>0</v>
      </c>
      <c r="AH903" s="55"/>
    </row>
    <row r="904" spans="1:34" x14ac:dyDescent="0.25">
      <c r="A904" t="s">
        <v>3635</v>
      </c>
      <c r="B904" t="s">
        <v>3636</v>
      </c>
      <c r="C904" t="s">
        <v>3637</v>
      </c>
      <c r="D904" t="s">
        <v>3638</v>
      </c>
      <c r="E904" t="s">
        <v>3639</v>
      </c>
      <c r="F904" t="s">
        <v>3640</v>
      </c>
      <c r="G904" t="s">
        <v>5</v>
      </c>
      <c r="H904" t="s">
        <v>61</v>
      </c>
      <c r="I904" t="s">
        <v>84</v>
      </c>
      <c r="J904" t="s">
        <v>85</v>
      </c>
      <c r="K904" t="s">
        <v>3</v>
      </c>
      <c r="L904" t="s">
        <v>4</v>
      </c>
      <c r="M904" t="s">
        <v>49</v>
      </c>
      <c r="N904" t="s">
        <v>3641</v>
      </c>
      <c r="O904" s="31" t="s">
        <v>3642</v>
      </c>
      <c r="P904">
        <v>100</v>
      </c>
      <c r="Q904" t="s">
        <v>86</v>
      </c>
      <c r="R904">
        <v>1</v>
      </c>
      <c r="S904" s="31">
        <v>0</v>
      </c>
      <c r="T904" s="39">
        <v>0</v>
      </c>
      <c r="U904">
        <v>0</v>
      </c>
      <c r="V904">
        <v>0</v>
      </c>
      <c r="W904">
        <v>0</v>
      </c>
      <c r="X904" s="39">
        <v>0</v>
      </c>
      <c r="Y904">
        <v>0</v>
      </c>
      <c r="Z904" s="31">
        <v>0</v>
      </c>
      <c r="AA904">
        <v>8</v>
      </c>
      <c r="AB904" s="3">
        <f t="shared" si="44"/>
        <v>0</v>
      </c>
      <c r="AC904" t="str">
        <f>IF(AB904-S904&lt;0,"YES","NO")</f>
        <v>NO</v>
      </c>
      <c r="AD904">
        <f>IF(AC904="NO",0,AB904-S904)</f>
        <v>0</v>
      </c>
      <c r="AE904" s="43">
        <v>0.08</v>
      </c>
      <c r="AF904" s="3">
        <f t="shared" si="45"/>
        <v>0</v>
      </c>
      <c r="AG904" s="45">
        <f t="shared" si="46"/>
        <v>0</v>
      </c>
      <c r="AH904" s="55"/>
    </row>
    <row r="905" spans="1:34" x14ac:dyDescent="0.25">
      <c r="A905" t="s">
        <v>3635</v>
      </c>
      <c r="B905" t="s">
        <v>3636</v>
      </c>
      <c r="C905" t="s">
        <v>3637</v>
      </c>
      <c r="D905" t="s">
        <v>3638</v>
      </c>
      <c r="E905" t="s">
        <v>3639</v>
      </c>
      <c r="F905" t="s">
        <v>3640</v>
      </c>
      <c r="G905" t="s">
        <v>5</v>
      </c>
      <c r="H905" t="s">
        <v>65</v>
      </c>
      <c r="I905" t="s">
        <v>71</v>
      </c>
      <c r="J905" t="s">
        <v>72</v>
      </c>
      <c r="K905" t="s">
        <v>3</v>
      </c>
      <c r="L905" t="s">
        <v>4</v>
      </c>
      <c r="M905" t="s">
        <v>49</v>
      </c>
      <c r="N905" t="s">
        <v>3641</v>
      </c>
      <c r="O905" s="31" t="s">
        <v>3642</v>
      </c>
      <c r="P905">
        <v>220</v>
      </c>
      <c r="Q905" t="s">
        <v>70</v>
      </c>
      <c r="R905">
        <v>3</v>
      </c>
      <c r="S905" s="31">
        <v>177000</v>
      </c>
      <c r="T905" s="39">
        <v>195000</v>
      </c>
      <c r="U905">
        <v>15689.01</v>
      </c>
      <c r="V905">
        <v>19500</v>
      </c>
      <c r="W905">
        <v>0</v>
      </c>
      <c r="X905" s="39">
        <v>44454.99</v>
      </c>
      <c r="Y905">
        <v>0</v>
      </c>
      <c r="Z905" s="31">
        <v>159810.99</v>
      </c>
      <c r="AA905">
        <v>8</v>
      </c>
      <c r="AB905" s="3">
        <f t="shared" si="44"/>
        <v>159810.99</v>
      </c>
      <c r="AC905" t="str">
        <f>IF(AB905-S905&lt;0,"YES","NO")</f>
        <v>YES</v>
      </c>
      <c r="AD905">
        <f>IF(AC905="NO",0,AB905-S905)</f>
        <v>-17189.010000000009</v>
      </c>
      <c r="AE905" s="43">
        <v>0.08</v>
      </c>
      <c r="AF905" s="3">
        <f t="shared" si="45"/>
        <v>-15915.750000000007</v>
      </c>
      <c r="AG905" s="45">
        <f t="shared" si="46"/>
        <v>-17507.325000000008</v>
      </c>
      <c r="AH905" s="55"/>
    </row>
    <row r="906" spans="1:34" x14ac:dyDescent="0.25">
      <c r="A906" t="s">
        <v>3635</v>
      </c>
      <c r="B906" t="s">
        <v>3636</v>
      </c>
      <c r="C906" t="s">
        <v>3637</v>
      </c>
      <c r="D906" t="s">
        <v>3638</v>
      </c>
      <c r="E906" t="s">
        <v>3639</v>
      </c>
      <c r="F906" t="s">
        <v>3640</v>
      </c>
      <c r="G906" t="s">
        <v>5</v>
      </c>
      <c r="H906" t="s">
        <v>65</v>
      </c>
      <c r="I906" t="s">
        <v>82</v>
      </c>
      <c r="J906" t="s">
        <v>83</v>
      </c>
      <c r="K906" t="s">
        <v>3</v>
      </c>
      <c r="L906" t="s">
        <v>4</v>
      </c>
      <c r="M906" t="s">
        <v>49</v>
      </c>
      <c r="N906" t="s">
        <v>3641</v>
      </c>
      <c r="O906" s="31" t="s">
        <v>3642</v>
      </c>
      <c r="P906">
        <v>220</v>
      </c>
      <c r="R906">
        <v>2</v>
      </c>
      <c r="S906" s="31">
        <v>150000</v>
      </c>
      <c r="T906" s="39">
        <v>160000</v>
      </c>
      <c r="U906">
        <v>0</v>
      </c>
      <c r="V906">
        <v>16000</v>
      </c>
      <c r="W906">
        <v>0</v>
      </c>
      <c r="X906" s="39">
        <v>25919</v>
      </c>
      <c r="Y906">
        <v>0</v>
      </c>
      <c r="Z906" s="31">
        <v>144000</v>
      </c>
      <c r="AA906">
        <v>8</v>
      </c>
      <c r="AB906" s="3">
        <f t="shared" si="44"/>
        <v>144000</v>
      </c>
      <c r="AC906" t="str">
        <f>IF(AB906-S906&lt;0,"YES","NO")</f>
        <v>YES</v>
      </c>
      <c r="AD906">
        <f>IF(AC906="NO",0,AB906-S906)</f>
        <v>-6000</v>
      </c>
      <c r="AE906" s="43">
        <v>0.08</v>
      </c>
      <c r="AF906" s="3">
        <f t="shared" si="45"/>
        <v>-5555.5555555555547</v>
      </c>
      <c r="AG906" s="45">
        <f t="shared" si="46"/>
        <v>-6111.1111111111104</v>
      </c>
      <c r="AH906" s="55"/>
    </row>
    <row r="907" spans="1:34" x14ac:dyDescent="0.25">
      <c r="A907" t="s">
        <v>3635</v>
      </c>
      <c r="B907" t="s">
        <v>3636</v>
      </c>
      <c r="C907" t="s">
        <v>3637</v>
      </c>
      <c r="D907" t="s">
        <v>3638</v>
      </c>
      <c r="E907" t="s">
        <v>3639</v>
      </c>
      <c r="F907" t="s">
        <v>3640</v>
      </c>
      <c r="G907" t="s">
        <v>5</v>
      </c>
      <c r="H907" t="s">
        <v>65</v>
      </c>
      <c r="I907" t="s">
        <v>66</v>
      </c>
      <c r="J907" t="s">
        <v>67</v>
      </c>
      <c r="K907" t="s">
        <v>3</v>
      </c>
      <c r="L907" t="s">
        <v>4</v>
      </c>
      <c r="M907" t="s">
        <v>49</v>
      </c>
      <c r="N907" t="s">
        <v>3641</v>
      </c>
      <c r="O907" s="31" t="s">
        <v>3642</v>
      </c>
      <c r="P907">
        <v>220</v>
      </c>
      <c r="R907">
        <v>3</v>
      </c>
      <c r="S907" s="31">
        <v>225000</v>
      </c>
      <c r="T907" s="39">
        <v>240000</v>
      </c>
      <c r="U907">
        <v>19311</v>
      </c>
      <c r="V907">
        <v>24000</v>
      </c>
      <c r="W907">
        <v>0</v>
      </c>
      <c r="X907" s="39">
        <v>54716.01</v>
      </c>
      <c r="Y907">
        <v>0</v>
      </c>
      <c r="Z907" s="31">
        <v>196689</v>
      </c>
      <c r="AA907">
        <v>8</v>
      </c>
      <c r="AB907" s="3">
        <f t="shared" si="44"/>
        <v>196689</v>
      </c>
      <c r="AC907" t="str">
        <f>IF(AB907-S907&lt;0,"YES","NO")</f>
        <v>YES</v>
      </c>
      <c r="AD907">
        <f>IF(AC907="NO",0,AB907-S907)</f>
        <v>-28311</v>
      </c>
      <c r="AE907" s="43">
        <v>0.08</v>
      </c>
      <c r="AF907" s="3">
        <f t="shared" si="45"/>
        <v>-26213.888888888887</v>
      </c>
      <c r="AG907" s="45">
        <f t="shared" si="46"/>
        <v>-28835.277777777777</v>
      </c>
      <c r="AH907" s="55"/>
    </row>
    <row r="908" spans="1:34" x14ac:dyDescent="0.25">
      <c r="A908" t="s">
        <v>3643</v>
      </c>
      <c r="B908" t="s">
        <v>3644</v>
      </c>
      <c r="C908" t="s">
        <v>3645</v>
      </c>
      <c r="D908" t="s">
        <v>3646</v>
      </c>
      <c r="E908" t="s">
        <v>3647</v>
      </c>
      <c r="F908" t="s">
        <v>3648</v>
      </c>
      <c r="G908" t="s">
        <v>5</v>
      </c>
      <c r="H908" t="s">
        <v>61</v>
      </c>
      <c r="I908" t="s">
        <v>84</v>
      </c>
      <c r="J908" t="s">
        <v>85</v>
      </c>
      <c r="K908" t="s">
        <v>3</v>
      </c>
      <c r="L908" t="s">
        <v>4</v>
      </c>
      <c r="M908" t="s">
        <v>49</v>
      </c>
      <c r="N908" t="s">
        <v>3649</v>
      </c>
      <c r="O908" s="31" t="s">
        <v>3650</v>
      </c>
      <c r="P908">
        <v>100</v>
      </c>
      <c r="Q908" t="s">
        <v>86</v>
      </c>
      <c r="R908">
        <v>1</v>
      </c>
      <c r="S908" s="31">
        <v>0</v>
      </c>
      <c r="T908" s="39">
        <v>0</v>
      </c>
      <c r="U908">
        <v>0</v>
      </c>
      <c r="V908">
        <v>0</v>
      </c>
      <c r="W908">
        <v>0</v>
      </c>
      <c r="X908" s="39">
        <v>0</v>
      </c>
      <c r="Y908">
        <v>0</v>
      </c>
      <c r="Z908" s="31">
        <v>0</v>
      </c>
      <c r="AA908">
        <v>8</v>
      </c>
      <c r="AB908" s="3">
        <f t="shared" si="44"/>
        <v>0</v>
      </c>
      <c r="AC908" t="str">
        <f>IF(AB908-S908&lt;0,"YES","NO")</f>
        <v>NO</v>
      </c>
      <c r="AD908">
        <f>IF(AC908="NO",0,AB908-S908)</f>
        <v>0</v>
      </c>
      <c r="AE908" s="43">
        <v>0.08</v>
      </c>
      <c r="AF908" s="3">
        <f t="shared" si="45"/>
        <v>0</v>
      </c>
      <c r="AG908" s="45">
        <f t="shared" si="46"/>
        <v>0</v>
      </c>
      <c r="AH908" s="55"/>
    </row>
    <row r="909" spans="1:34" x14ac:dyDescent="0.25">
      <c r="A909" t="s">
        <v>3643</v>
      </c>
      <c r="B909" t="s">
        <v>3644</v>
      </c>
      <c r="C909" t="s">
        <v>3645</v>
      </c>
      <c r="D909" t="s">
        <v>3646</v>
      </c>
      <c r="E909" t="s">
        <v>3647</v>
      </c>
      <c r="F909" t="s">
        <v>3648</v>
      </c>
      <c r="G909" t="s">
        <v>5</v>
      </c>
      <c r="H909" t="s">
        <v>65</v>
      </c>
      <c r="I909" t="s">
        <v>66</v>
      </c>
      <c r="J909" t="s">
        <v>67</v>
      </c>
      <c r="K909" t="s">
        <v>3</v>
      </c>
      <c r="L909" t="s">
        <v>4</v>
      </c>
      <c r="M909" t="s">
        <v>49</v>
      </c>
      <c r="N909" t="s">
        <v>3649</v>
      </c>
      <c r="O909" s="31" t="s">
        <v>3650</v>
      </c>
      <c r="P909">
        <v>220</v>
      </c>
      <c r="R909">
        <v>6</v>
      </c>
      <c r="S909" s="31">
        <v>450000</v>
      </c>
      <c r="T909" s="39">
        <v>480000</v>
      </c>
      <c r="U909">
        <v>75000</v>
      </c>
      <c r="V909">
        <v>48000</v>
      </c>
      <c r="W909">
        <v>0</v>
      </c>
      <c r="X909" s="39">
        <v>128550</v>
      </c>
      <c r="Y909">
        <v>0</v>
      </c>
      <c r="Z909" s="31">
        <v>357000</v>
      </c>
      <c r="AA909">
        <v>8</v>
      </c>
      <c r="AB909" s="3">
        <f t="shared" si="44"/>
        <v>357000</v>
      </c>
      <c r="AC909" t="str">
        <f>IF(AB909-S909&lt;0,"YES","NO")</f>
        <v>YES</v>
      </c>
      <c r="AD909">
        <f>IF(AC909="NO",0,AB909-S909)</f>
        <v>-93000</v>
      </c>
      <c r="AE909" s="43">
        <v>0.08</v>
      </c>
      <c r="AF909" s="3">
        <f t="shared" si="45"/>
        <v>-86111.111111111109</v>
      </c>
      <c r="AG909" s="45">
        <f t="shared" si="46"/>
        <v>-94722.222222222234</v>
      </c>
      <c r="AH909" s="55"/>
    </row>
    <row r="910" spans="1:34" x14ac:dyDescent="0.25">
      <c r="A910" t="s">
        <v>3651</v>
      </c>
      <c r="B910" t="s">
        <v>3652</v>
      </c>
      <c r="C910" t="s">
        <v>3653</v>
      </c>
      <c r="D910" t="s">
        <v>3654</v>
      </c>
      <c r="E910" t="s">
        <v>3655</v>
      </c>
      <c r="F910" t="s">
        <v>3656</v>
      </c>
      <c r="G910" t="s">
        <v>5</v>
      </c>
      <c r="H910" t="s">
        <v>61</v>
      </c>
      <c r="I910" t="s">
        <v>84</v>
      </c>
      <c r="J910" t="s">
        <v>85</v>
      </c>
      <c r="K910" t="s">
        <v>3</v>
      </c>
      <c r="L910" t="s">
        <v>4</v>
      </c>
      <c r="M910" t="s">
        <v>49</v>
      </c>
      <c r="N910" t="s">
        <v>3657</v>
      </c>
      <c r="O910" s="31" t="s">
        <v>3658</v>
      </c>
      <c r="P910">
        <v>100</v>
      </c>
      <c r="Q910" t="s">
        <v>86</v>
      </c>
      <c r="R910">
        <v>1</v>
      </c>
      <c r="S910" s="31">
        <v>0</v>
      </c>
      <c r="T910" s="39">
        <v>0</v>
      </c>
      <c r="U910">
        <v>0</v>
      </c>
      <c r="V910">
        <v>0</v>
      </c>
      <c r="W910">
        <v>0</v>
      </c>
      <c r="X910" s="39">
        <v>0</v>
      </c>
      <c r="Y910">
        <v>0</v>
      </c>
      <c r="Z910" s="31">
        <v>0</v>
      </c>
      <c r="AA910">
        <v>8</v>
      </c>
      <c r="AB910" s="3">
        <f t="shared" si="44"/>
        <v>0</v>
      </c>
      <c r="AC910" t="str">
        <f>IF(AB910-S910&lt;0,"YES","NO")</f>
        <v>NO</v>
      </c>
      <c r="AD910">
        <f>IF(AC910="NO",0,AB910-S910)</f>
        <v>0</v>
      </c>
      <c r="AE910" s="43">
        <v>0.08</v>
      </c>
      <c r="AF910" s="3">
        <f t="shared" si="45"/>
        <v>0</v>
      </c>
      <c r="AG910" s="45">
        <f t="shared" si="46"/>
        <v>0</v>
      </c>
      <c r="AH910" s="55"/>
    </row>
    <row r="911" spans="1:34" x14ac:dyDescent="0.25">
      <c r="A911" t="s">
        <v>3651</v>
      </c>
      <c r="B911" t="s">
        <v>3652</v>
      </c>
      <c r="C911" t="s">
        <v>3653</v>
      </c>
      <c r="D911" t="s">
        <v>3654</v>
      </c>
      <c r="E911" t="s">
        <v>3655</v>
      </c>
      <c r="F911" t="s">
        <v>3656</v>
      </c>
      <c r="G911" t="s">
        <v>5</v>
      </c>
      <c r="H911" t="s">
        <v>65</v>
      </c>
      <c r="I911" t="s">
        <v>82</v>
      </c>
      <c r="J911" t="s">
        <v>83</v>
      </c>
      <c r="K911" t="s">
        <v>3</v>
      </c>
      <c r="L911" t="s">
        <v>4</v>
      </c>
      <c r="M911" t="s">
        <v>49</v>
      </c>
      <c r="N911" t="s">
        <v>3657</v>
      </c>
      <c r="O911" s="31" t="s">
        <v>3658</v>
      </c>
      <c r="P911">
        <v>220</v>
      </c>
      <c r="R911">
        <v>2</v>
      </c>
      <c r="S911" s="31">
        <v>150000</v>
      </c>
      <c r="T911" s="39">
        <v>160000</v>
      </c>
      <c r="U911">
        <v>20000</v>
      </c>
      <c r="V911">
        <v>17000</v>
      </c>
      <c r="W911">
        <v>0</v>
      </c>
      <c r="X911" s="39">
        <v>38450</v>
      </c>
      <c r="Y911">
        <v>0</v>
      </c>
      <c r="Z911" s="31">
        <v>123000</v>
      </c>
      <c r="AA911">
        <v>8</v>
      </c>
      <c r="AB911" s="3">
        <f t="shared" si="44"/>
        <v>123000</v>
      </c>
      <c r="AC911" t="str">
        <f>IF(AB911-S911&lt;0,"YES","NO")</f>
        <v>YES</v>
      </c>
      <c r="AD911">
        <f>IF(AC911="NO",0,AB911-S911)</f>
        <v>-27000</v>
      </c>
      <c r="AE911" s="43">
        <v>0.08</v>
      </c>
      <c r="AF911" s="3">
        <f t="shared" si="45"/>
        <v>-25000</v>
      </c>
      <c r="AG911" s="45">
        <f t="shared" si="46"/>
        <v>-27500.000000000004</v>
      </c>
      <c r="AH911" s="55"/>
    </row>
    <row r="912" spans="1:34" x14ac:dyDescent="0.25">
      <c r="A912" t="s">
        <v>3659</v>
      </c>
      <c r="B912" t="s">
        <v>3660</v>
      </c>
      <c r="C912" t="s">
        <v>3661</v>
      </c>
      <c r="D912" t="s">
        <v>3662</v>
      </c>
      <c r="E912" t="s">
        <v>3663</v>
      </c>
      <c r="F912" t="s">
        <v>3664</v>
      </c>
      <c r="G912" t="s">
        <v>5</v>
      </c>
      <c r="H912" t="s">
        <v>61</v>
      </c>
      <c r="I912" t="s">
        <v>84</v>
      </c>
      <c r="J912" t="s">
        <v>85</v>
      </c>
      <c r="K912" t="s">
        <v>3</v>
      </c>
      <c r="L912" t="s">
        <v>4</v>
      </c>
      <c r="M912" t="s">
        <v>49</v>
      </c>
      <c r="N912" t="s">
        <v>3665</v>
      </c>
      <c r="O912" s="31" t="s">
        <v>3666</v>
      </c>
      <c r="P912">
        <v>100</v>
      </c>
      <c r="Q912" t="s">
        <v>86</v>
      </c>
      <c r="R912">
        <v>1</v>
      </c>
      <c r="S912" s="31">
        <v>0</v>
      </c>
      <c r="T912" s="39">
        <v>0</v>
      </c>
      <c r="U912">
        <v>0</v>
      </c>
      <c r="V912">
        <v>0</v>
      </c>
      <c r="W912">
        <v>0</v>
      </c>
      <c r="X912" s="39">
        <v>0</v>
      </c>
      <c r="Y912">
        <v>0</v>
      </c>
      <c r="Z912" s="31">
        <v>0</v>
      </c>
      <c r="AA912">
        <v>8</v>
      </c>
      <c r="AB912" s="3">
        <f t="shared" si="44"/>
        <v>0</v>
      </c>
      <c r="AC912" t="str">
        <f>IF(AB912-S912&lt;0,"YES","NO")</f>
        <v>NO</v>
      </c>
      <c r="AD912">
        <f>IF(AC912="NO",0,AB912-S912)</f>
        <v>0</v>
      </c>
      <c r="AE912" s="43">
        <v>0.08</v>
      </c>
      <c r="AF912" s="3">
        <f t="shared" si="45"/>
        <v>0</v>
      </c>
      <c r="AG912" s="45">
        <f t="shared" si="46"/>
        <v>0</v>
      </c>
      <c r="AH912" s="55"/>
    </row>
    <row r="913" spans="1:34" x14ac:dyDescent="0.25">
      <c r="A913" t="s">
        <v>3659</v>
      </c>
      <c r="B913" t="s">
        <v>3660</v>
      </c>
      <c r="C913" t="s">
        <v>3661</v>
      </c>
      <c r="D913" t="s">
        <v>3662</v>
      </c>
      <c r="E913" t="s">
        <v>3663</v>
      </c>
      <c r="F913" t="s">
        <v>3664</v>
      </c>
      <c r="G913" t="s">
        <v>5</v>
      </c>
      <c r="H913" t="s">
        <v>65</v>
      </c>
      <c r="I913" t="s">
        <v>66</v>
      </c>
      <c r="J913" t="s">
        <v>67</v>
      </c>
      <c r="K913" t="s">
        <v>3</v>
      </c>
      <c r="L913" t="s">
        <v>4</v>
      </c>
      <c r="M913" t="s">
        <v>49</v>
      </c>
      <c r="N913" t="s">
        <v>3665</v>
      </c>
      <c r="O913" s="31" t="s">
        <v>3666</v>
      </c>
      <c r="P913">
        <v>220</v>
      </c>
      <c r="R913">
        <v>2</v>
      </c>
      <c r="S913" s="31">
        <v>150000</v>
      </c>
      <c r="T913" s="39">
        <v>160000</v>
      </c>
      <c r="U913">
        <v>20000</v>
      </c>
      <c r="V913">
        <v>17000</v>
      </c>
      <c r="W913">
        <v>0</v>
      </c>
      <c r="X913" s="39">
        <v>38450</v>
      </c>
      <c r="Y913">
        <v>0</v>
      </c>
      <c r="Z913" s="31">
        <v>123000</v>
      </c>
      <c r="AA913">
        <v>8</v>
      </c>
      <c r="AB913" s="3">
        <f t="shared" si="44"/>
        <v>123000</v>
      </c>
      <c r="AC913" t="str">
        <f>IF(AB913-S913&lt;0,"YES","NO")</f>
        <v>YES</v>
      </c>
      <c r="AD913">
        <f>IF(AC913="NO",0,AB913-S913)</f>
        <v>-27000</v>
      </c>
      <c r="AE913" s="43">
        <v>0.08</v>
      </c>
      <c r="AF913" s="3">
        <f t="shared" si="45"/>
        <v>-25000</v>
      </c>
      <c r="AG913" s="45">
        <f t="shared" si="46"/>
        <v>-27500.000000000004</v>
      </c>
      <c r="AH913" s="55"/>
    </row>
    <row r="914" spans="1:34" x14ac:dyDescent="0.25">
      <c r="A914" t="s">
        <v>3667</v>
      </c>
      <c r="B914" t="s">
        <v>3668</v>
      </c>
      <c r="C914" t="s">
        <v>3669</v>
      </c>
      <c r="D914" t="s">
        <v>3670</v>
      </c>
      <c r="E914" t="s">
        <v>3671</v>
      </c>
      <c r="F914" t="s">
        <v>3672</v>
      </c>
      <c r="G914" t="s">
        <v>5</v>
      </c>
      <c r="H914" t="s">
        <v>61</v>
      </c>
      <c r="I914" t="s">
        <v>84</v>
      </c>
      <c r="J914" t="s">
        <v>85</v>
      </c>
      <c r="K914" t="s">
        <v>3</v>
      </c>
      <c r="L914" t="s">
        <v>4</v>
      </c>
      <c r="M914" t="s">
        <v>49</v>
      </c>
      <c r="N914" t="s">
        <v>3673</v>
      </c>
      <c r="O914" s="31" t="s">
        <v>3674</v>
      </c>
      <c r="P914">
        <v>100</v>
      </c>
      <c r="Q914" t="s">
        <v>86</v>
      </c>
      <c r="R914">
        <v>1</v>
      </c>
      <c r="S914" s="31">
        <v>0</v>
      </c>
      <c r="T914" s="39">
        <v>0</v>
      </c>
      <c r="U914">
        <v>0</v>
      </c>
      <c r="V914">
        <v>0</v>
      </c>
      <c r="W914">
        <v>0</v>
      </c>
      <c r="X914" s="39">
        <v>0</v>
      </c>
      <c r="Y914">
        <v>0</v>
      </c>
      <c r="Z914" s="31">
        <v>0</v>
      </c>
      <c r="AA914">
        <v>8</v>
      </c>
      <c r="AB914" s="3">
        <f t="shared" si="44"/>
        <v>0</v>
      </c>
      <c r="AC914" t="str">
        <f>IF(AB914-S914&lt;0,"YES","NO")</f>
        <v>NO</v>
      </c>
      <c r="AD914">
        <f>IF(AC914="NO",0,AB914-S914)</f>
        <v>0</v>
      </c>
      <c r="AE914" s="43">
        <v>0.08</v>
      </c>
      <c r="AF914" s="3">
        <f t="shared" si="45"/>
        <v>0</v>
      </c>
      <c r="AG914" s="45">
        <f t="shared" si="46"/>
        <v>0</v>
      </c>
      <c r="AH914" s="55"/>
    </row>
    <row r="915" spans="1:34" x14ac:dyDescent="0.25">
      <c r="A915" t="s">
        <v>3667</v>
      </c>
      <c r="B915" t="s">
        <v>3668</v>
      </c>
      <c r="C915" t="s">
        <v>3669</v>
      </c>
      <c r="D915" t="s">
        <v>3670</v>
      </c>
      <c r="E915" t="s">
        <v>3671</v>
      </c>
      <c r="F915" t="s">
        <v>3672</v>
      </c>
      <c r="G915" t="s">
        <v>5</v>
      </c>
      <c r="H915" t="s">
        <v>65</v>
      </c>
      <c r="I915" t="s">
        <v>68</v>
      </c>
      <c r="J915" t="s">
        <v>69</v>
      </c>
      <c r="K915" t="s">
        <v>3</v>
      </c>
      <c r="L915" t="s">
        <v>4</v>
      </c>
      <c r="M915" t="s">
        <v>49</v>
      </c>
      <c r="N915" t="s">
        <v>3673</v>
      </c>
      <c r="O915" s="31" t="s">
        <v>3674</v>
      </c>
      <c r="P915">
        <v>220</v>
      </c>
      <c r="Q915" t="s">
        <v>70</v>
      </c>
      <c r="R915">
        <v>1</v>
      </c>
      <c r="S915" s="31">
        <v>59000</v>
      </c>
      <c r="T915" s="39">
        <v>65000</v>
      </c>
      <c r="U915">
        <v>11666.67</v>
      </c>
      <c r="V915">
        <v>6500</v>
      </c>
      <c r="W915">
        <v>0</v>
      </c>
      <c r="X915" s="39">
        <v>11666.67</v>
      </c>
      <c r="Y915">
        <v>0</v>
      </c>
      <c r="Z915" s="31">
        <v>46833.33</v>
      </c>
      <c r="AA915">
        <v>8</v>
      </c>
      <c r="AB915" s="3">
        <f t="shared" si="44"/>
        <v>46833.33</v>
      </c>
      <c r="AC915" t="str">
        <f>IF(AB915-S915&lt;0,"YES","NO")</f>
        <v>YES</v>
      </c>
      <c r="AD915">
        <f>IF(AC915="NO",0,AB915-S915)</f>
        <v>-12166.669999999998</v>
      </c>
      <c r="AE915" s="43">
        <v>0.08</v>
      </c>
      <c r="AF915" s="3">
        <f t="shared" si="45"/>
        <v>-11265.435185185182</v>
      </c>
      <c r="AG915" s="45">
        <f t="shared" si="46"/>
        <v>-12391.978703703702</v>
      </c>
      <c r="AH915" s="55"/>
    </row>
    <row r="916" spans="1:34" x14ac:dyDescent="0.25">
      <c r="A916" t="s">
        <v>3667</v>
      </c>
      <c r="B916" t="s">
        <v>3668</v>
      </c>
      <c r="C916" t="s">
        <v>3669</v>
      </c>
      <c r="D916" t="s">
        <v>3670</v>
      </c>
      <c r="E916" t="s">
        <v>3671</v>
      </c>
      <c r="F916" t="s">
        <v>3672</v>
      </c>
      <c r="G916" t="s">
        <v>5</v>
      </c>
      <c r="H916" t="s">
        <v>65</v>
      </c>
      <c r="I916" t="s">
        <v>71</v>
      </c>
      <c r="J916" t="s">
        <v>72</v>
      </c>
      <c r="K916" t="s">
        <v>3</v>
      </c>
      <c r="L916" t="s">
        <v>4</v>
      </c>
      <c r="M916" t="s">
        <v>49</v>
      </c>
      <c r="N916" t="s">
        <v>3673</v>
      </c>
      <c r="O916" s="31" t="s">
        <v>3674</v>
      </c>
      <c r="P916">
        <v>220</v>
      </c>
      <c r="Q916" t="s">
        <v>70</v>
      </c>
      <c r="R916">
        <v>1</v>
      </c>
      <c r="S916" s="31">
        <v>59000</v>
      </c>
      <c r="T916" s="39">
        <v>65000</v>
      </c>
      <c r="U916">
        <v>11666.67</v>
      </c>
      <c r="V916">
        <v>6500</v>
      </c>
      <c r="W916">
        <v>0</v>
      </c>
      <c r="X916" s="39">
        <v>11666.67</v>
      </c>
      <c r="Y916">
        <v>0</v>
      </c>
      <c r="Z916" s="31">
        <v>46833.33</v>
      </c>
      <c r="AA916">
        <v>8</v>
      </c>
      <c r="AB916" s="3">
        <f t="shared" si="44"/>
        <v>46833.33</v>
      </c>
      <c r="AC916" t="str">
        <f>IF(AB916-S916&lt;0,"YES","NO")</f>
        <v>YES</v>
      </c>
      <c r="AD916">
        <f>IF(AC916="NO",0,AB916-S916)</f>
        <v>-12166.669999999998</v>
      </c>
      <c r="AE916" s="43">
        <v>0.08</v>
      </c>
      <c r="AF916" s="3">
        <f t="shared" si="45"/>
        <v>-11265.435185185182</v>
      </c>
      <c r="AG916" s="45">
        <f t="shared" si="46"/>
        <v>-12391.978703703702</v>
      </c>
      <c r="AH916" s="55"/>
    </row>
    <row r="917" spans="1:34" x14ac:dyDescent="0.25">
      <c r="A917" t="s">
        <v>3667</v>
      </c>
      <c r="B917" t="s">
        <v>3668</v>
      </c>
      <c r="C917" t="s">
        <v>3669</v>
      </c>
      <c r="D917" t="s">
        <v>3670</v>
      </c>
      <c r="E917" t="s">
        <v>3671</v>
      </c>
      <c r="F917" t="s">
        <v>3672</v>
      </c>
      <c r="G917" t="s">
        <v>5</v>
      </c>
      <c r="H917" t="s">
        <v>65</v>
      </c>
      <c r="I917" t="s">
        <v>73</v>
      </c>
      <c r="J917" t="s">
        <v>74</v>
      </c>
      <c r="K917" t="s">
        <v>3</v>
      </c>
      <c r="L917" t="s">
        <v>4</v>
      </c>
      <c r="M917" t="s">
        <v>49</v>
      </c>
      <c r="N917" t="s">
        <v>3673</v>
      </c>
      <c r="O917" s="31" t="s">
        <v>3674</v>
      </c>
      <c r="P917">
        <v>220</v>
      </c>
      <c r="Q917" t="s">
        <v>70</v>
      </c>
      <c r="R917">
        <v>1</v>
      </c>
      <c r="S917" s="31">
        <v>59000</v>
      </c>
      <c r="T917" s="39">
        <v>65000</v>
      </c>
      <c r="U917">
        <v>11666.67</v>
      </c>
      <c r="V917">
        <v>6500</v>
      </c>
      <c r="W917">
        <v>0</v>
      </c>
      <c r="X917" s="39">
        <v>11666.67</v>
      </c>
      <c r="Y917">
        <v>0</v>
      </c>
      <c r="Z917" s="31">
        <v>46833.33</v>
      </c>
      <c r="AA917">
        <v>8</v>
      </c>
      <c r="AB917" s="3">
        <f t="shared" si="44"/>
        <v>46833.33</v>
      </c>
      <c r="AC917" t="str">
        <f>IF(AB917-S917&lt;0,"YES","NO")</f>
        <v>YES</v>
      </c>
      <c r="AD917">
        <f>IF(AC917="NO",0,AB917-S917)</f>
        <v>-12166.669999999998</v>
      </c>
      <c r="AE917" s="43">
        <v>0.08</v>
      </c>
      <c r="AF917" s="3">
        <f t="shared" si="45"/>
        <v>-11265.435185185182</v>
      </c>
      <c r="AG917" s="45">
        <f t="shared" si="46"/>
        <v>-12391.978703703702</v>
      </c>
      <c r="AH917" s="55"/>
    </row>
    <row r="918" spans="1:34" x14ac:dyDescent="0.25">
      <c r="A918" t="s">
        <v>3675</v>
      </c>
      <c r="B918" t="s">
        <v>3676</v>
      </c>
      <c r="C918" t="s">
        <v>3677</v>
      </c>
      <c r="D918" t="s">
        <v>3678</v>
      </c>
      <c r="E918" t="s">
        <v>3679</v>
      </c>
      <c r="F918" t="s">
        <v>3680</v>
      </c>
      <c r="G918" t="s">
        <v>5</v>
      </c>
      <c r="H918" t="s">
        <v>61</v>
      </c>
      <c r="I918" t="s">
        <v>84</v>
      </c>
      <c r="J918" t="s">
        <v>85</v>
      </c>
      <c r="K918" t="s">
        <v>3</v>
      </c>
      <c r="L918" t="s">
        <v>4</v>
      </c>
      <c r="M918" t="s">
        <v>49</v>
      </c>
      <c r="N918" t="s">
        <v>3681</v>
      </c>
      <c r="O918" s="31" t="s">
        <v>3682</v>
      </c>
      <c r="P918">
        <v>100</v>
      </c>
      <c r="Q918" t="s">
        <v>86</v>
      </c>
      <c r="R918">
        <v>1</v>
      </c>
      <c r="S918" s="31">
        <v>0</v>
      </c>
      <c r="T918" s="39">
        <v>0</v>
      </c>
      <c r="U918">
        <v>0</v>
      </c>
      <c r="V918">
        <v>0</v>
      </c>
      <c r="W918">
        <v>0</v>
      </c>
      <c r="X918" s="39">
        <v>0</v>
      </c>
      <c r="Y918">
        <v>0</v>
      </c>
      <c r="Z918" s="31">
        <v>0</v>
      </c>
      <c r="AA918">
        <v>8</v>
      </c>
      <c r="AB918" s="3">
        <f t="shared" si="44"/>
        <v>0</v>
      </c>
      <c r="AC918" t="str">
        <f>IF(AB918-S918&lt;0,"YES","NO")</f>
        <v>NO</v>
      </c>
      <c r="AD918">
        <f>IF(AC918="NO",0,AB918-S918)</f>
        <v>0</v>
      </c>
      <c r="AE918" s="43">
        <v>0.08</v>
      </c>
      <c r="AF918" s="3">
        <f t="shared" si="45"/>
        <v>0</v>
      </c>
      <c r="AG918" s="45">
        <f t="shared" si="46"/>
        <v>0</v>
      </c>
      <c r="AH918" s="55"/>
    </row>
    <row r="919" spans="1:34" x14ac:dyDescent="0.25">
      <c r="A919" t="s">
        <v>3675</v>
      </c>
      <c r="B919" t="s">
        <v>3676</v>
      </c>
      <c r="C919" t="s">
        <v>3677</v>
      </c>
      <c r="D919" t="s">
        <v>3678</v>
      </c>
      <c r="E919" t="s">
        <v>3679</v>
      </c>
      <c r="F919" t="s">
        <v>3680</v>
      </c>
      <c r="G919" t="s">
        <v>5</v>
      </c>
      <c r="H919" t="s">
        <v>65</v>
      </c>
      <c r="I919" t="s">
        <v>82</v>
      </c>
      <c r="J919" t="s">
        <v>83</v>
      </c>
      <c r="K919" t="s">
        <v>3</v>
      </c>
      <c r="L919" t="s">
        <v>4</v>
      </c>
      <c r="M919" t="s">
        <v>49</v>
      </c>
      <c r="N919" t="s">
        <v>3681</v>
      </c>
      <c r="O919" s="31" t="s">
        <v>3682</v>
      </c>
      <c r="P919">
        <v>220</v>
      </c>
      <c r="R919">
        <v>2</v>
      </c>
      <c r="S919" s="31">
        <v>150000</v>
      </c>
      <c r="T919" s="39">
        <v>160000</v>
      </c>
      <c r="U919">
        <v>0</v>
      </c>
      <c r="V919">
        <v>17000</v>
      </c>
      <c r="W919">
        <v>0</v>
      </c>
      <c r="X919" s="39">
        <v>22880</v>
      </c>
      <c r="Y919">
        <v>0</v>
      </c>
      <c r="Z919" s="31">
        <v>143000</v>
      </c>
      <c r="AA919">
        <v>8</v>
      </c>
      <c r="AB919" s="3">
        <f t="shared" si="44"/>
        <v>143000</v>
      </c>
      <c r="AC919" t="str">
        <f>IF(AB919-S919&lt;0,"YES","NO")</f>
        <v>YES</v>
      </c>
      <c r="AD919">
        <f>IF(AC919="NO",0,AB919-S919)</f>
        <v>-7000</v>
      </c>
      <c r="AE919" s="43">
        <v>0.08</v>
      </c>
      <c r="AF919" s="3">
        <f t="shared" si="45"/>
        <v>-6481.4814814814808</v>
      </c>
      <c r="AG919" s="45">
        <f t="shared" si="46"/>
        <v>-7129.6296296296296</v>
      </c>
      <c r="AH919" s="55"/>
    </row>
    <row r="920" spans="1:34" x14ac:dyDescent="0.25">
      <c r="A920" t="s">
        <v>3675</v>
      </c>
      <c r="B920" t="s">
        <v>3676</v>
      </c>
      <c r="C920" t="s">
        <v>3677</v>
      </c>
      <c r="D920" t="s">
        <v>3678</v>
      </c>
      <c r="E920" t="s">
        <v>3679</v>
      </c>
      <c r="F920" t="s">
        <v>3680</v>
      </c>
      <c r="G920" t="s">
        <v>5</v>
      </c>
      <c r="H920" t="s">
        <v>65</v>
      </c>
      <c r="I920" t="s">
        <v>78</v>
      </c>
      <c r="J920" t="s">
        <v>79</v>
      </c>
      <c r="K920" t="s">
        <v>3</v>
      </c>
      <c r="L920" t="s">
        <v>4</v>
      </c>
      <c r="M920" t="s">
        <v>49</v>
      </c>
      <c r="N920" t="s">
        <v>3681</v>
      </c>
      <c r="O920" s="31" t="s">
        <v>3682</v>
      </c>
      <c r="P920">
        <v>220</v>
      </c>
      <c r="R920">
        <v>3</v>
      </c>
      <c r="S920" s="31">
        <v>225000</v>
      </c>
      <c r="T920" s="39">
        <v>240000</v>
      </c>
      <c r="U920">
        <v>17499.990000000002</v>
      </c>
      <c r="V920">
        <v>24000</v>
      </c>
      <c r="W920">
        <v>0</v>
      </c>
      <c r="X920" s="39">
        <v>49260</v>
      </c>
      <c r="Y920">
        <v>0</v>
      </c>
      <c r="Z920" s="31">
        <v>198500.01</v>
      </c>
      <c r="AA920">
        <v>8</v>
      </c>
      <c r="AB920" s="3">
        <f t="shared" si="44"/>
        <v>198500.01</v>
      </c>
      <c r="AC920" t="str">
        <f>IF(AB920-S920&lt;0,"YES","NO")</f>
        <v>YES</v>
      </c>
      <c r="AD920">
        <f>IF(AC920="NO",0,AB920-S920)</f>
        <v>-26499.989999999991</v>
      </c>
      <c r="AE920" s="43">
        <v>0.08</v>
      </c>
      <c r="AF920" s="3">
        <f t="shared" si="45"/>
        <v>-24537.027777777766</v>
      </c>
      <c r="AG920" s="45">
        <f t="shared" si="46"/>
        <v>-26990.730555555547</v>
      </c>
      <c r="AH920" s="55"/>
    </row>
    <row r="921" spans="1:34" x14ac:dyDescent="0.25">
      <c r="A921" t="s">
        <v>3675</v>
      </c>
      <c r="B921" t="s">
        <v>3676</v>
      </c>
      <c r="C921" t="s">
        <v>3677</v>
      </c>
      <c r="D921" t="s">
        <v>3678</v>
      </c>
      <c r="E921" t="s">
        <v>3679</v>
      </c>
      <c r="F921" t="s">
        <v>3680</v>
      </c>
      <c r="G921" t="s">
        <v>5</v>
      </c>
      <c r="H921" t="s">
        <v>65</v>
      </c>
      <c r="I921" t="s">
        <v>66</v>
      </c>
      <c r="J921" t="s">
        <v>67</v>
      </c>
      <c r="K921" t="s">
        <v>3</v>
      </c>
      <c r="L921" t="s">
        <v>4</v>
      </c>
      <c r="M921" t="s">
        <v>49</v>
      </c>
      <c r="N921" t="s">
        <v>3681</v>
      </c>
      <c r="O921" s="31" t="s">
        <v>3682</v>
      </c>
      <c r="P921">
        <v>220</v>
      </c>
      <c r="R921">
        <v>3</v>
      </c>
      <c r="S921" s="31">
        <v>225000</v>
      </c>
      <c r="T921" s="39">
        <v>240000</v>
      </c>
      <c r="U921">
        <v>17499.990000000002</v>
      </c>
      <c r="V921">
        <v>24000</v>
      </c>
      <c r="W921">
        <v>0</v>
      </c>
      <c r="X921" s="39">
        <v>49260</v>
      </c>
      <c r="Y921">
        <v>0</v>
      </c>
      <c r="Z921" s="31">
        <v>198500.01</v>
      </c>
      <c r="AA921">
        <v>8</v>
      </c>
      <c r="AB921" s="3">
        <f t="shared" si="44"/>
        <v>198500.01</v>
      </c>
      <c r="AC921" t="str">
        <f>IF(AB921-S921&lt;0,"YES","NO")</f>
        <v>YES</v>
      </c>
      <c r="AD921">
        <f>IF(AC921="NO",0,AB921-S921)</f>
        <v>-26499.989999999991</v>
      </c>
      <c r="AE921" s="43">
        <v>0.08</v>
      </c>
      <c r="AF921" s="3">
        <f t="shared" si="45"/>
        <v>-24537.027777777766</v>
      </c>
      <c r="AG921" s="45">
        <f t="shared" si="46"/>
        <v>-26990.730555555547</v>
      </c>
      <c r="AH921" s="55"/>
    </row>
    <row r="922" spans="1:34" x14ac:dyDescent="0.25">
      <c r="A922" t="s">
        <v>3683</v>
      </c>
      <c r="B922" t="s">
        <v>3684</v>
      </c>
      <c r="C922" t="s">
        <v>3685</v>
      </c>
      <c r="D922" t="s">
        <v>3686</v>
      </c>
      <c r="E922" t="s">
        <v>3687</v>
      </c>
      <c r="F922" t="s">
        <v>3688</v>
      </c>
      <c r="G922" t="s">
        <v>5</v>
      </c>
      <c r="H922" t="s">
        <v>61</v>
      </c>
      <c r="I922" t="s">
        <v>84</v>
      </c>
      <c r="J922" t="s">
        <v>85</v>
      </c>
      <c r="K922" t="s">
        <v>3</v>
      </c>
      <c r="L922" t="s">
        <v>4</v>
      </c>
      <c r="M922" t="s">
        <v>49</v>
      </c>
      <c r="N922" t="s">
        <v>3689</v>
      </c>
      <c r="O922" s="31" t="s">
        <v>3690</v>
      </c>
      <c r="P922">
        <v>100</v>
      </c>
      <c r="Q922" t="s">
        <v>86</v>
      </c>
      <c r="R922">
        <v>1</v>
      </c>
      <c r="S922" s="31">
        <v>0</v>
      </c>
      <c r="T922" s="39">
        <v>0</v>
      </c>
      <c r="U922">
        <v>0</v>
      </c>
      <c r="V922">
        <v>0</v>
      </c>
      <c r="W922">
        <v>0</v>
      </c>
      <c r="X922" s="39">
        <v>0</v>
      </c>
      <c r="Y922">
        <v>0</v>
      </c>
      <c r="Z922" s="31">
        <v>0</v>
      </c>
      <c r="AA922">
        <v>8</v>
      </c>
      <c r="AB922" s="3">
        <f t="shared" si="44"/>
        <v>0</v>
      </c>
      <c r="AC922" t="str">
        <f>IF(AB922-S922&lt;0,"YES","NO")</f>
        <v>NO</v>
      </c>
      <c r="AD922">
        <f>IF(AC922="NO",0,AB922-S922)</f>
        <v>0</v>
      </c>
      <c r="AE922" s="43">
        <v>0.08</v>
      </c>
      <c r="AF922" s="3">
        <f t="shared" si="45"/>
        <v>0</v>
      </c>
      <c r="AG922" s="45">
        <f t="shared" si="46"/>
        <v>0</v>
      </c>
      <c r="AH922" s="55"/>
    </row>
    <row r="923" spans="1:34" x14ac:dyDescent="0.25">
      <c r="A923" t="s">
        <v>3683</v>
      </c>
      <c r="B923" t="s">
        <v>3684</v>
      </c>
      <c r="C923" t="s">
        <v>3685</v>
      </c>
      <c r="D923" t="s">
        <v>3686</v>
      </c>
      <c r="E923" t="s">
        <v>3687</v>
      </c>
      <c r="F923" t="s">
        <v>3688</v>
      </c>
      <c r="G923" t="s">
        <v>5</v>
      </c>
      <c r="H923" t="s">
        <v>65</v>
      </c>
      <c r="I923" t="s">
        <v>66</v>
      </c>
      <c r="J923" t="s">
        <v>67</v>
      </c>
      <c r="K923" t="s">
        <v>3</v>
      </c>
      <c r="L923" t="s">
        <v>4</v>
      </c>
      <c r="M923" t="s">
        <v>49</v>
      </c>
      <c r="N923" t="s">
        <v>3689</v>
      </c>
      <c r="O923" s="31" t="s">
        <v>3690</v>
      </c>
      <c r="P923">
        <v>220</v>
      </c>
      <c r="R923">
        <v>1</v>
      </c>
      <c r="S923" s="31">
        <v>75000</v>
      </c>
      <c r="T923" s="39">
        <v>80000</v>
      </c>
      <c r="U923">
        <v>11666.67</v>
      </c>
      <c r="V923">
        <v>8000</v>
      </c>
      <c r="W923">
        <v>0</v>
      </c>
      <c r="X923" s="39">
        <v>23733.33</v>
      </c>
      <c r="Y923">
        <v>0</v>
      </c>
      <c r="Z923" s="31">
        <v>60333.33</v>
      </c>
      <c r="AA923">
        <v>8</v>
      </c>
      <c r="AB923" s="3">
        <f t="shared" si="44"/>
        <v>60333.33</v>
      </c>
      <c r="AC923" t="str">
        <f>IF(AB923-S923&lt;0,"YES","NO")</f>
        <v>YES</v>
      </c>
      <c r="AD923">
        <f>IF(AC923="NO",0,AB923-S923)</f>
        <v>-14666.669999999998</v>
      </c>
      <c r="AE923" s="43">
        <v>0.08</v>
      </c>
      <c r="AF923" s="3">
        <f t="shared" si="45"/>
        <v>-13580.249999999998</v>
      </c>
      <c r="AG923" s="45">
        <f t="shared" si="46"/>
        <v>-14938.275</v>
      </c>
      <c r="AH923" s="55"/>
    </row>
    <row r="924" spans="1:34" x14ac:dyDescent="0.25">
      <c r="A924" t="s">
        <v>3683</v>
      </c>
      <c r="B924" t="s">
        <v>3684</v>
      </c>
      <c r="C924" t="s">
        <v>3685</v>
      </c>
      <c r="D924" t="s">
        <v>3686</v>
      </c>
      <c r="E924" t="s">
        <v>3687</v>
      </c>
      <c r="F924" t="s">
        <v>3688</v>
      </c>
      <c r="G924" t="s">
        <v>5</v>
      </c>
      <c r="H924" t="s">
        <v>65</v>
      </c>
      <c r="I924" t="s">
        <v>78</v>
      </c>
      <c r="J924" t="s">
        <v>79</v>
      </c>
      <c r="K924" t="s">
        <v>3</v>
      </c>
      <c r="L924" t="s">
        <v>4</v>
      </c>
      <c r="M924" t="s">
        <v>49</v>
      </c>
      <c r="N924" t="s">
        <v>3689</v>
      </c>
      <c r="O924" s="31" t="s">
        <v>3690</v>
      </c>
      <c r="P924">
        <v>220</v>
      </c>
      <c r="R924">
        <v>1</v>
      </c>
      <c r="S924" s="31">
        <v>75000</v>
      </c>
      <c r="T924" s="39">
        <v>80000</v>
      </c>
      <c r="U924">
        <v>11666.67</v>
      </c>
      <c r="V924">
        <v>8000</v>
      </c>
      <c r="W924">
        <v>0</v>
      </c>
      <c r="X924" s="39">
        <v>23733.33</v>
      </c>
      <c r="Y924">
        <v>0</v>
      </c>
      <c r="Z924" s="31">
        <v>60333.33</v>
      </c>
      <c r="AA924">
        <v>8</v>
      </c>
      <c r="AB924" s="3">
        <f t="shared" si="44"/>
        <v>60333.33</v>
      </c>
      <c r="AC924" t="str">
        <f>IF(AB924-S924&lt;0,"YES","NO")</f>
        <v>YES</v>
      </c>
      <c r="AD924">
        <f>IF(AC924="NO",0,AB924-S924)</f>
        <v>-14666.669999999998</v>
      </c>
      <c r="AE924" s="43">
        <v>0.08</v>
      </c>
      <c r="AF924" s="3">
        <f t="shared" si="45"/>
        <v>-13580.249999999998</v>
      </c>
      <c r="AG924" s="45">
        <f t="shared" si="46"/>
        <v>-14938.275</v>
      </c>
      <c r="AH924" s="55"/>
    </row>
    <row r="925" spans="1:34" x14ac:dyDescent="0.25">
      <c r="A925" t="s">
        <v>3683</v>
      </c>
      <c r="B925" t="s">
        <v>3684</v>
      </c>
      <c r="C925" t="s">
        <v>3685</v>
      </c>
      <c r="D925" t="s">
        <v>3686</v>
      </c>
      <c r="E925" t="s">
        <v>3687</v>
      </c>
      <c r="F925" t="s">
        <v>3688</v>
      </c>
      <c r="G925" t="s">
        <v>5</v>
      </c>
      <c r="H925" t="s">
        <v>65</v>
      </c>
      <c r="I925" t="s">
        <v>80</v>
      </c>
      <c r="J925" t="s">
        <v>81</v>
      </c>
      <c r="K925" t="s">
        <v>3</v>
      </c>
      <c r="L925" t="s">
        <v>4</v>
      </c>
      <c r="M925" t="s">
        <v>49</v>
      </c>
      <c r="N925" t="s">
        <v>3689</v>
      </c>
      <c r="O925" s="31" t="s">
        <v>3690</v>
      </c>
      <c r="P925">
        <v>220</v>
      </c>
      <c r="R925">
        <v>1</v>
      </c>
      <c r="S925" s="31">
        <v>75000</v>
      </c>
      <c r="T925" s="39">
        <v>80000</v>
      </c>
      <c r="U925">
        <v>11666.67</v>
      </c>
      <c r="V925">
        <v>8000</v>
      </c>
      <c r="W925">
        <v>0</v>
      </c>
      <c r="X925" s="39">
        <v>23733.33</v>
      </c>
      <c r="Y925">
        <v>0</v>
      </c>
      <c r="Z925" s="31">
        <v>60333.33</v>
      </c>
      <c r="AA925">
        <v>8</v>
      </c>
      <c r="AB925" s="3">
        <f t="shared" si="44"/>
        <v>60333.33</v>
      </c>
      <c r="AC925" t="str">
        <f>IF(AB925-S925&lt;0,"YES","NO")</f>
        <v>YES</v>
      </c>
      <c r="AD925">
        <f>IF(AC925="NO",0,AB925-S925)</f>
        <v>-14666.669999999998</v>
      </c>
      <c r="AE925" s="43">
        <v>0.08</v>
      </c>
      <c r="AF925" s="3">
        <f t="shared" si="45"/>
        <v>-13580.249999999998</v>
      </c>
      <c r="AG925" s="45">
        <f t="shared" si="46"/>
        <v>-14938.275</v>
      </c>
      <c r="AH925" s="55"/>
    </row>
    <row r="926" spans="1:34" x14ac:dyDescent="0.25">
      <c r="A926" t="s">
        <v>3691</v>
      </c>
      <c r="B926" t="s">
        <v>3692</v>
      </c>
      <c r="C926" t="s">
        <v>3693</v>
      </c>
      <c r="D926" t="s">
        <v>3694</v>
      </c>
      <c r="E926" t="s">
        <v>3695</v>
      </c>
      <c r="F926" t="s">
        <v>3696</v>
      </c>
      <c r="G926" t="s">
        <v>5</v>
      </c>
      <c r="H926" t="s">
        <v>61</v>
      </c>
      <c r="I926" t="s">
        <v>84</v>
      </c>
      <c r="J926" t="s">
        <v>85</v>
      </c>
      <c r="K926" t="s">
        <v>3</v>
      </c>
      <c r="L926" t="s">
        <v>4</v>
      </c>
      <c r="M926" t="s">
        <v>49</v>
      </c>
      <c r="N926" t="s">
        <v>3697</v>
      </c>
      <c r="O926" s="31" t="s">
        <v>3698</v>
      </c>
      <c r="P926">
        <v>100</v>
      </c>
      <c r="Q926" t="s">
        <v>86</v>
      </c>
      <c r="R926">
        <v>1</v>
      </c>
      <c r="S926" s="31">
        <v>0</v>
      </c>
      <c r="T926" s="39">
        <v>0</v>
      </c>
      <c r="U926">
        <v>0</v>
      </c>
      <c r="V926">
        <v>0</v>
      </c>
      <c r="W926">
        <v>0</v>
      </c>
      <c r="X926" s="39">
        <v>0</v>
      </c>
      <c r="Y926">
        <v>0</v>
      </c>
      <c r="Z926" s="31">
        <v>0</v>
      </c>
      <c r="AA926">
        <v>8</v>
      </c>
      <c r="AB926" s="3">
        <f t="shared" si="44"/>
        <v>0</v>
      </c>
      <c r="AC926" t="str">
        <f>IF(AB926-S926&lt;0,"YES","NO")</f>
        <v>NO</v>
      </c>
      <c r="AD926">
        <f>IF(AC926="NO",0,AB926-S926)</f>
        <v>0</v>
      </c>
      <c r="AE926" s="43">
        <v>0.08</v>
      </c>
      <c r="AF926" s="3">
        <f t="shared" si="45"/>
        <v>0</v>
      </c>
      <c r="AG926" s="45">
        <f t="shared" si="46"/>
        <v>0</v>
      </c>
      <c r="AH926" s="55"/>
    </row>
    <row r="927" spans="1:34" x14ac:dyDescent="0.25">
      <c r="A927" t="s">
        <v>3691</v>
      </c>
      <c r="B927" t="s">
        <v>3692</v>
      </c>
      <c r="C927" t="s">
        <v>3693</v>
      </c>
      <c r="D927" t="s">
        <v>3694</v>
      </c>
      <c r="E927" t="s">
        <v>3695</v>
      </c>
      <c r="F927" t="s">
        <v>3696</v>
      </c>
      <c r="G927" t="s">
        <v>5</v>
      </c>
      <c r="H927" t="s">
        <v>65</v>
      </c>
      <c r="I927" t="s">
        <v>66</v>
      </c>
      <c r="J927" t="s">
        <v>67</v>
      </c>
      <c r="K927" t="s">
        <v>3</v>
      </c>
      <c r="L927" t="s">
        <v>4</v>
      </c>
      <c r="M927" t="s">
        <v>49</v>
      </c>
      <c r="N927" t="s">
        <v>3697</v>
      </c>
      <c r="O927" s="31" t="s">
        <v>3698</v>
      </c>
      <c r="P927">
        <v>220</v>
      </c>
      <c r="R927">
        <v>1</v>
      </c>
      <c r="S927" s="31">
        <v>75000</v>
      </c>
      <c r="T927" s="39">
        <v>80000</v>
      </c>
      <c r="U927">
        <v>11666.67</v>
      </c>
      <c r="V927">
        <v>8000</v>
      </c>
      <c r="W927">
        <v>0</v>
      </c>
      <c r="X927" s="39">
        <v>21923.33</v>
      </c>
      <c r="Y927">
        <v>0</v>
      </c>
      <c r="Z927" s="31">
        <v>60333.33</v>
      </c>
      <c r="AA927">
        <v>8</v>
      </c>
      <c r="AB927" s="3">
        <f t="shared" si="44"/>
        <v>60333.33</v>
      </c>
      <c r="AC927" t="str">
        <f>IF(AB927-S927&lt;0,"YES","NO")</f>
        <v>YES</v>
      </c>
      <c r="AD927">
        <f>IF(AC927="NO",0,AB927-S927)</f>
        <v>-14666.669999999998</v>
      </c>
      <c r="AE927" s="43">
        <v>0.08</v>
      </c>
      <c r="AF927" s="3">
        <f t="shared" si="45"/>
        <v>-13580.249999999998</v>
      </c>
      <c r="AG927" s="45">
        <f t="shared" si="46"/>
        <v>-14938.275</v>
      </c>
      <c r="AH927" s="55"/>
    </row>
    <row r="928" spans="1:34" x14ac:dyDescent="0.25">
      <c r="A928" t="s">
        <v>3691</v>
      </c>
      <c r="B928" t="s">
        <v>3692</v>
      </c>
      <c r="C928" t="s">
        <v>3693</v>
      </c>
      <c r="D928" t="s">
        <v>3694</v>
      </c>
      <c r="E928" t="s">
        <v>3695</v>
      </c>
      <c r="F928" t="s">
        <v>3696</v>
      </c>
      <c r="G928" t="s">
        <v>5</v>
      </c>
      <c r="H928" t="s">
        <v>65</v>
      </c>
      <c r="I928" t="s">
        <v>78</v>
      </c>
      <c r="J928" t="s">
        <v>79</v>
      </c>
      <c r="K928" t="s">
        <v>3</v>
      </c>
      <c r="L928" t="s">
        <v>4</v>
      </c>
      <c r="M928" t="s">
        <v>49</v>
      </c>
      <c r="N928" t="s">
        <v>3697</v>
      </c>
      <c r="O928" s="31" t="s">
        <v>3698</v>
      </c>
      <c r="P928">
        <v>220</v>
      </c>
      <c r="R928">
        <v>1</v>
      </c>
      <c r="S928" s="31">
        <v>75000</v>
      </c>
      <c r="T928" s="39">
        <v>80000</v>
      </c>
      <c r="U928">
        <v>11666.67</v>
      </c>
      <c r="V928">
        <v>8000</v>
      </c>
      <c r="W928">
        <v>0</v>
      </c>
      <c r="X928" s="39">
        <v>21923.33</v>
      </c>
      <c r="Y928">
        <v>0</v>
      </c>
      <c r="Z928" s="31">
        <v>60333.33</v>
      </c>
      <c r="AA928">
        <v>8</v>
      </c>
      <c r="AB928" s="3">
        <f t="shared" si="44"/>
        <v>60333.33</v>
      </c>
      <c r="AC928" t="str">
        <f>IF(AB928-S928&lt;0,"YES","NO")</f>
        <v>YES</v>
      </c>
      <c r="AD928">
        <f>IF(AC928="NO",0,AB928-S928)</f>
        <v>-14666.669999999998</v>
      </c>
      <c r="AE928" s="43">
        <v>0.08</v>
      </c>
      <c r="AF928" s="3">
        <f t="shared" si="45"/>
        <v>-13580.249999999998</v>
      </c>
      <c r="AG928" s="45">
        <f t="shared" si="46"/>
        <v>-14938.275</v>
      </c>
      <c r="AH928" s="55"/>
    </row>
    <row r="929" spans="1:34" x14ac:dyDescent="0.25">
      <c r="A929" t="s">
        <v>3691</v>
      </c>
      <c r="B929" t="s">
        <v>3692</v>
      </c>
      <c r="C929" t="s">
        <v>3693</v>
      </c>
      <c r="D929" t="s">
        <v>3694</v>
      </c>
      <c r="E929" t="s">
        <v>3695</v>
      </c>
      <c r="F929" t="s">
        <v>3696</v>
      </c>
      <c r="G929" t="s">
        <v>5</v>
      </c>
      <c r="H929" t="s">
        <v>65</v>
      </c>
      <c r="I929" t="s">
        <v>80</v>
      </c>
      <c r="J929" t="s">
        <v>81</v>
      </c>
      <c r="K929" t="s">
        <v>3</v>
      </c>
      <c r="L929" t="s">
        <v>4</v>
      </c>
      <c r="M929" t="s">
        <v>49</v>
      </c>
      <c r="N929" t="s">
        <v>3697</v>
      </c>
      <c r="O929" s="31" t="s">
        <v>3698</v>
      </c>
      <c r="P929">
        <v>220</v>
      </c>
      <c r="R929">
        <v>1</v>
      </c>
      <c r="S929" s="31">
        <v>75000</v>
      </c>
      <c r="T929" s="39">
        <v>80000</v>
      </c>
      <c r="U929">
        <v>11666.67</v>
      </c>
      <c r="V929">
        <v>8000</v>
      </c>
      <c r="W929">
        <v>0</v>
      </c>
      <c r="X929" s="39">
        <v>21923.33</v>
      </c>
      <c r="Y929">
        <v>0</v>
      </c>
      <c r="Z929" s="31">
        <v>60333.33</v>
      </c>
      <c r="AA929">
        <v>8</v>
      </c>
      <c r="AB929" s="3">
        <f t="shared" si="44"/>
        <v>60333.33</v>
      </c>
      <c r="AC929" t="str">
        <f>IF(AB929-S929&lt;0,"YES","NO")</f>
        <v>YES</v>
      </c>
      <c r="AD929">
        <f>IF(AC929="NO",0,AB929-S929)</f>
        <v>-14666.669999999998</v>
      </c>
      <c r="AE929" s="43">
        <v>0.08</v>
      </c>
      <c r="AF929" s="3">
        <f t="shared" si="45"/>
        <v>-13580.249999999998</v>
      </c>
      <c r="AG929" s="45">
        <f t="shared" si="46"/>
        <v>-14938.275</v>
      </c>
      <c r="AH929" s="55"/>
    </row>
    <row r="930" spans="1:34" x14ac:dyDescent="0.25">
      <c r="A930" t="s">
        <v>3699</v>
      </c>
      <c r="B930" t="s">
        <v>3700</v>
      </c>
      <c r="C930" t="s">
        <v>3701</v>
      </c>
      <c r="D930" t="s">
        <v>3702</v>
      </c>
      <c r="E930" t="s">
        <v>3703</v>
      </c>
      <c r="F930" t="s">
        <v>3704</v>
      </c>
      <c r="G930" t="s">
        <v>5</v>
      </c>
      <c r="H930" t="s">
        <v>65</v>
      </c>
      <c r="I930" t="s">
        <v>66</v>
      </c>
      <c r="J930" t="s">
        <v>67</v>
      </c>
      <c r="K930" t="s">
        <v>3</v>
      </c>
      <c r="L930" t="s">
        <v>4</v>
      </c>
      <c r="M930" t="s">
        <v>49</v>
      </c>
      <c r="N930" t="s">
        <v>3705</v>
      </c>
      <c r="O930" s="31" t="s">
        <v>3706</v>
      </c>
      <c r="P930">
        <v>220</v>
      </c>
      <c r="R930">
        <v>2</v>
      </c>
      <c r="S930" s="31">
        <v>150000</v>
      </c>
      <c r="T930" s="39">
        <v>160000</v>
      </c>
      <c r="U930">
        <v>20000</v>
      </c>
      <c r="V930">
        <v>17000</v>
      </c>
      <c r="W930">
        <v>0</v>
      </c>
      <c r="X930" s="39">
        <v>39680</v>
      </c>
      <c r="Y930">
        <v>0</v>
      </c>
      <c r="Z930" s="31">
        <v>123000</v>
      </c>
      <c r="AA930">
        <v>8</v>
      </c>
      <c r="AB930" s="3">
        <f t="shared" si="44"/>
        <v>123000</v>
      </c>
      <c r="AC930" t="str">
        <f>IF(AB930-S930&lt;0,"YES","NO")</f>
        <v>YES</v>
      </c>
      <c r="AD930">
        <f>IF(AC930="NO",0,AB930-S930)</f>
        <v>-27000</v>
      </c>
      <c r="AE930" s="43">
        <v>0.08</v>
      </c>
      <c r="AF930" s="3">
        <f t="shared" si="45"/>
        <v>-25000</v>
      </c>
      <c r="AG930" s="45">
        <f t="shared" si="46"/>
        <v>-27500.000000000004</v>
      </c>
      <c r="AH930" s="55"/>
    </row>
    <row r="931" spans="1:34" x14ac:dyDescent="0.25">
      <c r="A931" t="s">
        <v>3707</v>
      </c>
      <c r="B931" t="s">
        <v>3708</v>
      </c>
      <c r="C931" t="s">
        <v>3709</v>
      </c>
      <c r="D931" t="s">
        <v>3710</v>
      </c>
      <c r="E931" t="s">
        <v>3711</v>
      </c>
      <c r="F931" t="s">
        <v>3712</v>
      </c>
      <c r="G931" t="s">
        <v>5</v>
      </c>
      <c r="H931" t="s">
        <v>65</v>
      </c>
      <c r="I931" t="s">
        <v>82</v>
      </c>
      <c r="J931" t="s">
        <v>83</v>
      </c>
      <c r="K931" t="s">
        <v>3</v>
      </c>
      <c r="L931" t="s">
        <v>4</v>
      </c>
      <c r="M931" t="s">
        <v>49</v>
      </c>
      <c r="N931" t="s">
        <v>3713</v>
      </c>
      <c r="O931" s="31" t="s">
        <v>3714</v>
      </c>
      <c r="P931">
        <v>220</v>
      </c>
      <c r="R931">
        <v>6</v>
      </c>
      <c r="S931" s="31">
        <v>450000</v>
      </c>
      <c r="T931" s="39">
        <v>480000</v>
      </c>
      <c r="U931">
        <v>75000</v>
      </c>
      <c r="V931">
        <v>48000</v>
      </c>
      <c r="W931">
        <v>0</v>
      </c>
      <c r="X931" s="39">
        <v>146400</v>
      </c>
      <c r="Y931">
        <v>0</v>
      </c>
      <c r="Z931" s="31">
        <v>357000</v>
      </c>
      <c r="AA931">
        <v>8</v>
      </c>
      <c r="AB931" s="3">
        <f t="shared" si="44"/>
        <v>357000</v>
      </c>
      <c r="AC931" t="str">
        <f>IF(AB931-S931&lt;0,"YES","NO")</f>
        <v>YES</v>
      </c>
      <c r="AD931">
        <f>IF(AC931="NO",0,AB931-S931)</f>
        <v>-93000</v>
      </c>
      <c r="AE931" s="43">
        <v>0.08</v>
      </c>
      <c r="AF931" s="3">
        <f t="shared" si="45"/>
        <v>-86111.111111111109</v>
      </c>
      <c r="AG931" s="45">
        <f t="shared" si="46"/>
        <v>-94722.222222222234</v>
      </c>
      <c r="AH931" s="55"/>
    </row>
    <row r="932" spans="1:34" x14ac:dyDescent="0.25">
      <c r="A932" t="s">
        <v>3715</v>
      </c>
      <c r="B932" t="s">
        <v>3716</v>
      </c>
      <c r="C932" t="s">
        <v>3717</v>
      </c>
      <c r="D932" t="s">
        <v>3718</v>
      </c>
      <c r="E932" t="s">
        <v>3719</v>
      </c>
      <c r="F932" t="s">
        <v>3720</v>
      </c>
      <c r="G932" t="s">
        <v>5</v>
      </c>
      <c r="H932" t="s">
        <v>65</v>
      </c>
      <c r="I932" t="s">
        <v>66</v>
      </c>
      <c r="J932" t="s">
        <v>67</v>
      </c>
      <c r="K932" t="s">
        <v>3</v>
      </c>
      <c r="L932" t="s">
        <v>4</v>
      </c>
      <c r="M932" t="s">
        <v>49</v>
      </c>
      <c r="N932" t="s">
        <v>3721</v>
      </c>
      <c r="O932" s="31" t="s">
        <v>3722</v>
      </c>
      <c r="P932">
        <v>220</v>
      </c>
      <c r="R932">
        <v>2</v>
      </c>
      <c r="S932" s="31">
        <v>150000</v>
      </c>
      <c r="T932" s="39">
        <v>160000</v>
      </c>
      <c r="U932">
        <v>20000</v>
      </c>
      <c r="V932">
        <v>17000</v>
      </c>
      <c r="W932">
        <v>0</v>
      </c>
      <c r="X932" s="39">
        <v>38450</v>
      </c>
      <c r="Y932">
        <v>0</v>
      </c>
      <c r="Z932" s="31">
        <v>123000</v>
      </c>
      <c r="AA932">
        <v>8</v>
      </c>
      <c r="AB932" s="3">
        <f t="shared" si="44"/>
        <v>123000</v>
      </c>
      <c r="AC932" t="str">
        <f>IF(AB932-S932&lt;0,"YES","NO")</f>
        <v>YES</v>
      </c>
      <c r="AD932">
        <f>IF(AC932="NO",0,AB932-S932)</f>
        <v>-27000</v>
      </c>
      <c r="AE932" s="43">
        <v>0.08</v>
      </c>
      <c r="AF932" s="3">
        <f t="shared" si="45"/>
        <v>-25000</v>
      </c>
      <c r="AG932" s="45">
        <f t="shared" si="46"/>
        <v>-27500.000000000004</v>
      </c>
      <c r="AH932" s="55"/>
    </row>
    <row r="933" spans="1:34" x14ac:dyDescent="0.25">
      <c r="A933" t="s">
        <v>3723</v>
      </c>
      <c r="B933" t="s">
        <v>3724</v>
      </c>
      <c r="C933" t="s">
        <v>3725</v>
      </c>
      <c r="D933" t="s">
        <v>3726</v>
      </c>
      <c r="E933" t="s">
        <v>3727</v>
      </c>
      <c r="F933" t="s">
        <v>3728</v>
      </c>
      <c r="G933" t="s">
        <v>5</v>
      </c>
      <c r="H933" t="s">
        <v>61</v>
      </c>
      <c r="I933" t="s">
        <v>75</v>
      </c>
      <c r="J933" t="s">
        <v>76</v>
      </c>
      <c r="K933" t="s">
        <v>3</v>
      </c>
      <c r="L933" t="s">
        <v>4</v>
      </c>
      <c r="M933" t="s">
        <v>49</v>
      </c>
      <c r="N933" t="s">
        <v>3729</v>
      </c>
      <c r="O933" s="31" t="s">
        <v>3730</v>
      </c>
      <c r="P933">
        <v>20</v>
      </c>
      <c r="Q933" t="s">
        <v>77</v>
      </c>
      <c r="R933">
        <v>1</v>
      </c>
      <c r="S933" s="31">
        <v>0</v>
      </c>
      <c r="T933" s="39">
        <v>0</v>
      </c>
      <c r="U933">
        <v>0</v>
      </c>
      <c r="V933">
        <v>0</v>
      </c>
      <c r="W933">
        <v>0</v>
      </c>
      <c r="X933" s="39">
        <v>0</v>
      </c>
      <c r="Y933">
        <v>0</v>
      </c>
      <c r="Z933" s="31">
        <v>0</v>
      </c>
      <c r="AA933">
        <v>8</v>
      </c>
      <c r="AB933" s="3">
        <f t="shared" si="44"/>
        <v>0</v>
      </c>
      <c r="AC933" t="str">
        <f>IF(AB933-S933&lt;0,"YES","NO")</f>
        <v>NO</v>
      </c>
      <c r="AD933">
        <f>IF(AC933="NO",0,AB933-S933)</f>
        <v>0</v>
      </c>
      <c r="AE933" s="43">
        <v>0.08</v>
      </c>
      <c r="AF933" s="3">
        <f t="shared" si="45"/>
        <v>0</v>
      </c>
      <c r="AG933" s="45">
        <f t="shared" si="46"/>
        <v>0</v>
      </c>
      <c r="AH933" s="55"/>
    </row>
    <row r="934" spans="1:34" x14ac:dyDescent="0.25">
      <c r="A934" t="s">
        <v>3723</v>
      </c>
      <c r="B934" t="s">
        <v>3724</v>
      </c>
      <c r="C934" t="s">
        <v>3725</v>
      </c>
      <c r="D934" t="s">
        <v>3726</v>
      </c>
      <c r="E934" t="s">
        <v>3727</v>
      </c>
      <c r="F934" t="s">
        <v>3728</v>
      </c>
      <c r="G934" t="s">
        <v>5</v>
      </c>
      <c r="H934" t="s">
        <v>65</v>
      </c>
      <c r="I934" t="s">
        <v>66</v>
      </c>
      <c r="J934" t="s">
        <v>67</v>
      </c>
      <c r="K934" t="s">
        <v>3</v>
      </c>
      <c r="L934" t="s">
        <v>4</v>
      </c>
      <c r="M934" t="s">
        <v>49</v>
      </c>
      <c r="N934" t="s">
        <v>3729</v>
      </c>
      <c r="O934" s="31" t="s">
        <v>3730</v>
      </c>
      <c r="P934">
        <v>220</v>
      </c>
      <c r="R934">
        <v>6</v>
      </c>
      <c r="S934" s="31">
        <v>450000</v>
      </c>
      <c r="T934" s="39">
        <v>480000</v>
      </c>
      <c r="U934">
        <v>75000</v>
      </c>
      <c r="V934">
        <v>48000</v>
      </c>
      <c r="W934">
        <v>0</v>
      </c>
      <c r="X934" s="39">
        <v>146400</v>
      </c>
      <c r="Y934">
        <v>0</v>
      </c>
      <c r="Z934" s="31">
        <v>357000</v>
      </c>
      <c r="AA934">
        <v>8</v>
      </c>
      <c r="AB934" s="3">
        <f t="shared" si="44"/>
        <v>357000</v>
      </c>
      <c r="AC934" t="str">
        <f>IF(AB934-S934&lt;0,"YES","NO")</f>
        <v>YES</v>
      </c>
      <c r="AD934">
        <f>IF(AC934="NO",0,AB934-S934)</f>
        <v>-93000</v>
      </c>
      <c r="AE934" s="43">
        <v>0.08</v>
      </c>
      <c r="AF934" s="3">
        <f t="shared" si="45"/>
        <v>-86111.111111111109</v>
      </c>
      <c r="AG934" s="45">
        <f t="shared" si="46"/>
        <v>-94722.222222222234</v>
      </c>
      <c r="AH934" s="55"/>
    </row>
    <row r="935" spans="1:34" x14ac:dyDescent="0.25">
      <c r="A935" t="s">
        <v>3731</v>
      </c>
      <c r="B935" t="s">
        <v>3732</v>
      </c>
      <c r="C935" t="s">
        <v>3733</v>
      </c>
      <c r="D935" t="s">
        <v>3734</v>
      </c>
      <c r="E935" t="s">
        <v>3735</v>
      </c>
      <c r="F935" t="s">
        <v>3711</v>
      </c>
      <c r="G935" t="s">
        <v>5</v>
      </c>
      <c r="H935" t="s">
        <v>65</v>
      </c>
      <c r="I935" t="s">
        <v>68</v>
      </c>
      <c r="J935" t="s">
        <v>69</v>
      </c>
      <c r="K935" t="s">
        <v>3</v>
      </c>
      <c r="L935" t="s">
        <v>4</v>
      </c>
      <c r="M935" t="s">
        <v>49</v>
      </c>
      <c r="N935" t="s">
        <v>3736</v>
      </c>
      <c r="O935" s="31" t="s">
        <v>3737</v>
      </c>
      <c r="P935">
        <v>220</v>
      </c>
      <c r="Q935" t="s">
        <v>70</v>
      </c>
      <c r="R935">
        <v>1</v>
      </c>
      <c r="S935" s="31">
        <v>59000</v>
      </c>
      <c r="T935" s="39">
        <v>65000</v>
      </c>
      <c r="U935">
        <v>11666.67</v>
      </c>
      <c r="V935">
        <v>6500</v>
      </c>
      <c r="W935">
        <v>0</v>
      </c>
      <c r="X935" s="39">
        <v>21033.33</v>
      </c>
      <c r="Y935">
        <v>0</v>
      </c>
      <c r="Z935" s="31">
        <v>46833.33</v>
      </c>
      <c r="AA935">
        <v>8</v>
      </c>
      <c r="AB935" s="3">
        <f t="shared" si="44"/>
        <v>46833.33</v>
      </c>
      <c r="AC935" t="str">
        <f>IF(AB935-S935&lt;0,"YES","NO")</f>
        <v>YES</v>
      </c>
      <c r="AD935">
        <f>IF(AC935="NO",0,AB935-S935)</f>
        <v>-12166.669999999998</v>
      </c>
      <c r="AE935" s="43">
        <v>0.08</v>
      </c>
      <c r="AF935" s="3">
        <f t="shared" si="45"/>
        <v>-11265.435185185182</v>
      </c>
      <c r="AG935" s="45">
        <f t="shared" si="46"/>
        <v>-12391.978703703702</v>
      </c>
      <c r="AH935" s="55"/>
    </row>
    <row r="936" spans="1:34" x14ac:dyDescent="0.25">
      <c r="A936" t="s">
        <v>3731</v>
      </c>
      <c r="B936" t="s">
        <v>3732</v>
      </c>
      <c r="C936" t="s">
        <v>3733</v>
      </c>
      <c r="D936" t="s">
        <v>3734</v>
      </c>
      <c r="E936" t="s">
        <v>3735</v>
      </c>
      <c r="F936" t="s">
        <v>3711</v>
      </c>
      <c r="G936" t="s">
        <v>5</v>
      </c>
      <c r="H936" t="s">
        <v>65</v>
      </c>
      <c r="I936" t="s">
        <v>71</v>
      </c>
      <c r="J936" t="s">
        <v>72</v>
      </c>
      <c r="K936" t="s">
        <v>3</v>
      </c>
      <c r="L936" t="s">
        <v>4</v>
      </c>
      <c r="M936" t="s">
        <v>49</v>
      </c>
      <c r="N936" t="s">
        <v>3736</v>
      </c>
      <c r="O936" s="31" t="s">
        <v>3737</v>
      </c>
      <c r="P936">
        <v>220</v>
      </c>
      <c r="Q936" t="s">
        <v>70</v>
      </c>
      <c r="R936">
        <v>1</v>
      </c>
      <c r="S936" s="31">
        <v>59000</v>
      </c>
      <c r="T936" s="39">
        <v>65000</v>
      </c>
      <c r="U936">
        <v>11666.67</v>
      </c>
      <c r="V936">
        <v>6500</v>
      </c>
      <c r="W936">
        <v>0</v>
      </c>
      <c r="X936" s="39">
        <v>21033.33</v>
      </c>
      <c r="Y936">
        <v>0</v>
      </c>
      <c r="Z936" s="31">
        <v>46833.33</v>
      </c>
      <c r="AA936">
        <v>8</v>
      </c>
      <c r="AB936" s="3">
        <f t="shared" si="44"/>
        <v>46833.33</v>
      </c>
      <c r="AC936" t="str">
        <f>IF(AB936-S936&lt;0,"YES","NO")</f>
        <v>YES</v>
      </c>
      <c r="AD936">
        <f>IF(AC936="NO",0,AB936-S936)</f>
        <v>-12166.669999999998</v>
      </c>
      <c r="AE936" s="43">
        <v>0.08</v>
      </c>
      <c r="AF936" s="3">
        <f t="shared" si="45"/>
        <v>-11265.435185185182</v>
      </c>
      <c r="AG936" s="45">
        <f t="shared" si="46"/>
        <v>-12391.978703703702</v>
      </c>
      <c r="AH936" s="55"/>
    </row>
    <row r="937" spans="1:34" x14ac:dyDescent="0.25">
      <c r="A937" t="s">
        <v>3731</v>
      </c>
      <c r="B937" t="s">
        <v>3732</v>
      </c>
      <c r="C937" t="s">
        <v>3733</v>
      </c>
      <c r="D937" t="s">
        <v>3734</v>
      </c>
      <c r="E937" t="s">
        <v>3735</v>
      </c>
      <c r="F937" t="s">
        <v>3711</v>
      </c>
      <c r="G937" t="s">
        <v>5</v>
      </c>
      <c r="H937" t="s">
        <v>65</v>
      </c>
      <c r="I937" t="s">
        <v>73</v>
      </c>
      <c r="J937" t="s">
        <v>74</v>
      </c>
      <c r="K937" t="s">
        <v>3</v>
      </c>
      <c r="L937" t="s">
        <v>4</v>
      </c>
      <c r="M937" t="s">
        <v>49</v>
      </c>
      <c r="N937" t="s">
        <v>3736</v>
      </c>
      <c r="O937" s="31" t="s">
        <v>3737</v>
      </c>
      <c r="P937">
        <v>220</v>
      </c>
      <c r="Q937" t="s">
        <v>70</v>
      </c>
      <c r="R937">
        <v>1</v>
      </c>
      <c r="S937" s="31">
        <v>59000</v>
      </c>
      <c r="T937" s="39">
        <v>65000</v>
      </c>
      <c r="U937">
        <v>11666.67</v>
      </c>
      <c r="V937">
        <v>6500</v>
      </c>
      <c r="W937">
        <v>0</v>
      </c>
      <c r="X937" s="39">
        <v>21033.33</v>
      </c>
      <c r="Y937">
        <v>0</v>
      </c>
      <c r="Z937" s="31">
        <v>46833.33</v>
      </c>
      <c r="AA937">
        <v>8</v>
      </c>
      <c r="AB937" s="3">
        <f t="shared" si="44"/>
        <v>46833.33</v>
      </c>
      <c r="AC937" t="str">
        <f>IF(AB937-S937&lt;0,"YES","NO")</f>
        <v>YES</v>
      </c>
      <c r="AD937">
        <f>IF(AC937="NO",0,AB937-S937)</f>
        <v>-12166.669999999998</v>
      </c>
      <c r="AE937" s="43">
        <v>0.08</v>
      </c>
      <c r="AF937" s="3">
        <f t="shared" si="45"/>
        <v>-11265.435185185182</v>
      </c>
      <c r="AG937" s="45">
        <f t="shared" si="46"/>
        <v>-12391.978703703702</v>
      </c>
      <c r="AH937" s="55"/>
    </row>
    <row r="938" spans="1:34" x14ac:dyDescent="0.25">
      <c r="A938" t="s">
        <v>3738</v>
      </c>
      <c r="B938" t="s">
        <v>3732</v>
      </c>
      <c r="C938" t="s">
        <v>3739</v>
      </c>
      <c r="D938" t="s">
        <v>3740</v>
      </c>
      <c r="E938" t="s">
        <v>3741</v>
      </c>
      <c r="F938" t="s">
        <v>3742</v>
      </c>
      <c r="G938" t="s">
        <v>5</v>
      </c>
      <c r="H938" t="s">
        <v>65</v>
      </c>
      <c r="I938" t="s">
        <v>112</v>
      </c>
      <c r="J938" t="s">
        <v>113</v>
      </c>
      <c r="K938" t="s">
        <v>3</v>
      </c>
      <c r="L938" t="s">
        <v>4</v>
      </c>
      <c r="M938" t="s">
        <v>49</v>
      </c>
      <c r="N938" t="s">
        <v>3743</v>
      </c>
      <c r="O938" s="31" t="s">
        <v>3744</v>
      </c>
      <c r="P938">
        <v>20</v>
      </c>
      <c r="Q938" t="s">
        <v>114</v>
      </c>
      <c r="R938">
        <v>1</v>
      </c>
      <c r="S938" s="31">
        <v>0</v>
      </c>
      <c r="T938" s="39">
        <v>0</v>
      </c>
      <c r="U938">
        <v>0</v>
      </c>
      <c r="V938">
        <v>0</v>
      </c>
      <c r="W938">
        <v>0</v>
      </c>
      <c r="X938" s="39">
        <v>0</v>
      </c>
      <c r="Y938">
        <v>0</v>
      </c>
      <c r="Z938" s="31">
        <v>0</v>
      </c>
      <c r="AA938">
        <v>8</v>
      </c>
      <c r="AB938" s="3">
        <f t="shared" si="44"/>
        <v>0</v>
      </c>
      <c r="AC938" t="str">
        <f>IF(AB938-S938&lt;0,"YES","NO")</f>
        <v>NO</v>
      </c>
      <c r="AD938">
        <f>IF(AC938="NO",0,AB938-S938)</f>
        <v>0</v>
      </c>
      <c r="AE938" s="43">
        <v>0.08</v>
      </c>
      <c r="AF938" s="3">
        <f t="shared" si="45"/>
        <v>0</v>
      </c>
      <c r="AG938" s="45">
        <f t="shared" si="46"/>
        <v>0</v>
      </c>
      <c r="AH938" s="55"/>
    </row>
    <row r="939" spans="1:34" x14ac:dyDescent="0.25">
      <c r="A939" t="s">
        <v>3738</v>
      </c>
      <c r="B939" t="s">
        <v>3732</v>
      </c>
      <c r="C939" t="s">
        <v>3739</v>
      </c>
      <c r="D939" t="s">
        <v>3740</v>
      </c>
      <c r="E939" t="s">
        <v>3741</v>
      </c>
      <c r="F939" t="s">
        <v>3742</v>
      </c>
      <c r="G939" t="s">
        <v>5</v>
      </c>
      <c r="H939" t="s">
        <v>65</v>
      </c>
      <c r="I939" t="s">
        <v>73</v>
      </c>
      <c r="J939" t="s">
        <v>74</v>
      </c>
      <c r="K939" t="s">
        <v>3</v>
      </c>
      <c r="L939" t="s">
        <v>4</v>
      </c>
      <c r="M939" t="s">
        <v>49</v>
      </c>
      <c r="N939" t="s">
        <v>3743</v>
      </c>
      <c r="O939" s="31" t="s">
        <v>3744</v>
      </c>
      <c r="P939">
        <v>220</v>
      </c>
      <c r="Q939" t="s">
        <v>70</v>
      </c>
      <c r="R939">
        <v>6</v>
      </c>
      <c r="S939" s="31">
        <v>354000</v>
      </c>
      <c r="T939" s="39">
        <v>390000</v>
      </c>
      <c r="U939">
        <v>75000</v>
      </c>
      <c r="V939">
        <v>40000.019999999997</v>
      </c>
      <c r="W939">
        <v>0</v>
      </c>
      <c r="X939" s="39">
        <v>118999.98</v>
      </c>
      <c r="Y939">
        <v>0</v>
      </c>
      <c r="Z939" s="31">
        <v>274999.98</v>
      </c>
      <c r="AA939">
        <v>8</v>
      </c>
      <c r="AB939" s="3">
        <f t="shared" si="44"/>
        <v>274999.98</v>
      </c>
      <c r="AC939" t="str">
        <f>IF(AB939-S939&lt;0,"YES","NO")</f>
        <v>YES</v>
      </c>
      <c r="AD939">
        <f>IF(AC939="NO",0,AB939-S939)</f>
        <v>-79000.020000000019</v>
      </c>
      <c r="AE939" s="43">
        <v>0.08</v>
      </c>
      <c r="AF939" s="3">
        <f t="shared" si="45"/>
        <v>-73148.166666666686</v>
      </c>
      <c r="AG939" s="45">
        <f t="shared" si="46"/>
        <v>-80462.983333333366</v>
      </c>
      <c r="AH939" s="55"/>
    </row>
    <row r="940" spans="1:34" x14ac:dyDescent="0.25">
      <c r="A940" t="s">
        <v>3745</v>
      </c>
      <c r="B940" t="s">
        <v>3746</v>
      </c>
      <c r="C940" t="s">
        <v>3747</v>
      </c>
      <c r="D940" t="s">
        <v>3748</v>
      </c>
      <c r="E940" t="s">
        <v>3749</v>
      </c>
      <c r="F940" t="s">
        <v>3750</v>
      </c>
      <c r="G940" t="s">
        <v>5</v>
      </c>
      <c r="H940" t="s">
        <v>65</v>
      </c>
      <c r="I940" t="s">
        <v>82</v>
      </c>
      <c r="J940" t="s">
        <v>83</v>
      </c>
      <c r="K940" t="s">
        <v>3</v>
      </c>
      <c r="L940" t="s">
        <v>4</v>
      </c>
      <c r="M940" t="s">
        <v>49</v>
      </c>
      <c r="N940" t="s">
        <v>3751</v>
      </c>
      <c r="O940" s="31" t="s">
        <v>3752</v>
      </c>
      <c r="P940">
        <v>220</v>
      </c>
      <c r="R940">
        <v>2</v>
      </c>
      <c r="S940" s="31">
        <v>150000</v>
      </c>
      <c r="T940" s="39">
        <v>160000</v>
      </c>
      <c r="U940">
        <v>20000</v>
      </c>
      <c r="V940">
        <v>16000</v>
      </c>
      <c r="W940">
        <v>0</v>
      </c>
      <c r="X940" s="39">
        <v>120000</v>
      </c>
      <c r="Y940">
        <v>0</v>
      </c>
      <c r="Z940" s="31">
        <v>124000</v>
      </c>
      <c r="AA940">
        <v>8</v>
      </c>
      <c r="AB940" s="3">
        <f t="shared" si="44"/>
        <v>124000</v>
      </c>
      <c r="AC940" t="str">
        <f>IF(AB940-S940&lt;0,"YES","NO")</f>
        <v>YES</v>
      </c>
      <c r="AD940">
        <f>IF(AC940="NO",0,AB940-S940)</f>
        <v>-26000</v>
      </c>
      <c r="AE940" s="43">
        <v>0.08</v>
      </c>
      <c r="AF940" s="3">
        <f t="shared" si="45"/>
        <v>-24074.074074074073</v>
      </c>
      <c r="AG940" s="45">
        <f t="shared" si="46"/>
        <v>-26481.481481481482</v>
      </c>
      <c r="AH940" s="55"/>
    </row>
    <row r="941" spans="1:34" x14ac:dyDescent="0.25">
      <c r="A941" t="s">
        <v>3753</v>
      </c>
      <c r="B941" t="s">
        <v>3754</v>
      </c>
      <c r="C941" t="s">
        <v>3755</v>
      </c>
      <c r="D941" t="s">
        <v>3756</v>
      </c>
      <c r="E941" t="s">
        <v>3757</v>
      </c>
      <c r="F941" t="s">
        <v>3758</v>
      </c>
      <c r="G941" t="s">
        <v>5</v>
      </c>
      <c r="H941" t="s">
        <v>65</v>
      </c>
      <c r="I941" t="s">
        <v>106</v>
      </c>
      <c r="J941" t="s">
        <v>107</v>
      </c>
      <c r="K941" t="s">
        <v>3</v>
      </c>
      <c r="L941" t="s">
        <v>4</v>
      </c>
      <c r="M941" t="s">
        <v>49</v>
      </c>
      <c r="N941" t="s">
        <v>3759</v>
      </c>
      <c r="O941" s="31" t="s">
        <v>3760</v>
      </c>
      <c r="P941">
        <v>20</v>
      </c>
      <c r="Q941" t="s">
        <v>108</v>
      </c>
      <c r="R941">
        <v>1</v>
      </c>
      <c r="S941" s="31">
        <v>0</v>
      </c>
      <c r="T941" s="39">
        <v>0</v>
      </c>
      <c r="U941">
        <v>0</v>
      </c>
      <c r="V941">
        <v>0</v>
      </c>
      <c r="W941">
        <v>0</v>
      </c>
      <c r="X941" s="39">
        <v>0</v>
      </c>
      <c r="Y941">
        <v>0</v>
      </c>
      <c r="Z941" s="31">
        <v>0</v>
      </c>
      <c r="AA941">
        <v>8</v>
      </c>
      <c r="AB941" s="3">
        <f t="shared" si="44"/>
        <v>0</v>
      </c>
      <c r="AC941" t="str">
        <f>IF(AB941-S941&lt;0,"YES","NO")</f>
        <v>NO</v>
      </c>
      <c r="AD941">
        <f>IF(AC941="NO",0,AB941-S941)</f>
        <v>0</v>
      </c>
      <c r="AE941" s="43">
        <v>0.08</v>
      </c>
      <c r="AF941" s="3">
        <f t="shared" si="45"/>
        <v>0</v>
      </c>
      <c r="AG941" s="45">
        <f t="shared" si="46"/>
        <v>0</v>
      </c>
      <c r="AH941" s="55"/>
    </row>
    <row r="942" spans="1:34" x14ac:dyDescent="0.25">
      <c r="A942" t="s">
        <v>3753</v>
      </c>
      <c r="B942" t="s">
        <v>3754</v>
      </c>
      <c r="C942" t="s">
        <v>3755</v>
      </c>
      <c r="D942" t="s">
        <v>3756</v>
      </c>
      <c r="E942" t="s">
        <v>3757</v>
      </c>
      <c r="F942" t="s">
        <v>3758</v>
      </c>
      <c r="G942" t="s">
        <v>5</v>
      </c>
      <c r="H942" t="s">
        <v>65</v>
      </c>
      <c r="I942" t="s">
        <v>82</v>
      </c>
      <c r="J942" t="s">
        <v>83</v>
      </c>
      <c r="K942" t="s">
        <v>3</v>
      </c>
      <c r="L942" t="s">
        <v>4</v>
      </c>
      <c r="M942" t="s">
        <v>49</v>
      </c>
      <c r="N942" t="s">
        <v>3759</v>
      </c>
      <c r="O942" s="31" t="s">
        <v>3760</v>
      </c>
      <c r="P942">
        <v>220</v>
      </c>
      <c r="R942">
        <v>6</v>
      </c>
      <c r="S942" s="31">
        <v>450000</v>
      </c>
      <c r="T942" s="39">
        <v>480000</v>
      </c>
      <c r="U942">
        <v>75000</v>
      </c>
      <c r="V942">
        <v>48000</v>
      </c>
      <c r="W942">
        <v>0</v>
      </c>
      <c r="X942" s="39">
        <v>128550</v>
      </c>
      <c r="Y942">
        <v>0</v>
      </c>
      <c r="Z942" s="31">
        <v>357000</v>
      </c>
      <c r="AA942">
        <v>8</v>
      </c>
      <c r="AB942" s="3">
        <f t="shared" si="44"/>
        <v>357000</v>
      </c>
      <c r="AC942" t="str">
        <f>IF(AB942-S942&lt;0,"YES","NO")</f>
        <v>YES</v>
      </c>
      <c r="AD942">
        <f>IF(AC942="NO",0,AB942-S942)</f>
        <v>-93000</v>
      </c>
      <c r="AE942" s="43">
        <v>0.08</v>
      </c>
      <c r="AF942" s="3">
        <f t="shared" si="45"/>
        <v>-86111.111111111109</v>
      </c>
      <c r="AG942" s="45">
        <f t="shared" si="46"/>
        <v>-94722.222222222234</v>
      </c>
      <c r="AH942" s="55"/>
    </row>
    <row r="943" spans="1:34" x14ac:dyDescent="0.25">
      <c r="A943" t="s">
        <v>3761</v>
      </c>
      <c r="B943" t="s">
        <v>3762</v>
      </c>
      <c r="C943" t="s">
        <v>3763</v>
      </c>
      <c r="D943" t="s">
        <v>3764</v>
      </c>
      <c r="E943" t="s">
        <v>3765</v>
      </c>
      <c r="F943" t="s">
        <v>3766</v>
      </c>
      <c r="G943" t="s">
        <v>5</v>
      </c>
      <c r="H943" t="s">
        <v>65</v>
      </c>
      <c r="I943" t="s">
        <v>66</v>
      </c>
      <c r="J943" t="s">
        <v>67</v>
      </c>
      <c r="K943" t="s">
        <v>3</v>
      </c>
      <c r="L943" t="s">
        <v>4</v>
      </c>
      <c r="M943" t="s">
        <v>49</v>
      </c>
      <c r="N943" t="s">
        <v>3767</v>
      </c>
      <c r="O943" s="31" t="s">
        <v>3768</v>
      </c>
      <c r="P943">
        <v>220</v>
      </c>
      <c r="R943">
        <v>2</v>
      </c>
      <c r="S943" s="31">
        <v>150000</v>
      </c>
      <c r="T943" s="39">
        <v>160000</v>
      </c>
      <c r="U943">
        <v>20000</v>
      </c>
      <c r="V943">
        <v>16000</v>
      </c>
      <c r="W943">
        <v>0</v>
      </c>
      <c r="X943" s="39">
        <v>120000</v>
      </c>
      <c r="Y943">
        <v>0</v>
      </c>
      <c r="Z943" s="31">
        <v>124000</v>
      </c>
      <c r="AA943">
        <v>8</v>
      </c>
      <c r="AB943" s="3">
        <f t="shared" si="44"/>
        <v>124000</v>
      </c>
      <c r="AC943" t="str">
        <f>IF(AB943-S943&lt;0,"YES","NO")</f>
        <v>YES</v>
      </c>
      <c r="AD943">
        <f>IF(AC943="NO",0,AB943-S943)</f>
        <v>-26000</v>
      </c>
      <c r="AE943" s="43">
        <v>0.08</v>
      </c>
      <c r="AF943" s="3">
        <f t="shared" si="45"/>
        <v>-24074.074074074073</v>
      </c>
      <c r="AG943" s="45">
        <f t="shared" si="46"/>
        <v>-26481.481481481482</v>
      </c>
      <c r="AH943" s="55"/>
    </row>
    <row r="944" spans="1:34" x14ac:dyDescent="0.25">
      <c r="A944" t="s">
        <v>3769</v>
      </c>
      <c r="B944" t="s">
        <v>3770</v>
      </c>
      <c r="C944" t="s">
        <v>3771</v>
      </c>
      <c r="D944" t="s">
        <v>3772</v>
      </c>
      <c r="E944" t="s">
        <v>3773</v>
      </c>
      <c r="F944" t="s">
        <v>3774</v>
      </c>
      <c r="G944" t="s">
        <v>5</v>
      </c>
      <c r="H944" t="s">
        <v>61</v>
      </c>
      <c r="I944" t="s">
        <v>84</v>
      </c>
      <c r="J944" t="s">
        <v>85</v>
      </c>
      <c r="K944" t="s">
        <v>3</v>
      </c>
      <c r="L944" t="s">
        <v>4</v>
      </c>
      <c r="M944" t="s">
        <v>49</v>
      </c>
      <c r="N944" t="s">
        <v>3775</v>
      </c>
      <c r="O944" s="31" t="s">
        <v>3776</v>
      </c>
      <c r="P944">
        <v>100</v>
      </c>
      <c r="Q944" t="s">
        <v>86</v>
      </c>
      <c r="R944">
        <v>1</v>
      </c>
      <c r="S944" s="31">
        <v>0</v>
      </c>
      <c r="T944" s="39">
        <v>0</v>
      </c>
      <c r="U944">
        <v>0</v>
      </c>
      <c r="V944">
        <v>0</v>
      </c>
      <c r="W944">
        <v>0</v>
      </c>
      <c r="X944" s="39">
        <v>0</v>
      </c>
      <c r="Y944">
        <v>0</v>
      </c>
      <c r="Z944" s="31">
        <v>0</v>
      </c>
      <c r="AA944">
        <v>8</v>
      </c>
      <c r="AB944" s="3">
        <f t="shared" si="44"/>
        <v>0</v>
      </c>
      <c r="AC944" t="str">
        <f>IF(AB944-S944&lt;0,"YES","NO")</f>
        <v>NO</v>
      </c>
      <c r="AD944">
        <f>IF(AC944="NO",0,AB944-S944)</f>
        <v>0</v>
      </c>
      <c r="AE944" s="43">
        <v>0.08</v>
      </c>
      <c r="AF944" s="3">
        <f t="shared" si="45"/>
        <v>0</v>
      </c>
      <c r="AG944" s="45">
        <f t="shared" si="46"/>
        <v>0</v>
      </c>
      <c r="AH944" s="55"/>
    </row>
    <row r="945" spans="1:34" x14ac:dyDescent="0.25">
      <c r="A945" t="s">
        <v>3769</v>
      </c>
      <c r="B945" t="s">
        <v>3770</v>
      </c>
      <c r="C945" t="s">
        <v>3771</v>
      </c>
      <c r="D945" t="s">
        <v>3772</v>
      </c>
      <c r="E945" t="s">
        <v>3773</v>
      </c>
      <c r="F945" t="s">
        <v>3774</v>
      </c>
      <c r="G945" t="s">
        <v>5</v>
      </c>
      <c r="H945" t="s">
        <v>61</v>
      </c>
      <c r="I945" t="s">
        <v>84</v>
      </c>
      <c r="J945" t="s">
        <v>85</v>
      </c>
      <c r="K945" t="s">
        <v>3</v>
      </c>
      <c r="L945" t="s">
        <v>4</v>
      </c>
      <c r="M945" t="s">
        <v>49</v>
      </c>
      <c r="N945" t="s">
        <v>3775</v>
      </c>
      <c r="O945" s="31" t="s">
        <v>3776</v>
      </c>
      <c r="P945">
        <v>100</v>
      </c>
      <c r="Q945" t="s">
        <v>86</v>
      </c>
      <c r="R945">
        <v>1</v>
      </c>
      <c r="S945" s="31">
        <v>0</v>
      </c>
      <c r="T945" s="39">
        <v>0</v>
      </c>
      <c r="U945">
        <v>0</v>
      </c>
      <c r="V945">
        <v>0</v>
      </c>
      <c r="W945">
        <v>0</v>
      </c>
      <c r="X945" s="39">
        <v>0</v>
      </c>
      <c r="Y945">
        <v>0</v>
      </c>
      <c r="Z945" s="31">
        <v>0</v>
      </c>
      <c r="AA945">
        <v>8</v>
      </c>
      <c r="AB945" s="3">
        <f t="shared" si="44"/>
        <v>0</v>
      </c>
      <c r="AC945" t="str">
        <f>IF(AB945-S945&lt;0,"YES","NO")</f>
        <v>NO</v>
      </c>
      <c r="AD945">
        <f>IF(AC945="NO",0,AB945-S945)</f>
        <v>0</v>
      </c>
      <c r="AE945" s="43">
        <v>0.08</v>
      </c>
      <c r="AF945" s="3">
        <f t="shared" si="45"/>
        <v>0</v>
      </c>
      <c r="AG945" s="45">
        <f t="shared" si="46"/>
        <v>0</v>
      </c>
      <c r="AH945" s="55"/>
    </row>
    <row r="946" spans="1:34" x14ac:dyDescent="0.25">
      <c r="A946" t="s">
        <v>3769</v>
      </c>
      <c r="B946" t="s">
        <v>3770</v>
      </c>
      <c r="C946" t="s">
        <v>3771</v>
      </c>
      <c r="D946" t="s">
        <v>3772</v>
      </c>
      <c r="E946" t="s">
        <v>3773</v>
      </c>
      <c r="F946" t="s">
        <v>3774</v>
      </c>
      <c r="G946" t="s">
        <v>5</v>
      </c>
      <c r="H946" t="s">
        <v>65</v>
      </c>
      <c r="I946" t="s">
        <v>87</v>
      </c>
      <c r="J946" t="s">
        <v>88</v>
      </c>
      <c r="K946" t="s">
        <v>3</v>
      </c>
      <c r="L946" t="s">
        <v>4</v>
      </c>
      <c r="M946" t="s">
        <v>49</v>
      </c>
      <c r="N946" t="s">
        <v>3775</v>
      </c>
      <c r="O946" s="31" t="s">
        <v>3776</v>
      </c>
      <c r="P946">
        <v>220</v>
      </c>
      <c r="Q946" t="s">
        <v>89</v>
      </c>
      <c r="R946">
        <v>1</v>
      </c>
      <c r="S946" s="31">
        <v>59000</v>
      </c>
      <c r="T946" s="39">
        <v>70000</v>
      </c>
      <c r="U946">
        <v>0</v>
      </c>
      <c r="V946">
        <v>7000</v>
      </c>
      <c r="W946">
        <v>0</v>
      </c>
      <c r="X946" s="39">
        <v>10080</v>
      </c>
      <c r="Y946">
        <v>0</v>
      </c>
      <c r="Z946" s="31">
        <v>63000</v>
      </c>
      <c r="AA946">
        <v>8</v>
      </c>
      <c r="AB946" s="3">
        <f t="shared" si="44"/>
        <v>63000</v>
      </c>
      <c r="AC946" t="str">
        <f>IF(AB946-S946&lt;0,"YES","NO")</f>
        <v>NO</v>
      </c>
      <c r="AD946">
        <f>IF(AC946="NO",0,AB946-S946)</f>
        <v>0</v>
      </c>
      <c r="AE946" s="43">
        <v>0.08</v>
      </c>
      <c r="AF946" s="3">
        <f t="shared" si="45"/>
        <v>0</v>
      </c>
      <c r="AG946" s="45">
        <f t="shared" si="46"/>
        <v>0</v>
      </c>
      <c r="AH946" s="55"/>
    </row>
    <row r="947" spans="1:34" x14ac:dyDescent="0.25">
      <c r="A947" t="s">
        <v>3769</v>
      </c>
      <c r="B947" t="s">
        <v>3770</v>
      </c>
      <c r="C947" t="s">
        <v>3771</v>
      </c>
      <c r="D947" t="s">
        <v>3772</v>
      </c>
      <c r="E947" t="s">
        <v>3773</v>
      </c>
      <c r="F947" t="s">
        <v>3774</v>
      </c>
      <c r="G947" t="s">
        <v>5</v>
      </c>
      <c r="H947" t="s">
        <v>65</v>
      </c>
      <c r="I947" t="s">
        <v>90</v>
      </c>
      <c r="J947" t="s">
        <v>91</v>
      </c>
      <c r="K947" t="s">
        <v>3</v>
      </c>
      <c r="L947" t="s">
        <v>4</v>
      </c>
      <c r="M947" t="s">
        <v>49</v>
      </c>
      <c r="N947" t="s">
        <v>3775</v>
      </c>
      <c r="O947" s="31" t="s">
        <v>3776</v>
      </c>
      <c r="P947">
        <v>220</v>
      </c>
      <c r="Q947" t="s">
        <v>92</v>
      </c>
      <c r="R947">
        <v>1</v>
      </c>
      <c r="S947" s="31">
        <v>59000</v>
      </c>
      <c r="T947" s="39">
        <v>70000</v>
      </c>
      <c r="U947">
        <v>0</v>
      </c>
      <c r="V947">
        <v>7000</v>
      </c>
      <c r="W947">
        <v>0</v>
      </c>
      <c r="X947" s="39">
        <v>10080</v>
      </c>
      <c r="Y947">
        <v>0</v>
      </c>
      <c r="Z947" s="31">
        <v>63000</v>
      </c>
      <c r="AA947">
        <v>8</v>
      </c>
      <c r="AB947" s="3">
        <f t="shared" si="44"/>
        <v>63000</v>
      </c>
      <c r="AC947" t="str">
        <f>IF(AB947-S947&lt;0,"YES","NO")</f>
        <v>NO</v>
      </c>
      <c r="AD947">
        <f>IF(AC947="NO",0,AB947-S947)</f>
        <v>0</v>
      </c>
      <c r="AE947" s="43">
        <v>0.08</v>
      </c>
      <c r="AF947" s="3">
        <f t="shared" si="45"/>
        <v>0</v>
      </c>
      <c r="AG947" s="45">
        <f t="shared" si="46"/>
        <v>0</v>
      </c>
      <c r="AH947" s="55"/>
    </row>
    <row r="948" spans="1:34" x14ac:dyDescent="0.25">
      <c r="A948" t="s">
        <v>3769</v>
      </c>
      <c r="B948" t="s">
        <v>3770</v>
      </c>
      <c r="C948" t="s">
        <v>3771</v>
      </c>
      <c r="D948" t="s">
        <v>3772</v>
      </c>
      <c r="E948" t="s">
        <v>3773</v>
      </c>
      <c r="F948" t="s">
        <v>3774</v>
      </c>
      <c r="G948" t="s">
        <v>5</v>
      </c>
      <c r="H948" t="s">
        <v>65</v>
      </c>
      <c r="I948" t="s">
        <v>66</v>
      </c>
      <c r="J948" t="s">
        <v>67</v>
      </c>
      <c r="K948" t="s">
        <v>3</v>
      </c>
      <c r="L948" t="s">
        <v>4</v>
      </c>
      <c r="M948" t="s">
        <v>49</v>
      </c>
      <c r="N948" t="s">
        <v>3775</v>
      </c>
      <c r="O948" s="31" t="s">
        <v>3776</v>
      </c>
      <c r="P948">
        <v>220</v>
      </c>
      <c r="R948">
        <v>1</v>
      </c>
      <c r="S948" s="31">
        <v>75000</v>
      </c>
      <c r="T948" s="39">
        <v>80000</v>
      </c>
      <c r="U948">
        <v>11666.67</v>
      </c>
      <c r="V948">
        <v>8000</v>
      </c>
      <c r="W948">
        <v>0</v>
      </c>
      <c r="X948" s="39">
        <v>21320</v>
      </c>
      <c r="Y948">
        <v>0</v>
      </c>
      <c r="Z948" s="31">
        <v>60333.33</v>
      </c>
      <c r="AA948">
        <v>8</v>
      </c>
      <c r="AB948" s="3">
        <f t="shared" si="44"/>
        <v>60333.33</v>
      </c>
      <c r="AC948" t="str">
        <f>IF(AB948-S948&lt;0,"YES","NO")</f>
        <v>YES</v>
      </c>
      <c r="AD948">
        <f>IF(AC948="NO",0,AB948-S948)</f>
        <v>-14666.669999999998</v>
      </c>
      <c r="AE948" s="43">
        <v>0.08</v>
      </c>
      <c r="AF948" s="3">
        <f t="shared" si="45"/>
        <v>-13580.249999999998</v>
      </c>
      <c r="AG948" s="45">
        <f t="shared" si="46"/>
        <v>-14938.275</v>
      </c>
      <c r="AH948" s="55"/>
    </row>
    <row r="949" spans="1:34" x14ac:dyDescent="0.25">
      <c r="A949" t="s">
        <v>3769</v>
      </c>
      <c r="B949" t="s">
        <v>3770</v>
      </c>
      <c r="C949" t="s">
        <v>3771</v>
      </c>
      <c r="D949" t="s">
        <v>3772</v>
      </c>
      <c r="E949" t="s">
        <v>3773</v>
      </c>
      <c r="F949" t="s">
        <v>3774</v>
      </c>
      <c r="G949" t="s">
        <v>5</v>
      </c>
      <c r="H949" t="s">
        <v>65</v>
      </c>
      <c r="I949" t="s">
        <v>78</v>
      </c>
      <c r="J949" t="s">
        <v>79</v>
      </c>
      <c r="K949" t="s">
        <v>3</v>
      </c>
      <c r="L949" t="s">
        <v>4</v>
      </c>
      <c r="M949" t="s">
        <v>49</v>
      </c>
      <c r="N949" t="s">
        <v>3775</v>
      </c>
      <c r="O949" s="31" t="s">
        <v>3776</v>
      </c>
      <c r="P949">
        <v>220</v>
      </c>
      <c r="R949">
        <v>1</v>
      </c>
      <c r="S949" s="31">
        <v>75000</v>
      </c>
      <c r="T949" s="39">
        <v>80000</v>
      </c>
      <c r="U949">
        <v>11666.67</v>
      </c>
      <c r="V949">
        <v>8000</v>
      </c>
      <c r="W949">
        <v>0</v>
      </c>
      <c r="X949" s="39">
        <v>21320</v>
      </c>
      <c r="Y949">
        <v>0</v>
      </c>
      <c r="Z949" s="31">
        <v>60333.33</v>
      </c>
      <c r="AA949">
        <v>8</v>
      </c>
      <c r="AB949" s="3">
        <f t="shared" si="44"/>
        <v>60333.33</v>
      </c>
      <c r="AC949" t="str">
        <f>IF(AB949-S949&lt;0,"YES","NO")</f>
        <v>YES</v>
      </c>
      <c r="AD949">
        <f>IF(AC949="NO",0,AB949-S949)</f>
        <v>-14666.669999999998</v>
      </c>
      <c r="AE949" s="43">
        <v>0.08</v>
      </c>
      <c r="AF949" s="3">
        <f t="shared" si="45"/>
        <v>-13580.249999999998</v>
      </c>
      <c r="AG949" s="45">
        <f t="shared" si="46"/>
        <v>-14938.275</v>
      </c>
      <c r="AH949" s="55"/>
    </row>
    <row r="950" spans="1:34" x14ac:dyDescent="0.25">
      <c r="A950" t="s">
        <v>3769</v>
      </c>
      <c r="B950" t="s">
        <v>3770</v>
      </c>
      <c r="C950" t="s">
        <v>3771</v>
      </c>
      <c r="D950" t="s">
        <v>3772</v>
      </c>
      <c r="E950" t="s">
        <v>3773</v>
      </c>
      <c r="F950" t="s">
        <v>3774</v>
      </c>
      <c r="G950" t="s">
        <v>5</v>
      </c>
      <c r="H950" t="s">
        <v>65</v>
      </c>
      <c r="I950" t="s">
        <v>80</v>
      </c>
      <c r="J950" t="s">
        <v>81</v>
      </c>
      <c r="K950" t="s">
        <v>3</v>
      </c>
      <c r="L950" t="s">
        <v>4</v>
      </c>
      <c r="M950" t="s">
        <v>49</v>
      </c>
      <c r="N950" t="s">
        <v>3775</v>
      </c>
      <c r="O950" s="31" t="s">
        <v>3776</v>
      </c>
      <c r="P950">
        <v>220</v>
      </c>
      <c r="R950">
        <v>1</v>
      </c>
      <c r="S950" s="31">
        <v>75000</v>
      </c>
      <c r="T950" s="39">
        <v>80000</v>
      </c>
      <c r="U950">
        <v>11666.67</v>
      </c>
      <c r="V950">
        <v>8000</v>
      </c>
      <c r="W950">
        <v>0</v>
      </c>
      <c r="X950" s="39">
        <v>21320</v>
      </c>
      <c r="Y950">
        <v>0</v>
      </c>
      <c r="Z950" s="31">
        <v>60333.33</v>
      </c>
      <c r="AA950">
        <v>8</v>
      </c>
      <c r="AB950" s="3">
        <f t="shared" si="44"/>
        <v>60333.33</v>
      </c>
      <c r="AC950" t="str">
        <f>IF(AB950-S950&lt;0,"YES","NO")</f>
        <v>YES</v>
      </c>
      <c r="AD950">
        <f>IF(AC950="NO",0,AB950-S950)</f>
        <v>-14666.669999999998</v>
      </c>
      <c r="AE950" s="43">
        <v>0.08</v>
      </c>
      <c r="AF950" s="3">
        <f t="shared" si="45"/>
        <v>-13580.249999999998</v>
      </c>
      <c r="AG950" s="45">
        <f t="shared" si="46"/>
        <v>-14938.275</v>
      </c>
      <c r="AH950" s="55"/>
    </row>
    <row r="951" spans="1:34" x14ac:dyDescent="0.25">
      <c r="A951" t="s">
        <v>3777</v>
      </c>
      <c r="B951" t="s">
        <v>3778</v>
      </c>
      <c r="C951" t="s">
        <v>3779</v>
      </c>
      <c r="D951" t="s">
        <v>3780</v>
      </c>
      <c r="E951" t="s">
        <v>3781</v>
      </c>
      <c r="F951" t="s">
        <v>3782</v>
      </c>
      <c r="G951" t="s">
        <v>5</v>
      </c>
      <c r="H951" t="s">
        <v>65</v>
      </c>
      <c r="I951" t="s">
        <v>82</v>
      </c>
      <c r="J951" t="s">
        <v>83</v>
      </c>
      <c r="K951" t="s">
        <v>3</v>
      </c>
      <c r="L951" t="s">
        <v>4</v>
      </c>
      <c r="M951" t="s">
        <v>49</v>
      </c>
      <c r="N951" t="s">
        <v>3783</v>
      </c>
      <c r="O951" s="31" t="s">
        <v>3784</v>
      </c>
      <c r="P951">
        <v>220</v>
      </c>
      <c r="R951">
        <v>6</v>
      </c>
      <c r="S951" s="31">
        <v>450000</v>
      </c>
      <c r="T951" s="39">
        <v>480000</v>
      </c>
      <c r="U951">
        <v>75000</v>
      </c>
      <c r="V951">
        <v>48000</v>
      </c>
      <c r="W951">
        <v>0</v>
      </c>
      <c r="X951" s="39">
        <v>117840</v>
      </c>
      <c r="Y951">
        <v>0</v>
      </c>
      <c r="Z951" s="31">
        <v>357000</v>
      </c>
      <c r="AA951">
        <v>8</v>
      </c>
      <c r="AB951" s="3">
        <f t="shared" si="44"/>
        <v>357000</v>
      </c>
      <c r="AC951" t="str">
        <f>IF(AB951-S951&lt;0,"YES","NO")</f>
        <v>YES</v>
      </c>
      <c r="AD951">
        <f>IF(AC951="NO",0,AB951-S951)</f>
        <v>-93000</v>
      </c>
      <c r="AE951" s="43">
        <v>0.08</v>
      </c>
      <c r="AF951" s="3">
        <f t="shared" si="45"/>
        <v>-86111.111111111109</v>
      </c>
      <c r="AG951" s="45">
        <f t="shared" si="46"/>
        <v>-94722.222222222234</v>
      </c>
      <c r="AH951" s="55"/>
    </row>
    <row r="952" spans="1:34" x14ac:dyDescent="0.25">
      <c r="A952" t="s">
        <v>3785</v>
      </c>
      <c r="B952" t="s">
        <v>3786</v>
      </c>
      <c r="C952" t="s">
        <v>3787</v>
      </c>
      <c r="D952" t="s">
        <v>3788</v>
      </c>
      <c r="E952" t="s">
        <v>3789</v>
      </c>
      <c r="F952" t="s">
        <v>3790</v>
      </c>
      <c r="G952" t="s">
        <v>5</v>
      </c>
      <c r="H952" t="s">
        <v>65</v>
      </c>
      <c r="I952" t="s">
        <v>66</v>
      </c>
      <c r="J952" t="s">
        <v>67</v>
      </c>
      <c r="K952" t="s">
        <v>3</v>
      </c>
      <c r="L952" t="s">
        <v>4</v>
      </c>
      <c r="M952" t="s">
        <v>49</v>
      </c>
      <c r="N952" t="s">
        <v>3791</v>
      </c>
      <c r="O952" s="31" t="s">
        <v>3792</v>
      </c>
      <c r="P952">
        <v>220</v>
      </c>
      <c r="R952">
        <v>6</v>
      </c>
      <c r="S952" s="31">
        <v>450000</v>
      </c>
      <c r="T952" s="39">
        <v>480000</v>
      </c>
      <c r="U952">
        <v>75000</v>
      </c>
      <c r="V952">
        <v>48000</v>
      </c>
      <c r="W952">
        <v>0</v>
      </c>
      <c r="X952" s="39">
        <v>124980</v>
      </c>
      <c r="Y952">
        <v>0</v>
      </c>
      <c r="Z952" s="31">
        <v>357000</v>
      </c>
      <c r="AA952">
        <v>8</v>
      </c>
      <c r="AB952" s="3">
        <f t="shared" si="44"/>
        <v>357000</v>
      </c>
      <c r="AC952" t="str">
        <f>IF(AB952-S952&lt;0,"YES","NO")</f>
        <v>YES</v>
      </c>
      <c r="AD952">
        <f>IF(AC952="NO",0,AB952-S952)</f>
        <v>-93000</v>
      </c>
      <c r="AE952" s="43">
        <v>0.08</v>
      </c>
      <c r="AF952" s="3">
        <f t="shared" si="45"/>
        <v>-86111.111111111109</v>
      </c>
      <c r="AG952" s="45">
        <f t="shared" si="46"/>
        <v>-94722.222222222234</v>
      </c>
      <c r="AH952" s="55"/>
    </row>
    <row r="953" spans="1:34" x14ac:dyDescent="0.25">
      <c r="A953" t="s">
        <v>3793</v>
      </c>
      <c r="B953" t="s">
        <v>3794</v>
      </c>
      <c r="C953" t="s">
        <v>3795</v>
      </c>
      <c r="D953" t="s">
        <v>3796</v>
      </c>
      <c r="E953" t="s">
        <v>3797</v>
      </c>
      <c r="F953" t="s">
        <v>3798</v>
      </c>
      <c r="G953" t="s">
        <v>5</v>
      </c>
      <c r="H953" t="s">
        <v>61</v>
      </c>
      <c r="I953" t="s">
        <v>84</v>
      </c>
      <c r="J953" t="s">
        <v>85</v>
      </c>
      <c r="K953" t="s">
        <v>3</v>
      </c>
      <c r="L953" t="s">
        <v>4</v>
      </c>
      <c r="M953" t="s">
        <v>49</v>
      </c>
      <c r="N953" t="s">
        <v>3799</v>
      </c>
      <c r="O953" s="31" t="s">
        <v>3800</v>
      </c>
      <c r="P953">
        <v>100</v>
      </c>
      <c r="Q953" t="s">
        <v>86</v>
      </c>
      <c r="R953">
        <v>1</v>
      </c>
      <c r="S953" s="31">
        <v>0</v>
      </c>
      <c r="T953" s="39">
        <v>0</v>
      </c>
      <c r="U953">
        <v>0</v>
      </c>
      <c r="V953">
        <v>0</v>
      </c>
      <c r="W953">
        <v>0</v>
      </c>
      <c r="X953" s="39">
        <v>0</v>
      </c>
      <c r="Y953">
        <v>0</v>
      </c>
      <c r="Z953" s="31">
        <v>0</v>
      </c>
      <c r="AA953">
        <v>8</v>
      </c>
      <c r="AB953" s="3">
        <f t="shared" si="44"/>
        <v>0</v>
      </c>
      <c r="AC953" t="str">
        <f>IF(AB953-S953&lt;0,"YES","NO")</f>
        <v>NO</v>
      </c>
      <c r="AD953">
        <f>IF(AC953="NO",0,AB953-S953)</f>
        <v>0</v>
      </c>
      <c r="AE953" s="43">
        <v>0.08</v>
      </c>
      <c r="AF953" s="3">
        <f t="shared" si="45"/>
        <v>0</v>
      </c>
      <c r="AG953" s="45">
        <f t="shared" si="46"/>
        <v>0</v>
      </c>
      <c r="AH953" s="55"/>
    </row>
    <row r="954" spans="1:34" x14ac:dyDescent="0.25">
      <c r="A954" t="s">
        <v>3793</v>
      </c>
      <c r="B954" t="s">
        <v>3794</v>
      </c>
      <c r="C954" t="s">
        <v>3795</v>
      </c>
      <c r="D954" t="s">
        <v>3796</v>
      </c>
      <c r="E954" t="s">
        <v>3797</v>
      </c>
      <c r="F954" t="s">
        <v>3798</v>
      </c>
      <c r="G954" t="s">
        <v>5</v>
      </c>
      <c r="H954" t="s">
        <v>65</v>
      </c>
      <c r="I954" t="s">
        <v>66</v>
      </c>
      <c r="J954" t="s">
        <v>67</v>
      </c>
      <c r="K954" t="s">
        <v>3</v>
      </c>
      <c r="L954" t="s">
        <v>4</v>
      </c>
      <c r="M954" t="s">
        <v>49</v>
      </c>
      <c r="N954" t="s">
        <v>3799</v>
      </c>
      <c r="O954" s="31" t="s">
        <v>3800</v>
      </c>
      <c r="P954">
        <v>220</v>
      </c>
      <c r="R954">
        <v>1</v>
      </c>
      <c r="S954" s="31">
        <v>75000</v>
      </c>
      <c r="T954" s="39">
        <v>80000</v>
      </c>
      <c r="U954">
        <v>11666.67</v>
      </c>
      <c r="V954">
        <v>8000</v>
      </c>
      <c r="W954">
        <v>0</v>
      </c>
      <c r="X954" s="39">
        <v>23733.33</v>
      </c>
      <c r="Y954">
        <v>0</v>
      </c>
      <c r="Z954" s="31">
        <v>60333.33</v>
      </c>
      <c r="AA954">
        <v>8</v>
      </c>
      <c r="AB954" s="3">
        <f t="shared" si="44"/>
        <v>60333.33</v>
      </c>
      <c r="AC954" t="str">
        <f>IF(AB954-S954&lt;0,"YES","NO")</f>
        <v>YES</v>
      </c>
      <c r="AD954">
        <f>IF(AC954="NO",0,AB954-S954)</f>
        <v>-14666.669999999998</v>
      </c>
      <c r="AE954" s="43">
        <v>0.08</v>
      </c>
      <c r="AF954" s="3">
        <f t="shared" si="45"/>
        <v>-13580.249999999998</v>
      </c>
      <c r="AG954" s="45">
        <f t="shared" si="46"/>
        <v>-14938.275</v>
      </c>
      <c r="AH954" s="55"/>
    </row>
    <row r="955" spans="1:34" x14ac:dyDescent="0.25">
      <c r="A955" t="s">
        <v>3793</v>
      </c>
      <c r="B955" t="s">
        <v>3794</v>
      </c>
      <c r="C955" t="s">
        <v>3795</v>
      </c>
      <c r="D955" t="s">
        <v>3796</v>
      </c>
      <c r="E955" t="s">
        <v>3797</v>
      </c>
      <c r="F955" t="s">
        <v>3798</v>
      </c>
      <c r="G955" t="s">
        <v>5</v>
      </c>
      <c r="H955" t="s">
        <v>65</v>
      </c>
      <c r="I955" t="s">
        <v>78</v>
      </c>
      <c r="J955" t="s">
        <v>79</v>
      </c>
      <c r="K955" t="s">
        <v>3</v>
      </c>
      <c r="L955" t="s">
        <v>4</v>
      </c>
      <c r="M955" t="s">
        <v>49</v>
      </c>
      <c r="N955" t="s">
        <v>3799</v>
      </c>
      <c r="O955" s="31" t="s">
        <v>3800</v>
      </c>
      <c r="P955">
        <v>220</v>
      </c>
      <c r="R955">
        <v>1</v>
      </c>
      <c r="S955" s="31">
        <v>75000</v>
      </c>
      <c r="T955" s="39">
        <v>80000</v>
      </c>
      <c r="U955">
        <v>11666.67</v>
      </c>
      <c r="V955">
        <v>8000</v>
      </c>
      <c r="W955">
        <v>0</v>
      </c>
      <c r="X955" s="39">
        <v>23733.33</v>
      </c>
      <c r="Y955">
        <v>0</v>
      </c>
      <c r="Z955" s="31">
        <v>60333.33</v>
      </c>
      <c r="AA955">
        <v>8</v>
      </c>
      <c r="AB955" s="3">
        <f t="shared" si="44"/>
        <v>60333.33</v>
      </c>
      <c r="AC955" t="str">
        <f>IF(AB955-S955&lt;0,"YES","NO")</f>
        <v>YES</v>
      </c>
      <c r="AD955">
        <f>IF(AC955="NO",0,AB955-S955)</f>
        <v>-14666.669999999998</v>
      </c>
      <c r="AE955" s="43">
        <v>0.08</v>
      </c>
      <c r="AF955" s="3">
        <f t="shared" si="45"/>
        <v>-13580.249999999998</v>
      </c>
      <c r="AG955" s="45">
        <f t="shared" si="46"/>
        <v>-14938.275</v>
      </c>
      <c r="AH955" s="55"/>
    </row>
    <row r="956" spans="1:34" x14ac:dyDescent="0.25">
      <c r="A956" t="s">
        <v>3793</v>
      </c>
      <c r="B956" t="s">
        <v>3794</v>
      </c>
      <c r="C956" t="s">
        <v>3795</v>
      </c>
      <c r="D956" t="s">
        <v>3796</v>
      </c>
      <c r="E956" t="s">
        <v>3797</v>
      </c>
      <c r="F956" t="s">
        <v>3798</v>
      </c>
      <c r="G956" t="s">
        <v>5</v>
      </c>
      <c r="H956" t="s">
        <v>65</v>
      </c>
      <c r="I956" t="s">
        <v>80</v>
      </c>
      <c r="J956" t="s">
        <v>81</v>
      </c>
      <c r="K956" t="s">
        <v>3</v>
      </c>
      <c r="L956" t="s">
        <v>4</v>
      </c>
      <c r="M956" t="s">
        <v>49</v>
      </c>
      <c r="N956" t="s">
        <v>3799</v>
      </c>
      <c r="O956" s="31" t="s">
        <v>3800</v>
      </c>
      <c r="P956">
        <v>220</v>
      </c>
      <c r="R956">
        <v>1</v>
      </c>
      <c r="S956" s="31">
        <v>75000</v>
      </c>
      <c r="T956" s="39">
        <v>80000</v>
      </c>
      <c r="U956">
        <v>11666.67</v>
      </c>
      <c r="V956">
        <v>8000</v>
      </c>
      <c r="W956">
        <v>0</v>
      </c>
      <c r="X956" s="39">
        <v>23733.33</v>
      </c>
      <c r="Y956">
        <v>0</v>
      </c>
      <c r="Z956" s="31">
        <v>60333.33</v>
      </c>
      <c r="AA956">
        <v>8</v>
      </c>
      <c r="AB956" s="3">
        <f t="shared" si="44"/>
        <v>60333.33</v>
      </c>
      <c r="AC956" t="str">
        <f>IF(AB956-S956&lt;0,"YES","NO")</f>
        <v>YES</v>
      </c>
      <c r="AD956">
        <f>IF(AC956="NO",0,AB956-S956)</f>
        <v>-14666.669999999998</v>
      </c>
      <c r="AE956" s="43">
        <v>0.08</v>
      </c>
      <c r="AF956" s="3">
        <f t="shared" si="45"/>
        <v>-13580.249999999998</v>
      </c>
      <c r="AG956" s="45">
        <f t="shared" si="46"/>
        <v>-14938.275</v>
      </c>
      <c r="AH956" s="55"/>
    </row>
    <row r="957" spans="1:34" x14ac:dyDescent="0.25">
      <c r="A957" t="s">
        <v>3801</v>
      </c>
      <c r="B957" t="s">
        <v>3802</v>
      </c>
      <c r="C957" t="s">
        <v>3803</v>
      </c>
      <c r="D957" t="s">
        <v>3804</v>
      </c>
      <c r="E957" t="s">
        <v>3805</v>
      </c>
      <c r="F957" t="s">
        <v>3806</v>
      </c>
      <c r="G957" t="s">
        <v>5</v>
      </c>
      <c r="H957" t="s">
        <v>65</v>
      </c>
      <c r="I957" t="s">
        <v>66</v>
      </c>
      <c r="J957" t="s">
        <v>67</v>
      </c>
      <c r="K957" t="s">
        <v>3</v>
      </c>
      <c r="L957" t="s">
        <v>4</v>
      </c>
      <c r="M957" t="s">
        <v>49</v>
      </c>
      <c r="N957" t="s">
        <v>3807</v>
      </c>
      <c r="O957" s="31" t="s">
        <v>3808</v>
      </c>
      <c r="P957">
        <v>220</v>
      </c>
      <c r="R957">
        <v>3</v>
      </c>
      <c r="S957" s="31">
        <v>225000</v>
      </c>
      <c r="T957" s="39">
        <v>240000</v>
      </c>
      <c r="U957">
        <v>35000.01</v>
      </c>
      <c r="V957">
        <v>24000</v>
      </c>
      <c r="W957">
        <v>0</v>
      </c>
      <c r="X957" s="39">
        <v>71199.990000000005</v>
      </c>
      <c r="Y957">
        <v>0</v>
      </c>
      <c r="Z957" s="31">
        <v>180999.99</v>
      </c>
      <c r="AA957">
        <v>8</v>
      </c>
      <c r="AB957" s="3">
        <f t="shared" si="44"/>
        <v>180999.99</v>
      </c>
      <c r="AC957" t="str">
        <f>IF(AB957-S957&lt;0,"YES","NO")</f>
        <v>YES</v>
      </c>
      <c r="AD957">
        <f>IF(AC957="NO",0,AB957-S957)</f>
        <v>-44000.010000000009</v>
      </c>
      <c r="AE957" s="43">
        <v>0.08</v>
      </c>
      <c r="AF957" s="3">
        <f t="shared" si="45"/>
        <v>-40740.750000000007</v>
      </c>
      <c r="AG957" s="45">
        <f t="shared" si="46"/>
        <v>-44814.825000000012</v>
      </c>
      <c r="AH957" s="55"/>
    </row>
    <row r="958" spans="1:34" x14ac:dyDescent="0.25">
      <c r="A958" t="s">
        <v>3809</v>
      </c>
      <c r="B958" t="s">
        <v>3810</v>
      </c>
      <c r="C958" t="s">
        <v>3811</v>
      </c>
      <c r="D958" t="s">
        <v>3812</v>
      </c>
      <c r="E958" t="s">
        <v>3813</v>
      </c>
      <c r="F958" t="s">
        <v>3814</v>
      </c>
      <c r="G958" t="s">
        <v>5</v>
      </c>
      <c r="H958" t="s">
        <v>61</v>
      </c>
      <c r="I958" t="s">
        <v>84</v>
      </c>
      <c r="J958" t="s">
        <v>85</v>
      </c>
      <c r="K958" t="s">
        <v>3</v>
      </c>
      <c r="L958" t="s">
        <v>4</v>
      </c>
      <c r="M958" t="s">
        <v>49</v>
      </c>
      <c r="N958" t="s">
        <v>3815</v>
      </c>
      <c r="O958" s="31" t="s">
        <v>3816</v>
      </c>
      <c r="P958">
        <v>100</v>
      </c>
      <c r="Q958" t="s">
        <v>86</v>
      </c>
      <c r="R958">
        <v>1</v>
      </c>
      <c r="S958" s="31">
        <v>0</v>
      </c>
      <c r="T958" s="39">
        <v>0</v>
      </c>
      <c r="U958">
        <v>0</v>
      </c>
      <c r="V958">
        <v>0</v>
      </c>
      <c r="W958">
        <v>0</v>
      </c>
      <c r="X958" s="39">
        <v>0</v>
      </c>
      <c r="Y958">
        <v>0</v>
      </c>
      <c r="Z958" s="31">
        <v>0</v>
      </c>
      <c r="AA958">
        <v>8</v>
      </c>
      <c r="AB958" s="3">
        <f t="shared" si="44"/>
        <v>0</v>
      </c>
      <c r="AC958" t="str">
        <f>IF(AB958-S958&lt;0,"YES","NO")</f>
        <v>NO</v>
      </c>
      <c r="AD958">
        <f>IF(AC958="NO",0,AB958-S958)</f>
        <v>0</v>
      </c>
      <c r="AE958" s="43">
        <v>0.08</v>
      </c>
      <c r="AF958" s="3">
        <f t="shared" si="45"/>
        <v>0</v>
      </c>
      <c r="AG958" s="45">
        <f t="shared" si="46"/>
        <v>0</v>
      </c>
      <c r="AH958" s="55"/>
    </row>
    <row r="959" spans="1:34" x14ac:dyDescent="0.25">
      <c r="A959" t="s">
        <v>3809</v>
      </c>
      <c r="B959" t="s">
        <v>3810</v>
      </c>
      <c r="C959" t="s">
        <v>3811</v>
      </c>
      <c r="D959" t="s">
        <v>3812</v>
      </c>
      <c r="E959" t="s">
        <v>3813</v>
      </c>
      <c r="F959" t="s">
        <v>3814</v>
      </c>
      <c r="G959" t="s">
        <v>5</v>
      </c>
      <c r="H959" t="s">
        <v>65</v>
      </c>
      <c r="I959" t="s">
        <v>87</v>
      </c>
      <c r="J959" t="s">
        <v>88</v>
      </c>
      <c r="K959" t="s">
        <v>3</v>
      </c>
      <c r="L959" t="s">
        <v>4</v>
      </c>
      <c r="M959" t="s">
        <v>49</v>
      </c>
      <c r="N959" t="s">
        <v>3815</v>
      </c>
      <c r="O959" s="31" t="s">
        <v>3816</v>
      </c>
      <c r="P959">
        <v>220</v>
      </c>
      <c r="Q959" t="s">
        <v>89</v>
      </c>
      <c r="R959">
        <v>1</v>
      </c>
      <c r="S959" s="31">
        <v>59000</v>
      </c>
      <c r="T959" s="39">
        <v>70000</v>
      </c>
      <c r="U959">
        <v>4666.5</v>
      </c>
      <c r="V959">
        <v>7000</v>
      </c>
      <c r="W959">
        <v>0</v>
      </c>
      <c r="X959" s="39">
        <v>16333</v>
      </c>
      <c r="Y959">
        <v>0</v>
      </c>
      <c r="Z959" s="31">
        <v>58333.5</v>
      </c>
      <c r="AA959">
        <v>8</v>
      </c>
      <c r="AB959" s="3">
        <f t="shared" si="44"/>
        <v>58333.5</v>
      </c>
      <c r="AC959" t="str">
        <f>IF(AB959-S959&lt;0,"YES","NO")</f>
        <v>YES</v>
      </c>
      <c r="AD959">
        <f>IF(AC959="NO",0,AB959-S959)</f>
        <v>-666.5</v>
      </c>
      <c r="AE959" s="43">
        <v>0.08</v>
      </c>
      <c r="AF959" s="3">
        <f t="shared" si="45"/>
        <v>-617.12962962962956</v>
      </c>
      <c r="AG959" s="45">
        <f t="shared" si="46"/>
        <v>-678.84259259259261</v>
      </c>
      <c r="AH959" s="55"/>
    </row>
    <row r="960" spans="1:34" x14ac:dyDescent="0.25">
      <c r="A960" t="s">
        <v>3809</v>
      </c>
      <c r="B960" t="s">
        <v>3810</v>
      </c>
      <c r="C960" t="s">
        <v>3811</v>
      </c>
      <c r="D960" t="s">
        <v>3812</v>
      </c>
      <c r="E960" t="s">
        <v>3813</v>
      </c>
      <c r="F960" t="s">
        <v>3814</v>
      </c>
      <c r="G960" t="s">
        <v>5</v>
      </c>
      <c r="H960" t="s">
        <v>65</v>
      </c>
      <c r="I960" t="s">
        <v>90</v>
      </c>
      <c r="J960" t="s">
        <v>91</v>
      </c>
      <c r="K960" t="s">
        <v>3</v>
      </c>
      <c r="L960" t="s">
        <v>4</v>
      </c>
      <c r="M960" t="s">
        <v>49</v>
      </c>
      <c r="N960" t="s">
        <v>3815</v>
      </c>
      <c r="O960" s="31" t="s">
        <v>3816</v>
      </c>
      <c r="P960">
        <v>220</v>
      </c>
      <c r="Q960" t="s">
        <v>92</v>
      </c>
      <c r="R960">
        <v>1</v>
      </c>
      <c r="S960" s="31">
        <v>59000</v>
      </c>
      <c r="T960" s="39">
        <v>70000</v>
      </c>
      <c r="U960">
        <v>4666.5</v>
      </c>
      <c r="V960">
        <v>7000</v>
      </c>
      <c r="W960">
        <v>0</v>
      </c>
      <c r="X960" s="39">
        <v>16333</v>
      </c>
      <c r="Y960">
        <v>0</v>
      </c>
      <c r="Z960" s="31">
        <v>58333.5</v>
      </c>
      <c r="AA960">
        <v>8</v>
      </c>
      <c r="AB960" s="3">
        <f t="shared" si="44"/>
        <v>58333.5</v>
      </c>
      <c r="AC960" t="str">
        <f>IF(AB960-S960&lt;0,"YES","NO")</f>
        <v>YES</v>
      </c>
      <c r="AD960">
        <f>IF(AC960="NO",0,AB960-S960)</f>
        <v>-666.5</v>
      </c>
      <c r="AE960" s="43">
        <v>0.08</v>
      </c>
      <c r="AF960" s="3">
        <f t="shared" si="45"/>
        <v>-617.12962962962956</v>
      </c>
      <c r="AG960" s="45">
        <f t="shared" si="46"/>
        <v>-678.84259259259261</v>
      </c>
      <c r="AH960" s="55"/>
    </row>
    <row r="961" spans="1:34" x14ac:dyDescent="0.25">
      <c r="A961" t="s">
        <v>3809</v>
      </c>
      <c r="B961" t="s">
        <v>3810</v>
      </c>
      <c r="C961" t="s">
        <v>3811</v>
      </c>
      <c r="D961" t="s">
        <v>3812</v>
      </c>
      <c r="E961" t="s">
        <v>3813</v>
      </c>
      <c r="F961" t="s">
        <v>3814</v>
      </c>
      <c r="G961" t="s">
        <v>5</v>
      </c>
      <c r="H961" t="s">
        <v>65</v>
      </c>
      <c r="I961" t="s">
        <v>82</v>
      </c>
      <c r="J961" t="s">
        <v>83</v>
      </c>
      <c r="K961" t="s">
        <v>3</v>
      </c>
      <c r="L961" t="s">
        <v>4</v>
      </c>
      <c r="M961" t="s">
        <v>49</v>
      </c>
      <c r="N961" t="s">
        <v>3815</v>
      </c>
      <c r="O961" s="31" t="s">
        <v>3816</v>
      </c>
      <c r="P961">
        <v>220</v>
      </c>
      <c r="R961">
        <v>2</v>
      </c>
      <c r="S961" s="31">
        <v>150000</v>
      </c>
      <c r="T961" s="39">
        <v>160000</v>
      </c>
      <c r="U961">
        <v>10667</v>
      </c>
      <c r="V961">
        <v>16000</v>
      </c>
      <c r="W961">
        <v>0</v>
      </c>
      <c r="X961" s="39">
        <v>37335</v>
      </c>
      <c r="Y961">
        <v>0</v>
      </c>
      <c r="Z961" s="31">
        <v>133333</v>
      </c>
      <c r="AA961">
        <v>8</v>
      </c>
      <c r="AB961" s="3">
        <f t="shared" si="44"/>
        <v>133333</v>
      </c>
      <c r="AC961" t="str">
        <f>IF(AB961-S961&lt;0,"YES","NO")</f>
        <v>YES</v>
      </c>
      <c r="AD961">
        <f>IF(AC961="NO",0,AB961-S961)</f>
        <v>-16667</v>
      </c>
      <c r="AE961" s="43">
        <v>0.08</v>
      </c>
      <c r="AF961" s="3">
        <f t="shared" si="45"/>
        <v>-15432.407407407407</v>
      </c>
      <c r="AG961" s="45">
        <f t="shared" si="46"/>
        <v>-16975.64814814815</v>
      </c>
      <c r="AH961" s="55"/>
    </row>
    <row r="962" spans="1:34" x14ac:dyDescent="0.25">
      <c r="A962" t="s">
        <v>3817</v>
      </c>
      <c r="B962" t="s">
        <v>3818</v>
      </c>
      <c r="C962" t="s">
        <v>3819</v>
      </c>
      <c r="D962" t="s">
        <v>3820</v>
      </c>
      <c r="E962" t="s">
        <v>3821</v>
      </c>
      <c r="F962" t="s">
        <v>3822</v>
      </c>
      <c r="G962" t="s">
        <v>5</v>
      </c>
      <c r="H962" t="s">
        <v>65</v>
      </c>
      <c r="I962" t="s">
        <v>68</v>
      </c>
      <c r="J962" t="s">
        <v>69</v>
      </c>
      <c r="K962" t="s">
        <v>3</v>
      </c>
      <c r="L962" t="s">
        <v>4</v>
      </c>
      <c r="M962" t="s">
        <v>49</v>
      </c>
      <c r="N962" t="s">
        <v>3823</v>
      </c>
      <c r="O962" s="31" t="s">
        <v>3824</v>
      </c>
      <c r="P962">
        <v>220</v>
      </c>
      <c r="Q962" t="s">
        <v>70</v>
      </c>
      <c r="R962">
        <v>3</v>
      </c>
      <c r="S962" s="31">
        <v>177000</v>
      </c>
      <c r="T962" s="39">
        <v>195000</v>
      </c>
      <c r="U962">
        <v>23111.01</v>
      </c>
      <c r="V962">
        <v>19500</v>
      </c>
      <c r="W962">
        <v>0</v>
      </c>
      <c r="X962" s="39">
        <v>47493</v>
      </c>
      <c r="Y962">
        <v>0</v>
      </c>
      <c r="Z962" s="31">
        <v>152388.99</v>
      </c>
      <c r="AA962">
        <v>8</v>
      </c>
      <c r="AB962" s="3">
        <f t="shared" si="44"/>
        <v>152388.99</v>
      </c>
      <c r="AC962" t="str">
        <f>IF(AB962-S962&lt;0,"YES","NO")</f>
        <v>YES</v>
      </c>
      <c r="AD962">
        <f>IF(AC962="NO",0,AB962-S962)</f>
        <v>-24611.010000000009</v>
      </c>
      <c r="AE962" s="43">
        <v>0.08</v>
      </c>
      <c r="AF962" s="3">
        <f t="shared" si="45"/>
        <v>-22787.97222222223</v>
      </c>
      <c r="AG962" s="45">
        <f t="shared" si="46"/>
        <v>-25066.769444444453</v>
      </c>
      <c r="AH962" s="55"/>
    </row>
    <row r="963" spans="1:34" x14ac:dyDescent="0.25">
      <c r="A963" t="s">
        <v>3817</v>
      </c>
      <c r="B963" t="s">
        <v>3818</v>
      </c>
      <c r="C963" t="s">
        <v>3819</v>
      </c>
      <c r="D963" t="s">
        <v>3820</v>
      </c>
      <c r="E963" t="s">
        <v>3821</v>
      </c>
      <c r="F963" t="s">
        <v>3822</v>
      </c>
      <c r="G963" t="s">
        <v>5</v>
      </c>
      <c r="H963" t="s">
        <v>65</v>
      </c>
      <c r="I963" t="s">
        <v>78</v>
      </c>
      <c r="J963" t="s">
        <v>79</v>
      </c>
      <c r="K963" t="s">
        <v>3</v>
      </c>
      <c r="L963" t="s">
        <v>4</v>
      </c>
      <c r="M963" t="s">
        <v>49</v>
      </c>
      <c r="N963" t="s">
        <v>3823</v>
      </c>
      <c r="O963" s="31" t="s">
        <v>3824</v>
      </c>
      <c r="P963">
        <v>220</v>
      </c>
      <c r="R963">
        <v>6</v>
      </c>
      <c r="S963" s="31">
        <v>450000</v>
      </c>
      <c r="T963" s="39">
        <v>480000</v>
      </c>
      <c r="U963">
        <v>56889</v>
      </c>
      <c r="V963">
        <v>48000</v>
      </c>
      <c r="W963">
        <v>0</v>
      </c>
      <c r="X963" s="39">
        <v>116907</v>
      </c>
      <c r="Y963">
        <v>0</v>
      </c>
      <c r="Z963" s="31">
        <v>375111</v>
      </c>
      <c r="AA963">
        <v>8</v>
      </c>
      <c r="AB963" s="3">
        <f t="shared" si="44"/>
        <v>375111</v>
      </c>
      <c r="AC963" t="str">
        <f>IF(AB963-S963&lt;0,"YES","NO")</f>
        <v>YES</v>
      </c>
      <c r="AD963">
        <f>IF(AC963="NO",0,AB963-S963)</f>
        <v>-74889</v>
      </c>
      <c r="AE963" s="43">
        <v>0.08</v>
      </c>
      <c r="AF963" s="3">
        <f t="shared" si="45"/>
        <v>-69341.666666666657</v>
      </c>
      <c r="AG963" s="45">
        <f t="shared" si="46"/>
        <v>-76275.833333333328</v>
      </c>
      <c r="AH963" s="55"/>
    </row>
    <row r="964" spans="1:34" x14ac:dyDescent="0.25">
      <c r="A964" t="s">
        <v>3825</v>
      </c>
      <c r="B964" t="s">
        <v>3826</v>
      </c>
      <c r="C964" t="s">
        <v>3827</v>
      </c>
      <c r="D964" t="s">
        <v>3828</v>
      </c>
      <c r="E964" t="s">
        <v>3829</v>
      </c>
      <c r="F964" t="s">
        <v>3830</v>
      </c>
      <c r="G964" t="s">
        <v>5</v>
      </c>
      <c r="H964" t="s">
        <v>61</v>
      </c>
      <c r="I964" t="s">
        <v>84</v>
      </c>
      <c r="J964" t="s">
        <v>85</v>
      </c>
      <c r="K964" t="s">
        <v>3</v>
      </c>
      <c r="L964" t="s">
        <v>4</v>
      </c>
      <c r="M964" t="s">
        <v>49</v>
      </c>
      <c r="N964" t="s">
        <v>3831</v>
      </c>
      <c r="O964" s="31" t="s">
        <v>3832</v>
      </c>
      <c r="P964">
        <v>100</v>
      </c>
      <c r="Q964" t="s">
        <v>86</v>
      </c>
      <c r="R964">
        <v>1</v>
      </c>
      <c r="S964" s="31">
        <v>0</v>
      </c>
      <c r="T964" s="39">
        <v>0</v>
      </c>
      <c r="U964">
        <v>0</v>
      </c>
      <c r="V964">
        <v>0</v>
      </c>
      <c r="W964">
        <v>0</v>
      </c>
      <c r="X964" s="39">
        <v>0</v>
      </c>
      <c r="Y964">
        <v>0</v>
      </c>
      <c r="Z964" s="31">
        <v>0</v>
      </c>
      <c r="AA964">
        <v>8</v>
      </c>
      <c r="AB964" s="3">
        <f t="shared" si="44"/>
        <v>0</v>
      </c>
      <c r="AC964" t="str">
        <f>IF(AB964-S964&lt;0,"YES","NO")</f>
        <v>NO</v>
      </c>
      <c r="AD964">
        <f>IF(AC964="NO",0,AB964-S964)</f>
        <v>0</v>
      </c>
      <c r="AE964" s="43">
        <v>0.08</v>
      </c>
      <c r="AF964" s="3">
        <f t="shared" si="45"/>
        <v>0</v>
      </c>
      <c r="AG964" s="45">
        <f t="shared" si="46"/>
        <v>0</v>
      </c>
      <c r="AH964" s="55"/>
    </row>
    <row r="965" spans="1:34" x14ac:dyDescent="0.25">
      <c r="A965" t="s">
        <v>3825</v>
      </c>
      <c r="B965" t="s">
        <v>3826</v>
      </c>
      <c r="C965" t="s">
        <v>3827</v>
      </c>
      <c r="D965" t="s">
        <v>3828</v>
      </c>
      <c r="E965" t="s">
        <v>3829</v>
      </c>
      <c r="F965" t="s">
        <v>3830</v>
      </c>
      <c r="G965" t="s">
        <v>5</v>
      </c>
      <c r="H965" t="s">
        <v>65</v>
      </c>
      <c r="I965" t="s">
        <v>87</v>
      </c>
      <c r="J965" t="s">
        <v>88</v>
      </c>
      <c r="K965" t="s">
        <v>3</v>
      </c>
      <c r="L965" t="s">
        <v>4</v>
      </c>
      <c r="M965" t="s">
        <v>49</v>
      </c>
      <c r="N965" t="s">
        <v>3831</v>
      </c>
      <c r="O965" s="31" t="s">
        <v>3832</v>
      </c>
      <c r="P965">
        <v>220</v>
      </c>
      <c r="Q965" t="s">
        <v>89</v>
      </c>
      <c r="R965">
        <v>1</v>
      </c>
      <c r="S965" s="31">
        <v>59000</v>
      </c>
      <c r="T965" s="39">
        <v>70000</v>
      </c>
      <c r="U965">
        <v>10000</v>
      </c>
      <c r="V965">
        <v>7000</v>
      </c>
      <c r="W965">
        <v>0</v>
      </c>
      <c r="X965" s="39">
        <v>20600</v>
      </c>
      <c r="Y965">
        <v>0</v>
      </c>
      <c r="Z965" s="31">
        <v>53000</v>
      </c>
      <c r="AA965">
        <v>8</v>
      </c>
      <c r="AB965" s="3">
        <f t="shared" si="44"/>
        <v>53000</v>
      </c>
      <c r="AC965" t="str">
        <f>IF(AB965-S965&lt;0,"YES","NO")</f>
        <v>YES</v>
      </c>
      <c r="AD965">
        <f>IF(AC965="NO",0,AB965-S965)</f>
        <v>-6000</v>
      </c>
      <c r="AE965" s="43">
        <v>0.08</v>
      </c>
      <c r="AF965" s="3">
        <f t="shared" si="45"/>
        <v>-5555.5555555555547</v>
      </c>
      <c r="AG965" s="45">
        <f t="shared" si="46"/>
        <v>-6111.1111111111104</v>
      </c>
      <c r="AH965" s="55"/>
    </row>
    <row r="966" spans="1:34" x14ac:dyDescent="0.25">
      <c r="A966" t="s">
        <v>3825</v>
      </c>
      <c r="B966" t="s">
        <v>3826</v>
      </c>
      <c r="C966" t="s">
        <v>3827</v>
      </c>
      <c r="D966" t="s">
        <v>3828</v>
      </c>
      <c r="E966" t="s">
        <v>3829</v>
      </c>
      <c r="F966" t="s">
        <v>3830</v>
      </c>
      <c r="G966" t="s">
        <v>5</v>
      </c>
      <c r="H966" t="s">
        <v>65</v>
      </c>
      <c r="I966" t="s">
        <v>90</v>
      </c>
      <c r="J966" t="s">
        <v>91</v>
      </c>
      <c r="K966" t="s">
        <v>3</v>
      </c>
      <c r="L966" t="s">
        <v>4</v>
      </c>
      <c r="M966" t="s">
        <v>49</v>
      </c>
      <c r="N966" t="s">
        <v>3831</v>
      </c>
      <c r="O966" s="31" t="s">
        <v>3832</v>
      </c>
      <c r="P966">
        <v>220</v>
      </c>
      <c r="Q966" t="s">
        <v>92</v>
      </c>
      <c r="R966">
        <v>1</v>
      </c>
      <c r="S966" s="31">
        <v>59000</v>
      </c>
      <c r="T966" s="39">
        <v>70000</v>
      </c>
      <c r="U966">
        <v>10000</v>
      </c>
      <c r="V966">
        <v>7000</v>
      </c>
      <c r="W966">
        <v>0</v>
      </c>
      <c r="X966" s="39">
        <v>20600</v>
      </c>
      <c r="Y966">
        <v>0</v>
      </c>
      <c r="Z966" s="31">
        <v>53000</v>
      </c>
      <c r="AA966">
        <v>8</v>
      </c>
      <c r="AB966" s="3">
        <f t="shared" ref="AB966:AB1029" si="47">Z966</f>
        <v>53000</v>
      </c>
      <c r="AC966" t="str">
        <f>IF(AB966-S966&lt;0,"YES","NO")</f>
        <v>YES</v>
      </c>
      <c r="AD966">
        <f>IF(AC966="NO",0,AB966-S966)</f>
        <v>-6000</v>
      </c>
      <c r="AE966" s="43">
        <v>0.08</v>
      </c>
      <c r="AF966" s="3">
        <f t="shared" ref="AF966:AF1029" si="48">AD966/(1+AE966)</f>
        <v>-5555.5555555555547</v>
      </c>
      <c r="AG966" s="45">
        <f t="shared" ref="AG966:AG1029" si="49">AF966*1.1</f>
        <v>-6111.1111111111104</v>
      </c>
      <c r="AH966" s="55"/>
    </row>
    <row r="967" spans="1:34" x14ac:dyDescent="0.25">
      <c r="A967" t="s">
        <v>3833</v>
      </c>
      <c r="B967" t="s">
        <v>3834</v>
      </c>
      <c r="C967" t="s">
        <v>3835</v>
      </c>
      <c r="D967" t="s">
        <v>3836</v>
      </c>
      <c r="E967" t="s">
        <v>3837</v>
      </c>
      <c r="F967" t="s">
        <v>3838</v>
      </c>
      <c r="G967" t="s">
        <v>5</v>
      </c>
      <c r="H967" t="s">
        <v>61</v>
      </c>
      <c r="I967" t="s">
        <v>84</v>
      </c>
      <c r="J967" t="s">
        <v>85</v>
      </c>
      <c r="K967" t="s">
        <v>3</v>
      </c>
      <c r="L967" t="s">
        <v>4</v>
      </c>
      <c r="M967" t="s">
        <v>49</v>
      </c>
      <c r="N967" t="s">
        <v>3839</v>
      </c>
      <c r="O967" s="31" t="s">
        <v>3840</v>
      </c>
      <c r="P967">
        <v>100</v>
      </c>
      <c r="Q967" t="s">
        <v>86</v>
      </c>
      <c r="R967">
        <v>1</v>
      </c>
      <c r="S967" s="31">
        <v>0</v>
      </c>
      <c r="T967" s="39">
        <v>0</v>
      </c>
      <c r="U967">
        <v>0</v>
      </c>
      <c r="V967">
        <v>0</v>
      </c>
      <c r="W967">
        <v>0</v>
      </c>
      <c r="X967" s="39">
        <v>0</v>
      </c>
      <c r="Y967">
        <v>0</v>
      </c>
      <c r="Z967" s="31">
        <v>0</v>
      </c>
      <c r="AA967">
        <v>8</v>
      </c>
      <c r="AB967" s="3">
        <f t="shared" si="47"/>
        <v>0</v>
      </c>
      <c r="AC967" t="str">
        <f>IF(AB967-S967&lt;0,"YES","NO")</f>
        <v>NO</v>
      </c>
      <c r="AD967">
        <f>IF(AC967="NO",0,AB967-S967)</f>
        <v>0</v>
      </c>
      <c r="AE967" s="43">
        <v>0.08</v>
      </c>
      <c r="AF967" s="3">
        <f t="shared" si="48"/>
        <v>0</v>
      </c>
      <c r="AG967" s="45">
        <f t="shared" si="49"/>
        <v>0</v>
      </c>
      <c r="AH967" s="55"/>
    </row>
    <row r="968" spans="1:34" x14ac:dyDescent="0.25">
      <c r="A968" t="s">
        <v>3833</v>
      </c>
      <c r="B968" t="s">
        <v>3834</v>
      </c>
      <c r="C968" t="s">
        <v>3835</v>
      </c>
      <c r="D968" t="s">
        <v>3836</v>
      </c>
      <c r="E968" t="s">
        <v>3837</v>
      </c>
      <c r="F968" t="s">
        <v>3838</v>
      </c>
      <c r="G968" t="s">
        <v>5</v>
      </c>
      <c r="H968" t="s">
        <v>65</v>
      </c>
      <c r="I968" t="s">
        <v>68</v>
      </c>
      <c r="J968" t="s">
        <v>69</v>
      </c>
      <c r="K968" t="s">
        <v>3</v>
      </c>
      <c r="L968" t="s">
        <v>4</v>
      </c>
      <c r="M968" t="s">
        <v>49</v>
      </c>
      <c r="N968" t="s">
        <v>3839</v>
      </c>
      <c r="O968" s="31" t="s">
        <v>3840</v>
      </c>
      <c r="P968">
        <v>220</v>
      </c>
      <c r="Q968" t="s">
        <v>70</v>
      </c>
      <c r="R968">
        <v>1</v>
      </c>
      <c r="S968" s="31">
        <v>59000</v>
      </c>
      <c r="T968" s="39">
        <v>65000</v>
      </c>
      <c r="U968">
        <v>11666.67</v>
      </c>
      <c r="V968">
        <v>6500</v>
      </c>
      <c r="W968">
        <v>0</v>
      </c>
      <c r="X968" s="39">
        <v>18223.330000000002</v>
      </c>
      <c r="Y968">
        <v>0</v>
      </c>
      <c r="Z968" s="31">
        <v>46833.33</v>
      </c>
      <c r="AA968">
        <v>8</v>
      </c>
      <c r="AB968" s="3">
        <f t="shared" si="47"/>
        <v>46833.33</v>
      </c>
      <c r="AC968" t="str">
        <f>IF(AB968-S968&lt;0,"YES","NO")</f>
        <v>YES</v>
      </c>
      <c r="AD968">
        <f>IF(AC968="NO",0,AB968-S968)</f>
        <v>-12166.669999999998</v>
      </c>
      <c r="AE968" s="43">
        <v>0.08</v>
      </c>
      <c r="AF968" s="3">
        <f t="shared" si="48"/>
        <v>-11265.435185185182</v>
      </c>
      <c r="AG968" s="45">
        <f t="shared" si="49"/>
        <v>-12391.978703703702</v>
      </c>
      <c r="AH968" s="55"/>
    </row>
    <row r="969" spans="1:34" x14ac:dyDescent="0.25">
      <c r="A969" t="s">
        <v>3833</v>
      </c>
      <c r="B969" t="s">
        <v>3834</v>
      </c>
      <c r="C969" t="s">
        <v>3835</v>
      </c>
      <c r="D969" t="s">
        <v>3836</v>
      </c>
      <c r="E969" t="s">
        <v>3837</v>
      </c>
      <c r="F969" t="s">
        <v>3838</v>
      </c>
      <c r="G969" t="s">
        <v>5</v>
      </c>
      <c r="H969" t="s">
        <v>65</v>
      </c>
      <c r="I969" t="s">
        <v>71</v>
      </c>
      <c r="J969" t="s">
        <v>72</v>
      </c>
      <c r="K969" t="s">
        <v>3</v>
      </c>
      <c r="L969" t="s">
        <v>4</v>
      </c>
      <c r="M969" t="s">
        <v>49</v>
      </c>
      <c r="N969" t="s">
        <v>3839</v>
      </c>
      <c r="O969" s="31" t="s">
        <v>3840</v>
      </c>
      <c r="P969">
        <v>220</v>
      </c>
      <c r="Q969" t="s">
        <v>70</v>
      </c>
      <c r="R969">
        <v>1</v>
      </c>
      <c r="S969" s="31">
        <v>59000</v>
      </c>
      <c r="T969" s="39">
        <v>65000</v>
      </c>
      <c r="U969">
        <v>11666.67</v>
      </c>
      <c r="V969">
        <v>6500</v>
      </c>
      <c r="W969">
        <v>0</v>
      </c>
      <c r="X969" s="39">
        <v>18223.330000000002</v>
      </c>
      <c r="Y969">
        <v>0</v>
      </c>
      <c r="Z969" s="31">
        <v>46833.33</v>
      </c>
      <c r="AA969">
        <v>8</v>
      </c>
      <c r="AB969" s="3">
        <f t="shared" si="47"/>
        <v>46833.33</v>
      </c>
      <c r="AC969" t="str">
        <f>IF(AB969-S969&lt;0,"YES","NO")</f>
        <v>YES</v>
      </c>
      <c r="AD969">
        <f>IF(AC969="NO",0,AB969-S969)</f>
        <v>-12166.669999999998</v>
      </c>
      <c r="AE969" s="43">
        <v>0.08</v>
      </c>
      <c r="AF969" s="3">
        <f t="shared" si="48"/>
        <v>-11265.435185185182</v>
      </c>
      <c r="AG969" s="45">
        <f t="shared" si="49"/>
        <v>-12391.978703703702</v>
      </c>
      <c r="AH969" s="55"/>
    </row>
    <row r="970" spans="1:34" x14ac:dyDescent="0.25">
      <c r="A970" t="s">
        <v>3833</v>
      </c>
      <c r="B970" t="s">
        <v>3834</v>
      </c>
      <c r="C970" t="s">
        <v>3835</v>
      </c>
      <c r="D970" t="s">
        <v>3836</v>
      </c>
      <c r="E970" t="s">
        <v>3837</v>
      </c>
      <c r="F970" t="s">
        <v>3838</v>
      </c>
      <c r="G970" t="s">
        <v>5</v>
      </c>
      <c r="H970" t="s">
        <v>65</v>
      </c>
      <c r="I970" t="s">
        <v>73</v>
      </c>
      <c r="J970" t="s">
        <v>74</v>
      </c>
      <c r="K970" t="s">
        <v>3</v>
      </c>
      <c r="L970" t="s">
        <v>4</v>
      </c>
      <c r="M970" t="s">
        <v>49</v>
      </c>
      <c r="N970" t="s">
        <v>3839</v>
      </c>
      <c r="O970" s="31" t="s">
        <v>3840</v>
      </c>
      <c r="P970">
        <v>220</v>
      </c>
      <c r="Q970" t="s">
        <v>70</v>
      </c>
      <c r="R970">
        <v>1</v>
      </c>
      <c r="S970" s="31">
        <v>59000</v>
      </c>
      <c r="T970" s="39">
        <v>65000</v>
      </c>
      <c r="U970">
        <v>11666.67</v>
      </c>
      <c r="V970">
        <v>6500</v>
      </c>
      <c r="W970">
        <v>0</v>
      </c>
      <c r="X970" s="39">
        <v>18223.330000000002</v>
      </c>
      <c r="Y970">
        <v>0</v>
      </c>
      <c r="Z970" s="31">
        <v>46833.33</v>
      </c>
      <c r="AA970">
        <v>8</v>
      </c>
      <c r="AB970" s="3">
        <f t="shared" si="47"/>
        <v>46833.33</v>
      </c>
      <c r="AC970" t="str">
        <f>IF(AB970-S970&lt;0,"YES","NO")</f>
        <v>YES</v>
      </c>
      <c r="AD970">
        <f>IF(AC970="NO",0,AB970-S970)</f>
        <v>-12166.669999999998</v>
      </c>
      <c r="AE970" s="43">
        <v>0.08</v>
      </c>
      <c r="AF970" s="3">
        <f t="shared" si="48"/>
        <v>-11265.435185185182</v>
      </c>
      <c r="AG970" s="45">
        <f t="shared" si="49"/>
        <v>-12391.978703703702</v>
      </c>
      <c r="AH970" s="55"/>
    </row>
    <row r="971" spans="1:34" x14ac:dyDescent="0.25">
      <c r="A971" t="s">
        <v>3841</v>
      </c>
      <c r="B971" t="s">
        <v>3842</v>
      </c>
      <c r="C971" t="s">
        <v>3843</v>
      </c>
      <c r="D971" t="s">
        <v>3844</v>
      </c>
      <c r="E971" t="s">
        <v>3845</v>
      </c>
      <c r="F971" t="s">
        <v>3846</v>
      </c>
      <c r="G971" t="s">
        <v>5</v>
      </c>
      <c r="H971" t="s">
        <v>61</v>
      </c>
      <c r="I971" t="s">
        <v>84</v>
      </c>
      <c r="J971" t="s">
        <v>85</v>
      </c>
      <c r="K971" t="s">
        <v>3</v>
      </c>
      <c r="L971" t="s">
        <v>4</v>
      </c>
      <c r="M971" t="s">
        <v>49</v>
      </c>
      <c r="N971" t="s">
        <v>3847</v>
      </c>
      <c r="O971" s="31" t="s">
        <v>3848</v>
      </c>
      <c r="P971">
        <v>100</v>
      </c>
      <c r="Q971" t="s">
        <v>86</v>
      </c>
      <c r="R971">
        <v>1</v>
      </c>
      <c r="S971" s="31">
        <v>0</v>
      </c>
      <c r="T971" s="39">
        <v>0</v>
      </c>
      <c r="U971">
        <v>0</v>
      </c>
      <c r="V971">
        <v>0</v>
      </c>
      <c r="W971">
        <v>0</v>
      </c>
      <c r="X971" s="39">
        <v>0</v>
      </c>
      <c r="Y971">
        <v>0</v>
      </c>
      <c r="Z971" s="31">
        <v>0</v>
      </c>
      <c r="AA971">
        <v>8</v>
      </c>
      <c r="AB971" s="3">
        <f t="shared" si="47"/>
        <v>0</v>
      </c>
      <c r="AC971" t="str">
        <f>IF(AB971-S971&lt;0,"YES","NO")</f>
        <v>NO</v>
      </c>
      <c r="AD971">
        <f>IF(AC971="NO",0,AB971-S971)</f>
        <v>0</v>
      </c>
      <c r="AE971" s="43">
        <v>0.08</v>
      </c>
      <c r="AF971" s="3">
        <f t="shared" si="48"/>
        <v>0</v>
      </c>
      <c r="AG971" s="45">
        <f t="shared" si="49"/>
        <v>0</v>
      </c>
      <c r="AH971" s="55"/>
    </row>
    <row r="972" spans="1:34" x14ac:dyDescent="0.25">
      <c r="A972" t="s">
        <v>3841</v>
      </c>
      <c r="B972" t="s">
        <v>3842</v>
      </c>
      <c r="C972" t="s">
        <v>3843</v>
      </c>
      <c r="D972" t="s">
        <v>3844</v>
      </c>
      <c r="E972" t="s">
        <v>3845</v>
      </c>
      <c r="F972" t="s">
        <v>3846</v>
      </c>
      <c r="G972" t="s">
        <v>5</v>
      </c>
      <c r="H972" t="s">
        <v>61</v>
      </c>
      <c r="I972" t="s">
        <v>84</v>
      </c>
      <c r="J972" t="s">
        <v>85</v>
      </c>
      <c r="K972" t="s">
        <v>3</v>
      </c>
      <c r="L972" t="s">
        <v>4</v>
      </c>
      <c r="M972" t="s">
        <v>49</v>
      </c>
      <c r="N972" t="s">
        <v>3847</v>
      </c>
      <c r="O972" s="31" t="s">
        <v>3848</v>
      </c>
      <c r="P972">
        <v>100</v>
      </c>
      <c r="Q972" t="s">
        <v>86</v>
      </c>
      <c r="R972">
        <v>1</v>
      </c>
      <c r="S972" s="31">
        <v>0</v>
      </c>
      <c r="T972" s="39">
        <v>0</v>
      </c>
      <c r="U972">
        <v>0</v>
      </c>
      <c r="V972">
        <v>0</v>
      </c>
      <c r="W972">
        <v>0</v>
      </c>
      <c r="X972" s="39">
        <v>0</v>
      </c>
      <c r="Y972">
        <v>0</v>
      </c>
      <c r="Z972" s="31">
        <v>0</v>
      </c>
      <c r="AA972">
        <v>8</v>
      </c>
      <c r="AB972" s="3">
        <f t="shared" si="47"/>
        <v>0</v>
      </c>
      <c r="AC972" t="str">
        <f>IF(AB972-S972&lt;0,"YES","NO")</f>
        <v>NO</v>
      </c>
      <c r="AD972">
        <f>IF(AC972="NO",0,AB972-S972)</f>
        <v>0</v>
      </c>
      <c r="AE972" s="43">
        <v>0.08</v>
      </c>
      <c r="AF972" s="3">
        <f t="shared" si="48"/>
        <v>0</v>
      </c>
      <c r="AG972" s="45">
        <f t="shared" si="49"/>
        <v>0</v>
      </c>
      <c r="AH972" s="55"/>
    </row>
    <row r="973" spans="1:34" x14ac:dyDescent="0.25">
      <c r="A973" t="s">
        <v>3841</v>
      </c>
      <c r="B973" t="s">
        <v>3842</v>
      </c>
      <c r="C973" t="s">
        <v>3843</v>
      </c>
      <c r="D973" t="s">
        <v>3844</v>
      </c>
      <c r="E973" t="s">
        <v>3845</v>
      </c>
      <c r="F973" t="s">
        <v>3846</v>
      </c>
      <c r="G973" t="s">
        <v>5</v>
      </c>
      <c r="H973" t="s">
        <v>65</v>
      </c>
      <c r="I973" t="s">
        <v>87</v>
      </c>
      <c r="J973" t="s">
        <v>88</v>
      </c>
      <c r="K973" t="s">
        <v>3</v>
      </c>
      <c r="L973" t="s">
        <v>4</v>
      </c>
      <c r="M973" t="s">
        <v>49</v>
      </c>
      <c r="N973" t="s">
        <v>3847</v>
      </c>
      <c r="O973" s="31" t="s">
        <v>3848</v>
      </c>
      <c r="P973">
        <v>220</v>
      </c>
      <c r="Q973" t="s">
        <v>89</v>
      </c>
      <c r="R973">
        <v>1</v>
      </c>
      <c r="S973" s="31">
        <v>59000</v>
      </c>
      <c r="T973" s="39">
        <v>70000</v>
      </c>
      <c r="U973">
        <v>0</v>
      </c>
      <c r="V973">
        <v>7000</v>
      </c>
      <c r="W973">
        <v>0</v>
      </c>
      <c r="X973" s="39">
        <v>9450</v>
      </c>
      <c r="Y973">
        <v>0</v>
      </c>
      <c r="Z973" s="31">
        <v>63000</v>
      </c>
      <c r="AA973">
        <v>8</v>
      </c>
      <c r="AB973" s="3">
        <f t="shared" si="47"/>
        <v>63000</v>
      </c>
      <c r="AC973" t="str">
        <f>IF(AB973-S973&lt;0,"YES","NO")</f>
        <v>NO</v>
      </c>
      <c r="AD973">
        <f>IF(AC973="NO",0,AB973-S973)</f>
        <v>0</v>
      </c>
      <c r="AE973" s="43">
        <v>0.08</v>
      </c>
      <c r="AF973" s="3">
        <f t="shared" si="48"/>
        <v>0</v>
      </c>
      <c r="AG973" s="45">
        <f t="shared" si="49"/>
        <v>0</v>
      </c>
      <c r="AH973" s="55"/>
    </row>
    <row r="974" spans="1:34" x14ac:dyDescent="0.25">
      <c r="A974" t="s">
        <v>3841</v>
      </c>
      <c r="B974" t="s">
        <v>3842</v>
      </c>
      <c r="C974" t="s">
        <v>3843</v>
      </c>
      <c r="D974" t="s">
        <v>3844</v>
      </c>
      <c r="E974" t="s">
        <v>3845</v>
      </c>
      <c r="F974" t="s">
        <v>3846</v>
      </c>
      <c r="G974" t="s">
        <v>5</v>
      </c>
      <c r="H974" t="s">
        <v>65</v>
      </c>
      <c r="I974" t="s">
        <v>90</v>
      </c>
      <c r="J974" t="s">
        <v>91</v>
      </c>
      <c r="K974" t="s">
        <v>3</v>
      </c>
      <c r="L974" t="s">
        <v>4</v>
      </c>
      <c r="M974" t="s">
        <v>49</v>
      </c>
      <c r="N974" t="s">
        <v>3847</v>
      </c>
      <c r="O974" s="31" t="s">
        <v>3848</v>
      </c>
      <c r="P974">
        <v>220</v>
      </c>
      <c r="Q974" t="s">
        <v>92</v>
      </c>
      <c r="R974">
        <v>1</v>
      </c>
      <c r="S974" s="31">
        <v>59000</v>
      </c>
      <c r="T974" s="39">
        <v>70000</v>
      </c>
      <c r="U974">
        <v>0</v>
      </c>
      <c r="V974">
        <v>7000</v>
      </c>
      <c r="W974">
        <v>0</v>
      </c>
      <c r="X974" s="39">
        <v>9450</v>
      </c>
      <c r="Y974">
        <v>0</v>
      </c>
      <c r="Z974" s="31">
        <v>63000</v>
      </c>
      <c r="AA974">
        <v>8</v>
      </c>
      <c r="AB974" s="3">
        <f t="shared" si="47"/>
        <v>63000</v>
      </c>
      <c r="AC974" t="str">
        <f>IF(AB974-S974&lt;0,"YES","NO")</f>
        <v>NO</v>
      </c>
      <c r="AD974">
        <f>IF(AC974="NO",0,AB974-S974)</f>
        <v>0</v>
      </c>
      <c r="AE974" s="43">
        <v>0.08</v>
      </c>
      <c r="AF974" s="3">
        <f t="shared" si="48"/>
        <v>0</v>
      </c>
      <c r="AG974" s="45">
        <f t="shared" si="49"/>
        <v>0</v>
      </c>
      <c r="AH974" s="55"/>
    </row>
    <row r="975" spans="1:34" x14ac:dyDescent="0.25">
      <c r="A975" t="s">
        <v>3841</v>
      </c>
      <c r="B975" t="s">
        <v>3842</v>
      </c>
      <c r="C975" t="s">
        <v>3843</v>
      </c>
      <c r="D975" t="s">
        <v>3844</v>
      </c>
      <c r="E975" t="s">
        <v>3845</v>
      </c>
      <c r="F975" t="s">
        <v>3846</v>
      </c>
      <c r="G975" t="s">
        <v>5</v>
      </c>
      <c r="H975" t="s">
        <v>65</v>
      </c>
      <c r="I975" t="s">
        <v>66</v>
      </c>
      <c r="J975" t="s">
        <v>67</v>
      </c>
      <c r="K975" t="s">
        <v>3</v>
      </c>
      <c r="L975" t="s">
        <v>4</v>
      </c>
      <c r="M975" t="s">
        <v>49</v>
      </c>
      <c r="N975" t="s">
        <v>3847</v>
      </c>
      <c r="O975" s="31" t="s">
        <v>3848</v>
      </c>
      <c r="P975">
        <v>220</v>
      </c>
      <c r="R975">
        <v>1</v>
      </c>
      <c r="S975" s="31">
        <v>75000</v>
      </c>
      <c r="T975" s="39">
        <v>80000</v>
      </c>
      <c r="U975">
        <v>11666.67</v>
      </c>
      <c r="V975">
        <v>8000</v>
      </c>
      <c r="W975">
        <v>0</v>
      </c>
      <c r="X975" s="39">
        <v>20716.669999999998</v>
      </c>
      <c r="Y975">
        <v>0</v>
      </c>
      <c r="Z975" s="31">
        <v>60333.33</v>
      </c>
      <c r="AA975">
        <v>8</v>
      </c>
      <c r="AB975" s="3">
        <f t="shared" si="47"/>
        <v>60333.33</v>
      </c>
      <c r="AC975" t="str">
        <f>IF(AB975-S975&lt;0,"YES","NO")</f>
        <v>YES</v>
      </c>
      <c r="AD975">
        <f>IF(AC975="NO",0,AB975-S975)</f>
        <v>-14666.669999999998</v>
      </c>
      <c r="AE975" s="43">
        <v>0.08</v>
      </c>
      <c r="AF975" s="3">
        <f t="shared" si="48"/>
        <v>-13580.249999999998</v>
      </c>
      <c r="AG975" s="45">
        <f t="shared" si="49"/>
        <v>-14938.275</v>
      </c>
      <c r="AH975" s="55"/>
    </row>
    <row r="976" spans="1:34" x14ac:dyDescent="0.25">
      <c r="A976" t="s">
        <v>3841</v>
      </c>
      <c r="B976" t="s">
        <v>3842</v>
      </c>
      <c r="C976" t="s">
        <v>3843</v>
      </c>
      <c r="D976" t="s">
        <v>3844</v>
      </c>
      <c r="E976" t="s">
        <v>3845</v>
      </c>
      <c r="F976" t="s">
        <v>3846</v>
      </c>
      <c r="G976" t="s">
        <v>5</v>
      </c>
      <c r="H976" t="s">
        <v>65</v>
      </c>
      <c r="I976" t="s">
        <v>78</v>
      </c>
      <c r="J976" t="s">
        <v>79</v>
      </c>
      <c r="K976" t="s">
        <v>3</v>
      </c>
      <c r="L976" t="s">
        <v>4</v>
      </c>
      <c r="M976" t="s">
        <v>49</v>
      </c>
      <c r="N976" t="s">
        <v>3847</v>
      </c>
      <c r="O976" s="31" t="s">
        <v>3848</v>
      </c>
      <c r="P976">
        <v>220</v>
      </c>
      <c r="R976">
        <v>1</v>
      </c>
      <c r="S976" s="31">
        <v>75000</v>
      </c>
      <c r="T976" s="39">
        <v>80000</v>
      </c>
      <c r="U976">
        <v>11666.67</v>
      </c>
      <c r="V976">
        <v>8000</v>
      </c>
      <c r="W976">
        <v>0</v>
      </c>
      <c r="X976" s="39">
        <v>20716.669999999998</v>
      </c>
      <c r="Y976">
        <v>0</v>
      </c>
      <c r="Z976" s="31">
        <v>60333.33</v>
      </c>
      <c r="AA976">
        <v>8</v>
      </c>
      <c r="AB976" s="3">
        <f t="shared" si="47"/>
        <v>60333.33</v>
      </c>
      <c r="AC976" t="str">
        <f>IF(AB976-S976&lt;0,"YES","NO")</f>
        <v>YES</v>
      </c>
      <c r="AD976">
        <f>IF(AC976="NO",0,AB976-S976)</f>
        <v>-14666.669999999998</v>
      </c>
      <c r="AE976" s="43">
        <v>0.08</v>
      </c>
      <c r="AF976" s="3">
        <f t="shared" si="48"/>
        <v>-13580.249999999998</v>
      </c>
      <c r="AG976" s="45">
        <f t="shared" si="49"/>
        <v>-14938.275</v>
      </c>
      <c r="AH976" s="55"/>
    </row>
    <row r="977" spans="1:34" x14ac:dyDescent="0.25">
      <c r="A977" t="s">
        <v>3841</v>
      </c>
      <c r="B977" t="s">
        <v>3842</v>
      </c>
      <c r="C977" t="s">
        <v>3843</v>
      </c>
      <c r="D977" t="s">
        <v>3844</v>
      </c>
      <c r="E977" t="s">
        <v>3845</v>
      </c>
      <c r="F977" t="s">
        <v>3846</v>
      </c>
      <c r="G977" t="s">
        <v>5</v>
      </c>
      <c r="H977" t="s">
        <v>65</v>
      </c>
      <c r="I977" t="s">
        <v>80</v>
      </c>
      <c r="J977" t="s">
        <v>81</v>
      </c>
      <c r="K977" t="s">
        <v>3</v>
      </c>
      <c r="L977" t="s">
        <v>4</v>
      </c>
      <c r="M977" t="s">
        <v>49</v>
      </c>
      <c r="N977" t="s">
        <v>3847</v>
      </c>
      <c r="O977" s="31" t="s">
        <v>3848</v>
      </c>
      <c r="P977">
        <v>220</v>
      </c>
      <c r="R977">
        <v>1</v>
      </c>
      <c r="S977" s="31">
        <v>75000</v>
      </c>
      <c r="T977" s="39">
        <v>80000</v>
      </c>
      <c r="U977">
        <v>11666.67</v>
      </c>
      <c r="V977">
        <v>8000</v>
      </c>
      <c r="W977">
        <v>0</v>
      </c>
      <c r="X977" s="39">
        <v>20716.669999999998</v>
      </c>
      <c r="Y977">
        <v>0</v>
      </c>
      <c r="Z977" s="31">
        <v>60333.33</v>
      </c>
      <c r="AA977">
        <v>8</v>
      </c>
      <c r="AB977" s="3">
        <f t="shared" si="47"/>
        <v>60333.33</v>
      </c>
      <c r="AC977" t="str">
        <f>IF(AB977-S977&lt;0,"YES","NO")</f>
        <v>YES</v>
      </c>
      <c r="AD977">
        <f>IF(AC977="NO",0,AB977-S977)</f>
        <v>-14666.669999999998</v>
      </c>
      <c r="AE977" s="43">
        <v>0.08</v>
      </c>
      <c r="AF977" s="3">
        <f t="shared" si="48"/>
        <v>-13580.249999999998</v>
      </c>
      <c r="AG977" s="45">
        <f t="shared" si="49"/>
        <v>-14938.275</v>
      </c>
      <c r="AH977" s="55"/>
    </row>
    <row r="978" spans="1:34" x14ac:dyDescent="0.25">
      <c r="A978" t="s">
        <v>3849</v>
      </c>
      <c r="B978" t="s">
        <v>3850</v>
      </c>
      <c r="C978" t="s">
        <v>3851</v>
      </c>
      <c r="D978" t="s">
        <v>3852</v>
      </c>
      <c r="E978" t="s">
        <v>3853</v>
      </c>
      <c r="F978" t="s">
        <v>3854</v>
      </c>
      <c r="G978" t="s">
        <v>5</v>
      </c>
      <c r="H978" t="s">
        <v>61</v>
      </c>
      <c r="I978" t="s">
        <v>62</v>
      </c>
      <c r="J978" t="s">
        <v>63</v>
      </c>
      <c r="K978" t="s">
        <v>3</v>
      </c>
      <c r="L978" t="s">
        <v>4</v>
      </c>
      <c r="M978" t="s">
        <v>49</v>
      </c>
      <c r="N978" t="s">
        <v>3855</v>
      </c>
      <c r="O978" s="31" t="s">
        <v>3856</v>
      </c>
      <c r="P978">
        <v>20000</v>
      </c>
      <c r="Q978" t="s">
        <v>64</v>
      </c>
      <c r="R978">
        <v>1</v>
      </c>
      <c r="S978" s="31">
        <v>0</v>
      </c>
      <c r="T978" s="39">
        <v>0</v>
      </c>
      <c r="U978">
        <v>0</v>
      </c>
      <c r="V978">
        <v>0</v>
      </c>
      <c r="W978">
        <v>0</v>
      </c>
      <c r="X978" s="39">
        <v>0</v>
      </c>
      <c r="Y978">
        <v>0</v>
      </c>
      <c r="Z978" s="31">
        <v>0</v>
      </c>
      <c r="AA978">
        <v>8</v>
      </c>
      <c r="AB978" s="3">
        <f t="shared" si="47"/>
        <v>0</v>
      </c>
      <c r="AC978" t="str">
        <f>IF(AB978-S978&lt;0,"YES","NO")</f>
        <v>NO</v>
      </c>
      <c r="AD978">
        <f>IF(AC978="NO",0,AB978-S978)</f>
        <v>0</v>
      </c>
      <c r="AE978" s="43">
        <v>0.08</v>
      </c>
      <c r="AF978" s="3">
        <f t="shared" si="48"/>
        <v>0</v>
      </c>
      <c r="AG978" s="45">
        <f t="shared" si="49"/>
        <v>0</v>
      </c>
      <c r="AH978" s="55"/>
    </row>
    <row r="979" spans="1:34" x14ac:dyDescent="0.25">
      <c r="A979" t="s">
        <v>3849</v>
      </c>
      <c r="B979" t="s">
        <v>3850</v>
      </c>
      <c r="C979" t="s">
        <v>3851</v>
      </c>
      <c r="D979" t="s">
        <v>3852</v>
      </c>
      <c r="E979" t="s">
        <v>3853</v>
      </c>
      <c r="F979" t="s">
        <v>3854</v>
      </c>
      <c r="G979" t="s">
        <v>5</v>
      </c>
      <c r="H979" t="s">
        <v>61</v>
      </c>
      <c r="I979" t="s">
        <v>84</v>
      </c>
      <c r="J979" t="s">
        <v>85</v>
      </c>
      <c r="K979" t="s">
        <v>3</v>
      </c>
      <c r="L979" t="s">
        <v>4</v>
      </c>
      <c r="M979" t="s">
        <v>49</v>
      </c>
      <c r="N979" t="s">
        <v>3855</v>
      </c>
      <c r="O979" s="31" t="s">
        <v>3856</v>
      </c>
      <c r="P979">
        <v>100</v>
      </c>
      <c r="Q979" t="s">
        <v>86</v>
      </c>
      <c r="R979">
        <v>1</v>
      </c>
      <c r="S979" s="31">
        <v>0</v>
      </c>
      <c r="T979" s="39">
        <v>0</v>
      </c>
      <c r="U979">
        <v>0</v>
      </c>
      <c r="V979">
        <v>0</v>
      </c>
      <c r="W979">
        <v>0</v>
      </c>
      <c r="X979" s="39">
        <v>0</v>
      </c>
      <c r="Y979">
        <v>0</v>
      </c>
      <c r="Z979" s="31">
        <v>0</v>
      </c>
      <c r="AA979">
        <v>8</v>
      </c>
      <c r="AB979" s="3">
        <f t="shared" si="47"/>
        <v>0</v>
      </c>
      <c r="AC979" t="str">
        <f>IF(AB979-S979&lt;0,"YES","NO")</f>
        <v>NO</v>
      </c>
      <c r="AD979">
        <f>IF(AC979="NO",0,AB979-S979)</f>
        <v>0</v>
      </c>
      <c r="AE979" s="43">
        <v>0.08</v>
      </c>
      <c r="AF979" s="3">
        <f t="shared" si="48"/>
        <v>0</v>
      </c>
      <c r="AG979" s="45">
        <f t="shared" si="49"/>
        <v>0</v>
      </c>
      <c r="AH979" s="55"/>
    </row>
    <row r="980" spans="1:34" x14ac:dyDescent="0.25">
      <c r="A980" t="s">
        <v>3849</v>
      </c>
      <c r="B980" t="s">
        <v>3850</v>
      </c>
      <c r="C980" t="s">
        <v>3851</v>
      </c>
      <c r="D980" t="s">
        <v>3852</v>
      </c>
      <c r="E980" t="s">
        <v>3853</v>
      </c>
      <c r="F980" t="s">
        <v>3854</v>
      </c>
      <c r="G980" t="s">
        <v>5</v>
      </c>
      <c r="H980" t="s">
        <v>65</v>
      </c>
      <c r="I980" t="s">
        <v>90</v>
      </c>
      <c r="J980" t="s">
        <v>91</v>
      </c>
      <c r="K980" t="s">
        <v>3</v>
      </c>
      <c r="L980" t="s">
        <v>4</v>
      </c>
      <c r="M980" t="s">
        <v>49</v>
      </c>
      <c r="N980" t="s">
        <v>3855</v>
      </c>
      <c r="O980" s="31" t="s">
        <v>3856</v>
      </c>
      <c r="P980">
        <v>220</v>
      </c>
      <c r="Q980" t="s">
        <v>92</v>
      </c>
      <c r="R980">
        <v>3</v>
      </c>
      <c r="S980" s="31">
        <v>177000</v>
      </c>
      <c r="T980" s="39">
        <v>210000</v>
      </c>
      <c r="U980">
        <v>35000.01</v>
      </c>
      <c r="V980">
        <v>21000</v>
      </c>
      <c r="W980">
        <v>0</v>
      </c>
      <c r="X980" s="39">
        <v>65799.990000000005</v>
      </c>
      <c r="Y980">
        <v>0</v>
      </c>
      <c r="Z980" s="31">
        <v>153999.99</v>
      </c>
      <c r="AA980">
        <v>8</v>
      </c>
      <c r="AB980" s="3">
        <f t="shared" si="47"/>
        <v>153999.99</v>
      </c>
      <c r="AC980" t="str">
        <f>IF(AB980-S980&lt;0,"YES","NO")</f>
        <v>YES</v>
      </c>
      <c r="AD980">
        <f>IF(AC980="NO",0,AB980-S980)</f>
        <v>-23000.010000000009</v>
      </c>
      <c r="AE980" s="43">
        <v>0.08</v>
      </c>
      <c r="AF980" s="3">
        <f t="shared" si="48"/>
        <v>-21296.305555555562</v>
      </c>
      <c r="AG980" s="45">
        <f t="shared" si="49"/>
        <v>-23425.936111111121</v>
      </c>
      <c r="AH980" s="55"/>
    </row>
    <row r="981" spans="1:34" x14ac:dyDescent="0.25">
      <c r="A981" t="s">
        <v>3849</v>
      </c>
      <c r="B981" t="s">
        <v>3850</v>
      </c>
      <c r="C981" t="s">
        <v>3851</v>
      </c>
      <c r="D981" t="s">
        <v>3852</v>
      </c>
      <c r="E981" t="s">
        <v>3853</v>
      </c>
      <c r="F981" t="s">
        <v>3854</v>
      </c>
      <c r="G981" t="s">
        <v>5</v>
      </c>
      <c r="H981" t="s">
        <v>65</v>
      </c>
      <c r="I981" t="s">
        <v>66</v>
      </c>
      <c r="J981" t="s">
        <v>67</v>
      </c>
      <c r="K981" t="s">
        <v>3</v>
      </c>
      <c r="L981" t="s">
        <v>4</v>
      </c>
      <c r="M981" t="s">
        <v>49</v>
      </c>
      <c r="N981" t="s">
        <v>3855</v>
      </c>
      <c r="O981" s="31" t="s">
        <v>3856</v>
      </c>
      <c r="P981">
        <v>220</v>
      </c>
      <c r="R981">
        <v>2</v>
      </c>
      <c r="S981" s="31">
        <v>150000</v>
      </c>
      <c r="T981" s="39">
        <v>160000</v>
      </c>
      <c r="U981">
        <v>0</v>
      </c>
      <c r="V981">
        <v>17000</v>
      </c>
      <c r="W981">
        <v>0</v>
      </c>
      <c r="X981" s="39">
        <v>28600</v>
      </c>
      <c r="Y981">
        <v>0</v>
      </c>
      <c r="Z981" s="31">
        <v>143000</v>
      </c>
      <c r="AA981">
        <v>8</v>
      </c>
      <c r="AB981" s="3">
        <f t="shared" si="47"/>
        <v>143000</v>
      </c>
      <c r="AC981" t="str">
        <f>IF(AB981-S981&lt;0,"YES","NO")</f>
        <v>YES</v>
      </c>
      <c r="AD981">
        <f>IF(AC981="NO",0,AB981-S981)</f>
        <v>-7000</v>
      </c>
      <c r="AE981" s="43">
        <v>0.08</v>
      </c>
      <c r="AF981" s="3">
        <f t="shared" si="48"/>
        <v>-6481.4814814814808</v>
      </c>
      <c r="AG981" s="45">
        <f t="shared" si="49"/>
        <v>-7129.6296296296296</v>
      </c>
      <c r="AH981" s="55"/>
    </row>
    <row r="982" spans="1:34" x14ac:dyDescent="0.25">
      <c r="A982" t="s">
        <v>3857</v>
      </c>
      <c r="B982" t="s">
        <v>3858</v>
      </c>
      <c r="C982" t="s">
        <v>3859</v>
      </c>
      <c r="D982" t="s">
        <v>3860</v>
      </c>
      <c r="E982" t="s">
        <v>3861</v>
      </c>
      <c r="F982" t="s">
        <v>3862</v>
      </c>
      <c r="G982" t="s">
        <v>5</v>
      </c>
      <c r="H982" t="s">
        <v>61</v>
      </c>
      <c r="I982" t="s">
        <v>62</v>
      </c>
      <c r="J982" t="s">
        <v>63</v>
      </c>
      <c r="K982" t="s">
        <v>3</v>
      </c>
      <c r="L982" t="s">
        <v>4</v>
      </c>
      <c r="M982" t="s">
        <v>49</v>
      </c>
      <c r="N982" t="s">
        <v>3863</v>
      </c>
      <c r="O982" s="31" t="s">
        <v>3864</v>
      </c>
      <c r="P982">
        <v>20000</v>
      </c>
      <c r="Q982" t="s">
        <v>64</v>
      </c>
      <c r="R982">
        <v>1</v>
      </c>
      <c r="S982" s="31">
        <v>0</v>
      </c>
      <c r="T982" s="39">
        <v>0</v>
      </c>
      <c r="U982">
        <v>0</v>
      </c>
      <c r="V982">
        <v>0</v>
      </c>
      <c r="W982">
        <v>0</v>
      </c>
      <c r="X982" s="39">
        <v>0</v>
      </c>
      <c r="Y982">
        <v>0</v>
      </c>
      <c r="Z982" s="31">
        <v>0</v>
      </c>
      <c r="AA982">
        <v>8</v>
      </c>
      <c r="AB982" s="3">
        <f t="shared" si="47"/>
        <v>0</v>
      </c>
      <c r="AC982" t="str">
        <f>IF(AB982-S982&lt;0,"YES","NO")</f>
        <v>NO</v>
      </c>
      <c r="AD982">
        <f>IF(AC982="NO",0,AB982-S982)</f>
        <v>0</v>
      </c>
      <c r="AE982" s="43">
        <v>0.08</v>
      </c>
      <c r="AF982" s="3">
        <f t="shared" si="48"/>
        <v>0</v>
      </c>
      <c r="AG982" s="45">
        <f t="shared" si="49"/>
        <v>0</v>
      </c>
      <c r="AH982" s="55"/>
    </row>
    <row r="983" spans="1:34" x14ac:dyDescent="0.25">
      <c r="A983" t="s">
        <v>3857</v>
      </c>
      <c r="B983" t="s">
        <v>3858</v>
      </c>
      <c r="C983" t="s">
        <v>3859</v>
      </c>
      <c r="D983" t="s">
        <v>3860</v>
      </c>
      <c r="E983" t="s">
        <v>3861</v>
      </c>
      <c r="F983" t="s">
        <v>3862</v>
      </c>
      <c r="G983" t="s">
        <v>5</v>
      </c>
      <c r="H983" t="s">
        <v>65</v>
      </c>
      <c r="I983" t="s">
        <v>71</v>
      </c>
      <c r="J983" t="s">
        <v>72</v>
      </c>
      <c r="K983" t="s">
        <v>3</v>
      </c>
      <c r="L983" t="s">
        <v>4</v>
      </c>
      <c r="M983" t="s">
        <v>49</v>
      </c>
      <c r="N983" t="s">
        <v>3863</v>
      </c>
      <c r="O983" s="31" t="s">
        <v>3864</v>
      </c>
      <c r="P983">
        <v>220</v>
      </c>
      <c r="Q983" t="s">
        <v>70</v>
      </c>
      <c r="R983">
        <v>3</v>
      </c>
      <c r="S983" s="31">
        <v>177000</v>
      </c>
      <c r="T983" s="39">
        <v>195000</v>
      </c>
      <c r="U983">
        <v>35000.01</v>
      </c>
      <c r="V983">
        <v>19500</v>
      </c>
      <c r="W983">
        <v>0</v>
      </c>
      <c r="X983" s="39">
        <v>63099.99</v>
      </c>
      <c r="Y983">
        <v>0</v>
      </c>
      <c r="Z983" s="31">
        <v>140499.99</v>
      </c>
      <c r="AA983">
        <v>8</v>
      </c>
      <c r="AB983" s="3">
        <f t="shared" si="47"/>
        <v>140499.99</v>
      </c>
      <c r="AC983" t="str">
        <f>IF(AB983-S983&lt;0,"YES","NO")</f>
        <v>YES</v>
      </c>
      <c r="AD983">
        <f>IF(AC983="NO",0,AB983-S983)</f>
        <v>-36500.010000000009</v>
      </c>
      <c r="AE983" s="43">
        <v>0.08</v>
      </c>
      <c r="AF983" s="3">
        <f t="shared" si="48"/>
        <v>-33796.305555555562</v>
      </c>
      <c r="AG983" s="45">
        <f t="shared" si="49"/>
        <v>-37175.936111111121</v>
      </c>
      <c r="AH983" s="55"/>
    </row>
    <row r="984" spans="1:34" x14ac:dyDescent="0.25">
      <c r="A984" t="s">
        <v>3865</v>
      </c>
      <c r="B984" t="s">
        <v>3866</v>
      </c>
      <c r="C984" t="s">
        <v>3867</v>
      </c>
      <c r="D984" t="s">
        <v>3868</v>
      </c>
      <c r="E984" t="s">
        <v>3869</v>
      </c>
      <c r="F984" t="s">
        <v>3870</v>
      </c>
      <c r="G984" t="s">
        <v>5</v>
      </c>
      <c r="H984" t="s">
        <v>61</v>
      </c>
      <c r="I984" t="s">
        <v>62</v>
      </c>
      <c r="J984" t="s">
        <v>63</v>
      </c>
      <c r="K984" t="s">
        <v>3</v>
      </c>
      <c r="L984" t="s">
        <v>4</v>
      </c>
      <c r="M984" t="s">
        <v>49</v>
      </c>
      <c r="N984" t="s">
        <v>3871</v>
      </c>
      <c r="O984" s="31" t="s">
        <v>3872</v>
      </c>
      <c r="P984">
        <v>20000</v>
      </c>
      <c r="Q984" t="s">
        <v>64</v>
      </c>
      <c r="R984">
        <v>1</v>
      </c>
      <c r="S984" s="31">
        <v>0</v>
      </c>
      <c r="T984" s="39">
        <v>0</v>
      </c>
      <c r="U984">
        <v>0</v>
      </c>
      <c r="V984">
        <v>0</v>
      </c>
      <c r="W984">
        <v>0</v>
      </c>
      <c r="X984" s="39">
        <v>0</v>
      </c>
      <c r="Y984">
        <v>0</v>
      </c>
      <c r="Z984" s="31">
        <v>0</v>
      </c>
      <c r="AA984">
        <v>8</v>
      </c>
      <c r="AB984" s="3">
        <f t="shared" si="47"/>
        <v>0</v>
      </c>
      <c r="AC984" t="str">
        <f>IF(AB984-S984&lt;0,"YES","NO")</f>
        <v>NO</v>
      </c>
      <c r="AD984">
        <f>IF(AC984="NO",0,AB984-S984)</f>
        <v>0</v>
      </c>
      <c r="AE984" s="43">
        <v>0.08</v>
      </c>
      <c r="AF984" s="3">
        <f t="shared" si="48"/>
        <v>0</v>
      </c>
      <c r="AG984" s="45">
        <f t="shared" si="49"/>
        <v>0</v>
      </c>
      <c r="AH984" s="55"/>
    </row>
    <row r="985" spans="1:34" x14ac:dyDescent="0.25">
      <c r="A985" t="s">
        <v>3865</v>
      </c>
      <c r="B985" t="s">
        <v>3866</v>
      </c>
      <c r="C985" t="s">
        <v>3867</v>
      </c>
      <c r="D985" t="s">
        <v>3868</v>
      </c>
      <c r="E985" t="s">
        <v>3869</v>
      </c>
      <c r="F985" t="s">
        <v>3870</v>
      </c>
      <c r="G985" t="s">
        <v>5</v>
      </c>
      <c r="H985" t="s">
        <v>61</v>
      </c>
      <c r="I985" t="s">
        <v>62</v>
      </c>
      <c r="J985" t="s">
        <v>63</v>
      </c>
      <c r="K985" t="s">
        <v>3</v>
      </c>
      <c r="L985" t="s">
        <v>4</v>
      </c>
      <c r="M985" t="s">
        <v>49</v>
      </c>
      <c r="N985" t="s">
        <v>3871</v>
      </c>
      <c r="O985" s="31" t="s">
        <v>3872</v>
      </c>
      <c r="P985">
        <v>20000</v>
      </c>
      <c r="Q985" t="s">
        <v>64</v>
      </c>
      <c r="R985">
        <v>1</v>
      </c>
      <c r="S985" s="31">
        <v>0</v>
      </c>
      <c r="T985" s="39">
        <v>0</v>
      </c>
      <c r="U985">
        <v>0</v>
      </c>
      <c r="V985">
        <v>0</v>
      </c>
      <c r="W985">
        <v>0</v>
      </c>
      <c r="X985" s="39">
        <v>0</v>
      </c>
      <c r="Y985">
        <v>0</v>
      </c>
      <c r="Z985" s="31">
        <v>0</v>
      </c>
      <c r="AA985">
        <v>8</v>
      </c>
      <c r="AB985" s="3">
        <f t="shared" si="47"/>
        <v>0</v>
      </c>
      <c r="AC985" t="str">
        <f>IF(AB985-S985&lt;0,"YES","NO")</f>
        <v>NO</v>
      </c>
      <c r="AD985">
        <f>IF(AC985="NO",0,AB985-S985)</f>
        <v>0</v>
      </c>
      <c r="AE985" s="43">
        <v>0.08</v>
      </c>
      <c r="AF985" s="3">
        <f t="shared" si="48"/>
        <v>0</v>
      </c>
      <c r="AG985" s="45">
        <f t="shared" si="49"/>
        <v>0</v>
      </c>
      <c r="AH985" s="55"/>
    </row>
    <row r="986" spans="1:34" x14ac:dyDescent="0.25">
      <c r="A986" t="s">
        <v>3865</v>
      </c>
      <c r="B986" t="s">
        <v>3866</v>
      </c>
      <c r="C986" t="s">
        <v>3867</v>
      </c>
      <c r="D986" t="s">
        <v>3868</v>
      </c>
      <c r="E986" t="s">
        <v>3869</v>
      </c>
      <c r="F986" t="s">
        <v>3870</v>
      </c>
      <c r="G986" t="s">
        <v>5</v>
      </c>
      <c r="H986" t="s">
        <v>65</v>
      </c>
      <c r="I986" t="s">
        <v>87</v>
      </c>
      <c r="J986" t="s">
        <v>88</v>
      </c>
      <c r="K986" t="s">
        <v>3</v>
      </c>
      <c r="L986" t="s">
        <v>4</v>
      </c>
      <c r="M986" t="s">
        <v>49</v>
      </c>
      <c r="N986" t="s">
        <v>3871</v>
      </c>
      <c r="O986" s="31" t="s">
        <v>3872</v>
      </c>
      <c r="P986">
        <v>220</v>
      </c>
      <c r="Q986" t="s">
        <v>89</v>
      </c>
      <c r="R986">
        <v>2</v>
      </c>
      <c r="S986" s="31">
        <v>118000</v>
      </c>
      <c r="T986" s="39">
        <v>140000</v>
      </c>
      <c r="U986">
        <v>9333</v>
      </c>
      <c r="V986">
        <v>14000</v>
      </c>
      <c r="W986">
        <v>0</v>
      </c>
      <c r="X986" s="39">
        <v>35000</v>
      </c>
      <c r="Y986">
        <v>0</v>
      </c>
      <c r="Z986" s="31">
        <v>116667</v>
      </c>
      <c r="AA986">
        <v>8</v>
      </c>
      <c r="AB986" s="3">
        <f t="shared" si="47"/>
        <v>116667</v>
      </c>
      <c r="AC986" t="str">
        <f>IF(AB986-S986&lt;0,"YES","NO")</f>
        <v>YES</v>
      </c>
      <c r="AD986">
        <f>IF(AC986="NO",0,AB986-S986)</f>
        <v>-1333</v>
      </c>
      <c r="AE986" s="43">
        <v>0.08</v>
      </c>
      <c r="AF986" s="3">
        <f t="shared" si="48"/>
        <v>-1234.2592592592591</v>
      </c>
      <c r="AG986" s="45">
        <f t="shared" si="49"/>
        <v>-1357.6851851851852</v>
      </c>
      <c r="AH986" s="55"/>
    </row>
    <row r="987" spans="1:34" x14ac:dyDescent="0.25">
      <c r="A987" t="s">
        <v>3865</v>
      </c>
      <c r="B987" t="s">
        <v>3866</v>
      </c>
      <c r="C987" t="s">
        <v>3867</v>
      </c>
      <c r="D987" t="s">
        <v>3868</v>
      </c>
      <c r="E987" t="s">
        <v>3869</v>
      </c>
      <c r="F987" t="s">
        <v>3870</v>
      </c>
      <c r="G987" t="s">
        <v>5</v>
      </c>
      <c r="H987" t="s">
        <v>65</v>
      </c>
      <c r="I987" t="s">
        <v>82</v>
      </c>
      <c r="J987" t="s">
        <v>83</v>
      </c>
      <c r="K987" t="s">
        <v>3</v>
      </c>
      <c r="L987" t="s">
        <v>4</v>
      </c>
      <c r="M987" t="s">
        <v>49</v>
      </c>
      <c r="N987" t="s">
        <v>3871</v>
      </c>
      <c r="O987" s="31" t="s">
        <v>3872</v>
      </c>
      <c r="P987">
        <v>220</v>
      </c>
      <c r="R987">
        <v>2</v>
      </c>
      <c r="S987" s="31">
        <v>150000</v>
      </c>
      <c r="T987" s="39">
        <v>160000</v>
      </c>
      <c r="U987">
        <v>10667</v>
      </c>
      <c r="V987">
        <v>16000</v>
      </c>
      <c r="W987">
        <v>0</v>
      </c>
      <c r="X987" s="39">
        <v>40001</v>
      </c>
      <c r="Y987">
        <v>0</v>
      </c>
      <c r="Z987" s="31">
        <v>133333</v>
      </c>
      <c r="AA987">
        <v>8</v>
      </c>
      <c r="AB987" s="3">
        <f t="shared" si="47"/>
        <v>133333</v>
      </c>
      <c r="AC987" t="str">
        <f>IF(AB987-S987&lt;0,"YES","NO")</f>
        <v>YES</v>
      </c>
      <c r="AD987">
        <f>IF(AC987="NO",0,AB987-S987)</f>
        <v>-16667</v>
      </c>
      <c r="AE987" s="43">
        <v>0.08</v>
      </c>
      <c r="AF987" s="3">
        <f t="shared" si="48"/>
        <v>-15432.407407407407</v>
      </c>
      <c r="AG987" s="45">
        <f t="shared" si="49"/>
        <v>-16975.64814814815</v>
      </c>
      <c r="AH987" s="55"/>
    </row>
    <row r="988" spans="1:34" x14ac:dyDescent="0.25">
      <c r="A988" t="s">
        <v>3873</v>
      </c>
      <c r="B988" t="s">
        <v>3874</v>
      </c>
      <c r="C988" t="s">
        <v>3875</v>
      </c>
      <c r="D988" t="s">
        <v>3876</v>
      </c>
      <c r="E988" t="s">
        <v>3877</v>
      </c>
      <c r="F988" t="s">
        <v>3878</v>
      </c>
      <c r="G988" t="s">
        <v>5</v>
      </c>
      <c r="H988" t="s">
        <v>61</v>
      </c>
      <c r="I988" t="s">
        <v>84</v>
      </c>
      <c r="J988" t="s">
        <v>85</v>
      </c>
      <c r="K988" t="s">
        <v>3</v>
      </c>
      <c r="L988" t="s">
        <v>4</v>
      </c>
      <c r="M988" t="s">
        <v>49</v>
      </c>
      <c r="N988" t="s">
        <v>3879</v>
      </c>
      <c r="O988" s="31" t="s">
        <v>3880</v>
      </c>
      <c r="P988">
        <v>100</v>
      </c>
      <c r="Q988" t="s">
        <v>86</v>
      </c>
      <c r="R988">
        <v>1</v>
      </c>
      <c r="S988" s="31">
        <v>0</v>
      </c>
      <c r="T988" s="39">
        <v>0</v>
      </c>
      <c r="U988">
        <v>0</v>
      </c>
      <c r="V988">
        <v>0</v>
      </c>
      <c r="W988">
        <v>0</v>
      </c>
      <c r="X988" s="39">
        <v>0</v>
      </c>
      <c r="Y988">
        <v>0</v>
      </c>
      <c r="Z988" s="31">
        <v>0</v>
      </c>
      <c r="AA988">
        <v>8</v>
      </c>
      <c r="AB988" s="3">
        <f t="shared" si="47"/>
        <v>0</v>
      </c>
      <c r="AC988" t="str">
        <f>IF(AB988-S988&lt;0,"YES","NO")</f>
        <v>NO</v>
      </c>
      <c r="AD988">
        <f>IF(AC988="NO",0,AB988-S988)</f>
        <v>0</v>
      </c>
      <c r="AE988" s="43">
        <v>0.08</v>
      </c>
      <c r="AF988" s="3">
        <f t="shared" si="48"/>
        <v>0</v>
      </c>
      <c r="AG988" s="45">
        <f t="shared" si="49"/>
        <v>0</v>
      </c>
      <c r="AH988" s="55"/>
    </row>
    <row r="989" spans="1:34" x14ac:dyDescent="0.25">
      <c r="A989" t="s">
        <v>3873</v>
      </c>
      <c r="B989" t="s">
        <v>3874</v>
      </c>
      <c r="C989" t="s">
        <v>3875</v>
      </c>
      <c r="D989" t="s">
        <v>3876</v>
      </c>
      <c r="E989" t="s">
        <v>3877</v>
      </c>
      <c r="F989" t="s">
        <v>3878</v>
      </c>
      <c r="G989" t="s">
        <v>5</v>
      </c>
      <c r="H989" t="s">
        <v>65</v>
      </c>
      <c r="I989" t="s">
        <v>78</v>
      </c>
      <c r="J989" t="s">
        <v>79</v>
      </c>
      <c r="K989" t="s">
        <v>3</v>
      </c>
      <c r="L989" t="s">
        <v>4</v>
      </c>
      <c r="M989" t="s">
        <v>49</v>
      </c>
      <c r="N989" t="s">
        <v>3879</v>
      </c>
      <c r="O989" s="31" t="s">
        <v>3880</v>
      </c>
      <c r="P989">
        <v>220</v>
      </c>
      <c r="R989">
        <v>3</v>
      </c>
      <c r="S989" s="31">
        <v>225000</v>
      </c>
      <c r="T989" s="39">
        <v>240000</v>
      </c>
      <c r="U989">
        <v>35000.01</v>
      </c>
      <c r="V989">
        <v>24000</v>
      </c>
      <c r="W989">
        <v>0</v>
      </c>
      <c r="X989" s="39">
        <v>60339.99</v>
      </c>
      <c r="Y989">
        <v>0</v>
      </c>
      <c r="Z989" s="31">
        <v>180999.99</v>
      </c>
      <c r="AA989">
        <v>8</v>
      </c>
      <c r="AB989" s="3">
        <f t="shared" si="47"/>
        <v>180999.99</v>
      </c>
      <c r="AC989" t="str">
        <f>IF(AB989-S989&lt;0,"YES","NO")</f>
        <v>YES</v>
      </c>
      <c r="AD989">
        <f>IF(AC989="NO",0,AB989-S989)</f>
        <v>-44000.010000000009</v>
      </c>
      <c r="AE989" s="43">
        <v>0.08</v>
      </c>
      <c r="AF989" s="3">
        <f t="shared" si="48"/>
        <v>-40740.750000000007</v>
      </c>
      <c r="AG989" s="45">
        <f t="shared" si="49"/>
        <v>-44814.825000000012</v>
      </c>
      <c r="AH989" s="55"/>
    </row>
    <row r="990" spans="1:34" x14ac:dyDescent="0.25">
      <c r="A990" t="s">
        <v>3881</v>
      </c>
      <c r="B990" t="s">
        <v>3882</v>
      </c>
      <c r="C990" t="s">
        <v>3883</v>
      </c>
      <c r="D990" t="s">
        <v>3884</v>
      </c>
      <c r="E990" t="s">
        <v>3885</v>
      </c>
      <c r="F990" t="s">
        <v>3886</v>
      </c>
      <c r="G990" t="s">
        <v>5</v>
      </c>
      <c r="H990" t="s">
        <v>65</v>
      </c>
      <c r="I990" t="s">
        <v>68</v>
      </c>
      <c r="J990" t="s">
        <v>69</v>
      </c>
      <c r="K990" t="s">
        <v>3</v>
      </c>
      <c r="L990" t="s">
        <v>4</v>
      </c>
      <c r="M990" t="s">
        <v>49</v>
      </c>
      <c r="N990" t="s">
        <v>3887</v>
      </c>
      <c r="O990" s="31" t="s">
        <v>3888</v>
      </c>
      <c r="P990">
        <v>220</v>
      </c>
      <c r="Q990" t="s">
        <v>70</v>
      </c>
      <c r="R990">
        <v>2</v>
      </c>
      <c r="S990" s="31">
        <v>118000</v>
      </c>
      <c r="T990" s="39">
        <v>130000</v>
      </c>
      <c r="U990">
        <v>18406</v>
      </c>
      <c r="V990">
        <v>13000</v>
      </c>
      <c r="W990">
        <v>0</v>
      </c>
      <c r="X990" s="39">
        <v>34180</v>
      </c>
      <c r="Y990">
        <v>0</v>
      </c>
      <c r="Z990" s="31">
        <v>98594</v>
      </c>
      <c r="AA990">
        <v>8</v>
      </c>
      <c r="AB990" s="3">
        <f t="shared" si="47"/>
        <v>98594</v>
      </c>
      <c r="AC990" t="str">
        <f>IF(AB990-S990&lt;0,"YES","NO")</f>
        <v>YES</v>
      </c>
      <c r="AD990">
        <f>IF(AC990="NO",0,AB990-S990)</f>
        <v>-19406</v>
      </c>
      <c r="AE990" s="43">
        <v>0.08</v>
      </c>
      <c r="AF990" s="3">
        <f t="shared" si="48"/>
        <v>-17968.518518518518</v>
      </c>
      <c r="AG990" s="45">
        <f t="shared" si="49"/>
        <v>-19765.370370370372</v>
      </c>
      <c r="AH990" s="55"/>
    </row>
    <row r="991" spans="1:34" x14ac:dyDescent="0.25">
      <c r="A991" t="s">
        <v>3881</v>
      </c>
      <c r="B991" t="s">
        <v>3882</v>
      </c>
      <c r="C991" t="s">
        <v>3883</v>
      </c>
      <c r="D991" t="s">
        <v>3884</v>
      </c>
      <c r="E991" t="s">
        <v>3885</v>
      </c>
      <c r="F991" t="s">
        <v>3886</v>
      </c>
      <c r="G991" t="s">
        <v>5</v>
      </c>
      <c r="H991" t="s">
        <v>65</v>
      </c>
      <c r="I991" t="s">
        <v>68</v>
      </c>
      <c r="J991" t="s">
        <v>69</v>
      </c>
      <c r="K991" t="s">
        <v>3</v>
      </c>
      <c r="L991" t="s">
        <v>4</v>
      </c>
      <c r="M991" t="s">
        <v>49</v>
      </c>
      <c r="N991" t="s">
        <v>3887</v>
      </c>
      <c r="O991" s="31" t="s">
        <v>3888</v>
      </c>
      <c r="P991">
        <v>220</v>
      </c>
      <c r="Q991" t="s">
        <v>70</v>
      </c>
      <c r="R991">
        <v>1</v>
      </c>
      <c r="S991" s="31">
        <v>59000</v>
      </c>
      <c r="T991" s="39">
        <v>65000</v>
      </c>
      <c r="U991">
        <v>9203.67</v>
      </c>
      <c r="V991">
        <v>6500</v>
      </c>
      <c r="W991">
        <v>0</v>
      </c>
      <c r="X991" s="39">
        <v>17091.330000000002</v>
      </c>
      <c r="Y991">
        <v>0</v>
      </c>
      <c r="Z991" s="31">
        <v>49296.33</v>
      </c>
      <c r="AA991">
        <v>8</v>
      </c>
      <c r="AB991" s="3">
        <f t="shared" si="47"/>
        <v>49296.33</v>
      </c>
      <c r="AC991" t="str">
        <f>IF(AB991-S991&lt;0,"YES","NO")</f>
        <v>YES</v>
      </c>
      <c r="AD991">
        <f>IF(AC991="NO",0,AB991-S991)</f>
        <v>-9703.6699999999983</v>
      </c>
      <c r="AE991" s="43">
        <v>0.08</v>
      </c>
      <c r="AF991" s="3">
        <f t="shared" si="48"/>
        <v>-8984.8796296296277</v>
      </c>
      <c r="AG991" s="45">
        <f t="shared" si="49"/>
        <v>-9883.3675925925909</v>
      </c>
      <c r="AH991" s="55"/>
    </row>
    <row r="992" spans="1:34" x14ac:dyDescent="0.25">
      <c r="A992" t="s">
        <v>3881</v>
      </c>
      <c r="B992" t="s">
        <v>3882</v>
      </c>
      <c r="C992" t="s">
        <v>3883</v>
      </c>
      <c r="D992" t="s">
        <v>3884</v>
      </c>
      <c r="E992" t="s">
        <v>3885</v>
      </c>
      <c r="F992" t="s">
        <v>3886</v>
      </c>
      <c r="G992" t="s">
        <v>5</v>
      </c>
      <c r="H992" t="s">
        <v>65</v>
      </c>
      <c r="I992" t="s">
        <v>71</v>
      </c>
      <c r="J992" t="s">
        <v>72</v>
      </c>
      <c r="K992" t="s">
        <v>3</v>
      </c>
      <c r="L992" t="s">
        <v>4</v>
      </c>
      <c r="M992" t="s">
        <v>49</v>
      </c>
      <c r="N992" t="s">
        <v>3887</v>
      </c>
      <c r="O992" s="31" t="s">
        <v>3888</v>
      </c>
      <c r="P992">
        <v>220</v>
      </c>
      <c r="Q992" t="s">
        <v>70</v>
      </c>
      <c r="R992">
        <v>1</v>
      </c>
      <c r="S992" s="31">
        <v>59000</v>
      </c>
      <c r="T992" s="39">
        <v>65000</v>
      </c>
      <c r="U992">
        <v>9203.67</v>
      </c>
      <c r="V992">
        <v>6500</v>
      </c>
      <c r="W992">
        <v>0</v>
      </c>
      <c r="X992" s="39">
        <v>17091.330000000002</v>
      </c>
      <c r="Y992">
        <v>0</v>
      </c>
      <c r="Z992" s="31">
        <v>49296.33</v>
      </c>
      <c r="AA992">
        <v>8</v>
      </c>
      <c r="AB992" s="3">
        <f t="shared" si="47"/>
        <v>49296.33</v>
      </c>
      <c r="AC992" t="str">
        <f>IF(AB992-S992&lt;0,"YES","NO")</f>
        <v>YES</v>
      </c>
      <c r="AD992">
        <f>IF(AC992="NO",0,AB992-S992)</f>
        <v>-9703.6699999999983</v>
      </c>
      <c r="AE992" s="43">
        <v>0.08</v>
      </c>
      <c r="AF992" s="3">
        <f t="shared" si="48"/>
        <v>-8984.8796296296277</v>
      </c>
      <c r="AG992" s="45">
        <f t="shared" si="49"/>
        <v>-9883.3675925925909</v>
      </c>
      <c r="AH992" s="55"/>
    </row>
    <row r="993" spans="1:34" x14ac:dyDescent="0.25">
      <c r="A993" t="s">
        <v>3881</v>
      </c>
      <c r="B993" t="s">
        <v>3882</v>
      </c>
      <c r="C993" t="s">
        <v>3883</v>
      </c>
      <c r="D993" t="s">
        <v>3884</v>
      </c>
      <c r="E993" t="s">
        <v>3885</v>
      </c>
      <c r="F993" t="s">
        <v>3886</v>
      </c>
      <c r="G993" t="s">
        <v>5</v>
      </c>
      <c r="H993" t="s">
        <v>65</v>
      </c>
      <c r="I993" t="s">
        <v>73</v>
      </c>
      <c r="J993" t="s">
        <v>74</v>
      </c>
      <c r="K993" t="s">
        <v>3</v>
      </c>
      <c r="L993" t="s">
        <v>4</v>
      </c>
      <c r="M993" t="s">
        <v>49</v>
      </c>
      <c r="N993" t="s">
        <v>3887</v>
      </c>
      <c r="O993" s="31" t="s">
        <v>3888</v>
      </c>
      <c r="P993">
        <v>220</v>
      </c>
      <c r="Q993" t="s">
        <v>70</v>
      </c>
      <c r="R993">
        <v>1</v>
      </c>
      <c r="S993" s="31">
        <v>59000</v>
      </c>
      <c r="T993" s="39">
        <v>65000</v>
      </c>
      <c r="U993">
        <v>9203.67</v>
      </c>
      <c r="V993">
        <v>6500</v>
      </c>
      <c r="W993">
        <v>0</v>
      </c>
      <c r="X993" s="39">
        <v>17091.330000000002</v>
      </c>
      <c r="Y993">
        <v>0</v>
      </c>
      <c r="Z993" s="31">
        <v>49296.33</v>
      </c>
      <c r="AA993">
        <v>8</v>
      </c>
      <c r="AB993" s="3">
        <f t="shared" si="47"/>
        <v>49296.33</v>
      </c>
      <c r="AC993" t="str">
        <f>IF(AB993-S993&lt;0,"YES","NO")</f>
        <v>YES</v>
      </c>
      <c r="AD993">
        <f>IF(AC993="NO",0,AB993-S993)</f>
        <v>-9703.6699999999983</v>
      </c>
      <c r="AE993" s="43">
        <v>0.08</v>
      </c>
      <c r="AF993" s="3">
        <f t="shared" si="48"/>
        <v>-8984.8796296296277</v>
      </c>
      <c r="AG993" s="45">
        <f t="shared" si="49"/>
        <v>-9883.3675925925909</v>
      </c>
      <c r="AH993" s="55"/>
    </row>
    <row r="994" spans="1:34" x14ac:dyDescent="0.25">
      <c r="A994" t="s">
        <v>3881</v>
      </c>
      <c r="B994" t="s">
        <v>3882</v>
      </c>
      <c r="C994" t="s">
        <v>3883</v>
      </c>
      <c r="D994" t="s">
        <v>3884</v>
      </c>
      <c r="E994" t="s">
        <v>3885</v>
      </c>
      <c r="F994" t="s">
        <v>3886</v>
      </c>
      <c r="G994" t="s">
        <v>5</v>
      </c>
      <c r="H994" t="s">
        <v>65</v>
      </c>
      <c r="I994" t="s">
        <v>66</v>
      </c>
      <c r="J994" t="s">
        <v>67</v>
      </c>
      <c r="K994" t="s">
        <v>3</v>
      </c>
      <c r="L994" t="s">
        <v>4</v>
      </c>
      <c r="M994" t="s">
        <v>49</v>
      </c>
      <c r="N994" t="s">
        <v>3887</v>
      </c>
      <c r="O994" s="31" t="s">
        <v>3888</v>
      </c>
      <c r="P994">
        <v>220</v>
      </c>
      <c r="R994">
        <v>1</v>
      </c>
      <c r="S994" s="31">
        <v>75000</v>
      </c>
      <c r="T994" s="39">
        <v>80000</v>
      </c>
      <c r="U994">
        <v>11327.67</v>
      </c>
      <c r="V994">
        <v>8000</v>
      </c>
      <c r="W994">
        <v>0</v>
      </c>
      <c r="X994" s="39">
        <v>21035.33</v>
      </c>
      <c r="Y994">
        <v>0</v>
      </c>
      <c r="Z994" s="31">
        <v>60672.33</v>
      </c>
      <c r="AA994">
        <v>8</v>
      </c>
      <c r="AB994" s="3">
        <f t="shared" si="47"/>
        <v>60672.33</v>
      </c>
      <c r="AC994" t="str">
        <f>IF(AB994-S994&lt;0,"YES","NO")</f>
        <v>YES</v>
      </c>
      <c r="AD994">
        <f>IF(AC994="NO",0,AB994-S994)</f>
        <v>-14327.669999999998</v>
      </c>
      <c r="AE994" s="43">
        <v>0.08</v>
      </c>
      <c r="AF994" s="3">
        <f t="shared" si="48"/>
        <v>-13266.361111111109</v>
      </c>
      <c r="AG994" s="45">
        <f t="shared" si="49"/>
        <v>-14592.997222222222</v>
      </c>
      <c r="AH994" s="55"/>
    </row>
    <row r="995" spans="1:34" x14ac:dyDescent="0.25">
      <c r="A995" t="s">
        <v>3881</v>
      </c>
      <c r="B995" t="s">
        <v>3882</v>
      </c>
      <c r="C995" t="s">
        <v>3883</v>
      </c>
      <c r="D995" t="s">
        <v>3884</v>
      </c>
      <c r="E995" t="s">
        <v>3885</v>
      </c>
      <c r="F995" t="s">
        <v>3886</v>
      </c>
      <c r="G995" t="s">
        <v>5</v>
      </c>
      <c r="H995" t="s">
        <v>65</v>
      </c>
      <c r="I995" t="s">
        <v>78</v>
      </c>
      <c r="J995" t="s">
        <v>79</v>
      </c>
      <c r="K995" t="s">
        <v>3</v>
      </c>
      <c r="L995" t="s">
        <v>4</v>
      </c>
      <c r="M995" t="s">
        <v>49</v>
      </c>
      <c r="N995" t="s">
        <v>3887</v>
      </c>
      <c r="O995" s="31" t="s">
        <v>3888</v>
      </c>
      <c r="P995">
        <v>220</v>
      </c>
      <c r="R995">
        <v>1</v>
      </c>
      <c r="S995" s="31">
        <v>75000</v>
      </c>
      <c r="T995" s="39">
        <v>80000</v>
      </c>
      <c r="U995">
        <v>11327.67</v>
      </c>
      <c r="V995">
        <v>8000</v>
      </c>
      <c r="W995">
        <v>0</v>
      </c>
      <c r="X995" s="39">
        <v>21035.33</v>
      </c>
      <c r="Y995">
        <v>0</v>
      </c>
      <c r="Z995" s="31">
        <v>60672.33</v>
      </c>
      <c r="AA995">
        <v>8</v>
      </c>
      <c r="AB995" s="3">
        <f t="shared" si="47"/>
        <v>60672.33</v>
      </c>
      <c r="AC995" t="str">
        <f>IF(AB995-S995&lt;0,"YES","NO")</f>
        <v>YES</v>
      </c>
      <c r="AD995">
        <f>IF(AC995="NO",0,AB995-S995)</f>
        <v>-14327.669999999998</v>
      </c>
      <c r="AE995" s="43">
        <v>0.08</v>
      </c>
      <c r="AF995" s="3">
        <f t="shared" si="48"/>
        <v>-13266.361111111109</v>
      </c>
      <c r="AG995" s="45">
        <f t="shared" si="49"/>
        <v>-14592.997222222222</v>
      </c>
      <c r="AH995" s="55"/>
    </row>
    <row r="996" spans="1:34" x14ac:dyDescent="0.25">
      <c r="A996" t="s">
        <v>3881</v>
      </c>
      <c r="B996" t="s">
        <v>3882</v>
      </c>
      <c r="C996" t="s">
        <v>3883</v>
      </c>
      <c r="D996" t="s">
        <v>3884</v>
      </c>
      <c r="E996" t="s">
        <v>3885</v>
      </c>
      <c r="F996" t="s">
        <v>3886</v>
      </c>
      <c r="G996" t="s">
        <v>5</v>
      </c>
      <c r="H996" t="s">
        <v>65</v>
      </c>
      <c r="I996" t="s">
        <v>80</v>
      </c>
      <c r="J996" t="s">
        <v>81</v>
      </c>
      <c r="K996" t="s">
        <v>3</v>
      </c>
      <c r="L996" t="s">
        <v>4</v>
      </c>
      <c r="M996" t="s">
        <v>49</v>
      </c>
      <c r="N996" t="s">
        <v>3887</v>
      </c>
      <c r="O996" s="31" t="s">
        <v>3888</v>
      </c>
      <c r="P996">
        <v>220</v>
      </c>
      <c r="R996">
        <v>1</v>
      </c>
      <c r="S996" s="31">
        <v>75000</v>
      </c>
      <c r="T996" s="39">
        <v>80000</v>
      </c>
      <c r="U996">
        <v>11327.67</v>
      </c>
      <c r="V996">
        <v>8000</v>
      </c>
      <c r="W996">
        <v>0</v>
      </c>
      <c r="X996" s="39">
        <v>21035.33</v>
      </c>
      <c r="Y996">
        <v>0</v>
      </c>
      <c r="Z996" s="31">
        <v>60672.33</v>
      </c>
      <c r="AA996">
        <v>8</v>
      </c>
      <c r="AB996" s="3">
        <f t="shared" si="47"/>
        <v>60672.33</v>
      </c>
      <c r="AC996" t="str">
        <f>IF(AB996-S996&lt;0,"YES","NO")</f>
        <v>YES</v>
      </c>
      <c r="AD996">
        <f>IF(AC996="NO",0,AB996-S996)</f>
        <v>-14327.669999999998</v>
      </c>
      <c r="AE996" s="43">
        <v>0.08</v>
      </c>
      <c r="AF996" s="3">
        <f t="shared" si="48"/>
        <v>-13266.361111111109</v>
      </c>
      <c r="AG996" s="45">
        <f t="shared" si="49"/>
        <v>-14592.997222222222</v>
      </c>
      <c r="AH996" s="55"/>
    </row>
    <row r="997" spans="1:34" x14ac:dyDescent="0.25">
      <c r="A997" t="s">
        <v>3889</v>
      </c>
      <c r="B997" t="s">
        <v>3890</v>
      </c>
      <c r="C997" t="s">
        <v>3891</v>
      </c>
      <c r="D997" t="s">
        <v>3892</v>
      </c>
      <c r="E997" t="s">
        <v>3893</v>
      </c>
      <c r="F997" t="s">
        <v>3894</v>
      </c>
      <c r="G997" t="s">
        <v>5</v>
      </c>
      <c r="H997" t="s">
        <v>61</v>
      </c>
      <c r="I997" t="s">
        <v>75</v>
      </c>
      <c r="J997" t="s">
        <v>76</v>
      </c>
      <c r="K997" t="s">
        <v>3</v>
      </c>
      <c r="L997" t="s">
        <v>4</v>
      </c>
      <c r="M997" t="s">
        <v>49</v>
      </c>
      <c r="N997" t="s">
        <v>3895</v>
      </c>
      <c r="O997" s="31" t="s">
        <v>3896</v>
      </c>
      <c r="P997">
        <v>20</v>
      </c>
      <c r="Q997" t="s">
        <v>77</v>
      </c>
      <c r="R997">
        <v>1</v>
      </c>
      <c r="S997" s="31">
        <v>0</v>
      </c>
      <c r="T997" s="39">
        <v>0</v>
      </c>
      <c r="U997">
        <v>0</v>
      </c>
      <c r="V997">
        <v>0</v>
      </c>
      <c r="W997">
        <v>0</v>
      </c>
      <c r="X997" s="39">
        <v>0</v>
      </c>
      <c r="Y997">
        <v>0</v>
      </c>
      <c r="Z997" s="31">
        <v>0</v>
      </c>
      <c r="AA997">
        <v>8</v>
      </c>
      <c r="AB997" s="3">
        <f t="shared" si="47"/>
        <v>0</v>
      </c>
      <c r="AC997" t="str">
        <f>IF(AB997-S997&lt;0,"YES","NO")</f>
        <v>NO</v>
      </c>
      <c r="AD997">
        <f>IF(AC997="NO",0,AB997-S997)</f>
        <v>0</v>
      </c>
      <c r="AE997" s="43">
        <v>0.08</v>
      </c>
      <c r="AF997" s="3">
        <f t="shared" si="48"/>
        <v>0</v>
      </c>
      <c r="AG997" s="45">
        <f t="shared" si="49"/>
        <v>0</v>
      </c>
      <c r="AH997" s="55"/>
    </row>
    <row r="998" spans="1:34" x14ac:dyDescent="0.25">
      <c r="A998" t="s">
        <v>3889</v>
      </c>
      <c r="B998" t="s">
        <v>3890</v>
      </c>
      <c r="C998" t="s">
        <v>3891</v>
      </c>
      <c r="D998" t="s">
        <v>3892</v>
      </c>
      <c r="E998" t="s">
        <v>3893</v>
      </c>
      <c r="F998" t="s">
        <v>3894</v>
      </c>
      <c r="G998" t="s">
        <v>5</v>
      </c>
      <c r="H998" t="s">
        <v>65</v>
      </c>
      <c r="I998" t="s">
        <v>73</v>
      </c>
      <c r="J998" t="s">
        <v>74</v>
      </c>
      <c r="K998" t="s">
        <v>3</v>
      </c>
      <c r="L998" t="s">
        <v>4</v>
      </c>
      <c r="M998" t="s">
        <v>49</v>
      </c>
      <c r="N998" t="s">
        <v>3895</v>
      </c>
      <c r="O998" s="31" t="s">
        <v>3896</v>
      </c>
      <c r="P998">
        <v>220</v>
      </c>
      <c r="Q998" t="s">
        <v>70</v>
      </c>
      <c r="R998">
        <v>6</v>
      </c>
      <c r="S998" s="31">
        <v>354000</v>
      </c>
      <c r="T998" s="39">
        <v>390000</v>
      </c>
      <c r="U998">
        <v>75000</v>
      </c>
      <c r="V998">
        <v>39000</v>
      </c>
      <c r="W998">
        <v>0</v>
      </c>
      <c r="X998" s="39">
        <v>116400</v>
      </c>
      <c r="Y998">
        <v>0</v>
      </c>
      <c r="Z998" s="31">
        <v>276000</v>
      </c>
      <c r="AA998">
        <v>8</v>
      </c>
      <c r="AB998" s="3">
        <f t="shared" si="47"/>
        <v>276000</v>
      </c>
      <c r="AC998" t="str">
        <f>IF(AB998-S998&lt;0,"YES","NO")</f>
        <v>YES</v>
      </c>
      <c r="AD998">
        <f>IF(AC998="NO",0,AB998-S998)</f>
        <v>-78000</v>
      </c>
      <c r="AE998" s="43">
        <v>0.08</v>
      </c>
      <c r="AF998" s="3">
        <f t="shared" si="48"/>
        <v>-72222.222222222219</v>
      </c>
      <c r="AG998" s="45">
        <f t="shared" si="49"/>
        <v>-79444.444444444453</v>
      </c>
      <c r="AH998" s="55"/>
    </row>
    <row r="999" spans="1:34" x14ac:dyDescent="0.25">
      <c r="A999" t="s">
        <v>3897</v>
      </c>
      <c r="B999" t="s">
        <v>3898</v>
      </c>
      <c r="C999" t="s">
        <v>3899</v>
      </c>
      <c r="D999" t="s">
        <v>3900</v>
      </c>
      <c r="E999" t="s">
        <v>3901</v>
      </c>
      <c r="F999" t="s">
        <v>3902</v>
      </c>
      <c r="G999" t="s">
        <v>5</v>
      </c>
      <c r="H999" t="s">
        <v>61</v>
      </c>
      <c r="I999" t="s">
        <v>75</v>
      </c>
      <c r="J999" t="s">
        <v>76</v>
      </c>
      <c r="K999" t="s">
        <v>3</v>
      </c>
      <c r="L999" t="s">
        <v>4</v>
      </c>
      <c r="M999" t="s">
        <v>49</v>
      </c>
      <c r="N999" t="s">
        <v>3903</v>
      </c>
      <c r="O999" s="31" t="s">
        <v>3904</v>
      </c>
      <c r="P999">
        <v>20</v>
      </c>
      <c r="Q999" t="s">
        <v>77</v>
      </c>
      <c r="R999">
        <v>1</v>
      </c>
      <c r="S999" s="31">
        <v>0</v>
      </c>
      <c r="T999" s="39">
        <v>0</v>
      </c>
      <c r="U999">
        <v>0</v>
      </c>
      <c r="V999">
        <v>0</v>
      </c>
      <c r="W999">
        <v>0</v>
      </c>
      <c r="X999" s="39">
        <v>0</v>
      </c>
      <c r="Y999">
        <v>0</v>
      </c>
      <c r="Z999" s="31">
        <v>0</v>
      </c>
      <c r="AA999">
        <v>8</v>
      </c>
      <c r="AB999" s="3">
        <f t="shared" si="47"/>
        <v>0</v>
      </c>
      <c r="AC999" t="str">
        <f>IF(AB999-S999&lt;0,"YES","NO")</f>
        <v>NO</v>
      </c>
      <c r="AD999">
        <f>IF(AC999="NO",0,AB999-S999)</f>
        <v>0</v>
      </c>
      <c r="AE999" s="43">
        <v>0.08</v>
      </c>
      <c r="AF999" s="3">
        <f t="shared" si="48"/>
        <v>0</v>
      </c>
      <c r="AG999" s="45">
        <f t="shared" si="49"/>
        <v>0</v>
      </c>
      <c r="AH999" s="55"/>
    </row>
    <row r="1000" spans="1:34" x14ac:dyDescent="0.25">
      <c r="A1000" t="s">
        <v>3897</v>
      </c>
      <c r="B1000" t="s">
        <v>3898</v>
      </c>
      <c r="C1000" t="s">
        <v>3899</v>
      </c>
      <c r="D1000" t="s">
        <v>3900</v>
      </c>
      <c r="E1000" t="s">
        <v>3901</v>
      </c>
      <c r="F1000" t="s">
        <v>3902</v>
      </c>
      <c r="G1000" t="s">
        <v>5</v>
      </c>
      <c r="H1000" t="s">
        <v>65</v>
      </c>
      <c r="I1000" t="s">
        <v>66</v>
      </c>
      <c r="J1000" t="s">
        <v>67</v>
      </c>
      <c r="K1000" t="s">
        <v>3</v>
      </c>
      <c r="L1000" t="s">
        <v>4</v>
      </c>
      <c r="M1000" t="s">
        <v>49</v>
      </c>
      <c r="N1000" t="s">
        <v>3903</v>
      </c>
      <c r="O1000" s="31" t="s">
        <v>3904</v>
      </c>
      <c r="P1000">
        <v>220</v>
      </c>
      <c r="R1000">
        <v>2</v>
      </c>
      <c r="S1000" s="31">
        <v>150000</v>
      </c>
      <c r="T1000" s="39">
        <v>160000</v>
      </c>
      <c r="U1000">
        <v>25000</v>
      </c>
      <c r="V1000">
        <v>16000</v>
      </c>
      <c r="W1000">
        <v>0</v>
      </c>
      <c r="X1000" s="39">
        <v>48800</v>
      </c>
      <c r="Y1000">
        <v>0</v>
      </c>
      <c r="Z1000" s="31">
        <v>119000</v>
      </c>
      <c r="AA1000">
        <v>8</v>
      </c>
      <c r="AB1000" s="3">
        <f t="shared" si="47"/>
        <v>119000</v>
      </c>
      <c r="AC1000" t="str">
        <f>IF(AB1000-S1000&lt;0,"YES","NO")</f>
        <v>YES</v>
      </c>
      <c r="AD1000">
        <f>IF(AC1000="NO",0,AB1000-S1000)</f>
        <v>-31000</v>
      </c>
      <c r="AE1000" s="43">
        <v>0.08</v>
      </c>
      <c r="AF1000" s="3">
        <f t="shared" si="48"/>
        <v>-28703.703703703701</v>
      </c>
      <c r="AG1000" s="45">
        <f t="shared" si="49"/>
        <v>-31574.074074074073</v>
      </c>
      <c r="AH1000" s="55"/>
    </row>
    <row r="1001" spans="1:34" x14ac:dyDescent="0.25">
      <c r="A1001" t="s">
        <v>3897</v>
      </c>
      <c r="B1001" t="s">
        <v>3898</v>
      </c>
      <c r="C1001" t="s">
        <v>3899</v>
      </c>
      <c r="D1001" t="s">
        <v>3900</v>
      </c>
      <c r="E1001" t="s">
        <v>3901</v>
      </c>
      <c r="F1001" t="s">
        <v>3902</v>
      </c>
      <c r="G1001" t="s">
        <v>5</v>
      </c>
      <c r="H1001" t="s">
        <v>65</v>
      </c>
      <c r="I1001" t="s">
        <v>78</v>
      </c>
      <c r="J1001" t="s">
        <v>79</v>
      </c>
      <c r="K1001" t="s">
        <v>3</v>
      </c>
      <c r="L1001" t="s">
        <v>4</v>
      </c>
      <c r="M1001" t="s">
        <v>49</v>
      </c>
      <c r="N1001" t="s">
        <v>3903</v>
      </c>
      <c r="O1001" s="31" t="s">
        <v>3904</v>
      </c>
      <c r="P1001">
        <v>220</v>
      </c>
      <c r="R1001">
        <v>2</v>
      </c>
      <c r="S1001" s="31">
        <v>150000</v>
      </c>
      <c r="T1001" s="39">
        <v>160000</v>
      </c>
      <c r="U1001">
        <v>25000</v>
      </c>
      <c r="V1001">
        <v>16000</v>
      </c>
      <c r="W1001">
        <v>0</v>
      </c>
      <c r="X1001" s="39">
        <v>48800</v>
      </c>
      <c r="Y1001">
        <v>0</v>
      </c>
      <c r="Z1001" s="31">
        <v>119000</v>
      </c>
      <c r="AA1001">
        <v>8</v>
      </c>
      <c r="AB1001" s="3">
        <f t="shared" si="47"/>
        <v>119000</v>
      </c>
      <c r="AC1001" t="str">
        <f>IF(AB1001-S1001&lt;0,"YES","NO")</f>
        <v>YES</v>
      </c>
      <c r="AD1001">
        <f>IF(AC1001="NO",0,AB1001-S1001)</f>
        <v>-31000</v>
      </c>
      <c r="AE1001" s="43">
        <v>0.08</v>
      </c>
      <c r="AF1001" s="3">
        <f t="shared" si="48"/>
        <v>-28703.703703703701</v>
      </c>
      <c r="AG1001" s="45">
        <f t="shared" si="49"/>
        <v>-31574.074074074073</v>
      </c>
      <c r="AH1001" s="55"/>
    </row>
    <row r="1002" spans="1:34" x14ac:dyDescent="0.25">
      <c r="A1002" t="s">
        <v>3897</v>
      </c>
      <c r="B1002" t="s">
        <v>3898</v>
      </c>
      <c r="C1002" t="s">
        <v>3899</v>
      </c>
      <c r="D1002" t="s">
        <v>3900</v>
      </c>
      <c r="E1002" t="s">
        <v>3901</v>
      </c>
      <c r="F1002" t="s">
        <v>3902</v>
      </c>
      <c r="G1002" t="s">
        <v>5</v>
      </c>
      <c r="H1002" t="s">
        <v>65</v>
      </c>
      <c r="I1002" t="s">
        <v>80</v>
      </c>
      <c r="J1002" t="s">
        <v>81</v>
      </c>
      <c r="K1002" t="s">
        <v>3</v>
      </c>
      <c r="L1002" t="s">
        <v>4</v>
      </c>
      <c r="M1002" t="s">
        <v>49</v>
      </c>
      <c r="N1002" t="s">
        <v>3903</v>
      </c>
      <c r="O1002" s="31" t="s">
        <v>3904</v>
      </c>
      <c r="P1002">
        <v>220</v>
      </c>
      <c r="R1002">
        <v>2</v>
      </c>
      <c r="S1002" s="31">
        <v>150000</v>
      </c>
      <c r="T1002" s="39">
        <v>160000</v>
      </c>
      <c r="U1002">
        <v>25000</v>
      </c>
      <c r="V1002">
        <v>16000</v>
      </c>
      <c r="W1002">
        <v>0</v>
      </c>
      <c r="X1002" s="39">
        <v>48800</v>
      </c>
      <c r="Y1002">
        <v>0</v>
      </c>
      <c r="Z1002" s="31">
        <v>119000</v>
      </c>
      <c r="AA1002">
        <v>8</v>
      </c>
      <c r="AB1002" s="3">
        <f t="shared" si="47"/>
        <v>119000</v>
      </c>
      <c r="AC1002" t="str">
        <f>IF(AB1002-S1002&lt;0,"YES","NO")</f>
        <v>YES</v>
      </c>
      <c r="AD1002">
        <f>IF(AC1002="NO",0,AB1002-S1002)</f>
        <v>-31000</v>
      </c>
      <c r="AE1002" s="43">
        <v>0.08</v>
      </c>
      <c r="AF1002" s="3">
        <f t="shared" si="48"/>
        <v>-28703.703703703701</v>
      </c>
      <c r="AG1002" s="45">
        <f t="shared" si="49"/>
        <v>-31574.074074074073</v>
      </c>
      <c r="AH1002" s="55"/>
    </row>
    <row r="1003" spans="1:34" x14ac:dyDescent="0.25">
      <c r="A1003" t="s">
        <v>3897</v>
      </c>
      <c r="B1003" t="s">
        <v>3898</v>
      </c>
      <c r="C1003" t="s">
        <v>3899</v>
      </c>
      <c r="D1003" t="s">
        <v>3900</v>
      </c>
      <c r="E1003" t="s">
        <v>3901</v>
      </c>
      <c r="F1003" t="s">
        <v>3902</v>
      </c>
      <c r="G1003" t="s">
        <v>5</v>
      </c>
      <c r="H1003" t="s">
        <v>65</v>
      </c>
      <c r="I1003" t="s">
        <v>87</v>
      </c>
      <c r="J1003" t="s">
        <v>88</v>
      </c>
      <c r="K1003" t="s">
        <v>3</v>
      </c>
      <c r="L1003" t="s">
        <v>4</v>
      </c>
      <c r="M1003" t="s">
        <v>49</v>
      </c>
      <c r="N1003" t="s">
        <v>3903</v>
      </c>
      <c r="O1003" s="31" t="s">
        <v>3904</v>
      </c>
      <c r="P1003">
        <v>220</v>
      </c>
      <c r="Q1003" t="s">
        <v>89</v>
      </c>
      <c r="R1003">
        <v>1</v>
      </c>
      <c r="S1003" s="31">
        <v>59000</v>
      </c>
      <c r="T1003" s="39">
        <v>70000</v>
      </c>
      <c r="U1003">
        <v>0</v>
      </c>
      <c r="V1003">
        <v>7000</v>
      </c>
      <c r="W1003">
        <v>0</v>
      </c>
      <c r="X1003" s="39">
        <v>12600</v>
      </c>
      <c r="Y1003">
        <v>0</v>
      </c>
      <c r="Z1003" s="31">
        <v>63000</v>
      </c>
      <c r="AA1003">
        <v>8</v>
      </c>
      <c r="AB1003" s="3">
        <f t="shared" si="47"/>
        <v>63000</v>
      </c>
      <c r="AC1003" t="str">
        <f>IF(AB1003-S1003&lt;0,"YES","NO")</f>
        <v>NO</v>
      </c>
      <c r="AD1003">
        <f>IF(AC1003="NO",0,AB1003-S1003)</f>
        <v>0</v>
      </c>
      <c r="AE1003" s="43">
        <v>0.08</v>
      </c>
      <c r="AF1003" s="3">
        <f t="shared" si="48"/>
        <v>0</v>
      </c>
      <c r="AG1003" s="45">
        <f t="shared" si="49"/>
        <v>0</v>
      </c>
      <c r="AH1003" s="55"/>
    </row>
    <row r="1004" spans="1:34" x14ac:dyDescent="0.25">
      <c r="A1004" t="s">
        <v>3897</v>
      </c>
      <c r="B1004" t="s">
        <v>3898</v>
      </c>
      <c r="C1004" t="s">
        <v>3899</v>
      </c>
      <c r="D1004" t="s">
        <v>3900</v>
      </c>
      <c r="E1004" t="s">
        <v>3901</v>
      </c>
      <c r="F1004" t="s">
        <v>3902</v>
      </c>
      <c r="G1004" t="s">
        <v>5</v>
      </c>
      <c r="H1004" t="s">
        <v>65</v>
      </c>
      <c r="I1004" t="s">
        <v>90</v>
      </c>
      <c r="J1004" t="s">
        <v>91</v>
      </c>
      <c r="K1004" t="s">
        <v>3</v>
      </c>
      <c r="L1004" t="s">
        <v>4</v>
      </c>
      <c r="M1004" t="s">
        <v>49</v>
      </c>
      <c r="N1004" t="s">
        <v>3903</v>
      </c>
      <c r="O1004" s="31" t="s">
        <v>3904</v>
      </c>
      <c r="P1004">
        <v>220</v>
      </c>
      <c r="Q1004" t="s">
        <v>92</v>
      </c>
      <c r="R1004">
        <v>1</v>
      </c>
      <c r="S1004" s="31">
        <v>59000</v>
      </c>
      <c r="T1004" s="39">
        <v>70000</v>
      </c>
      <c r="U1004">
        <v>0</v>
      </c>
      <c r="V1004">
        <v>7000</v>
      </c>
      <c r="W1004">
        <v>0</v>
      </c>
      <c r="X1004" s="39">
        <v>12600</v>
      </c>
      <c r="Y1004">
        <v>0</v>
      </c>
      <c r="Z1004" s="31">
        <v>63000</v>
      </c>
      <c r="AA1004">
        <v>8</v>
      </c>
      <c r="AB1004" s="3">
        <f t="shared" si="47"/>
        <v>63000</v>
      </c>
      <c r="AC1004" t="str">
        <f>IF(AB1004-S1004&lt;0,"YES","NO")</f>
        <v>NO</v>
      </c>
      <c r="AD1004">
        <f>IF(AC1004="NO",0,AB1004-S1004)</f>
        <v>0</v>
      </c>
      <c r="AE1004" s="43">
        <v>0.08</v>
      </c>
      <c r="AF1004" s="3">
        <f t="shared" si="48"/>
        <v>0</v>
      </c>
      <c r="AG1004" s="45">
        <f t="shared" si="49"/>
        <v>0</v>
      </c>
      <c r="AH1004" s="55"/>
    </row>
    <row r="1005" spans="1:34" x14ac:dyDescent="0.25">
      <c r="A1005" t="s">
        <v>3897</v>
      </c>
      <c r="B1005" t="s">
        <v>3898</v>
      </c>
      <c r="C1005" t="s">
        <v>3899</v>
      </c>
      <c r="D1005" t="s">
        <v>3900</v>
      </c>
      <c r="E1005" t="s">
        <v>3901</v>
      </c>
      <c r="F1005" t="s">
        <v>3902</v>
      </c>
      <c r="G1005" t="s">
        <v>5</v>
      </c>
      <c r="H1005" t="s">
        <v>65</v>
      </c>
      <c r="I1005" t="s">
        <v>104</v>
      </c>
      <c r="J1005" t="s">
        <v>105</v>
      </c>
      <c r="K1005" t="s">
        <v>3</v>
      </c>
      <c r="L1005" t="s">
        <v>4</v>
      </c>
      <c r="M1005" t="s">
        <v>49</v>
      </c>
      <c r="N1005" t="s">
        <v>3903</v>
      </c>
      <c r="O1005" s="31" t="s">
        <v>3904</v>
      </c>
      <c r="P1005">
        <v>380</v>
      </c>
      <c r="R1005">
        <v>1</v>
      </c>
      <c r="S1005" s="31">
        <v>66000</v>
      </c>
      <c r="T1005" s="39">
        <v>70000</v>
      </c>
      <c r="U1005">
        <v>0</v>
      </c>
      <c r="V1005">
        <v>0</v>
      </c>
      <c r="W1005">
        <v>0</v>
      </c>
      <c r="X1005" s="39">
        <v>14000</v>
      </c>
      <c r="Y1005">
        <v>0</v>
      </c>
      <c r="Z1005" s="31">
        <v>70000</v>
      </c>
      <c r="AA1005">
        <v>8</v>
      </c>
      <c r="AB1005" s="3">
        <f t="shared" si="47"/>
        <v>70000</v>
      </c>
      <c r="AC1005" t="str">
        <f>IF(AB1005-S1005&lt;0,"YES","NO")</f>
        <v>NO</v>
      </c>
      <c r="AD1005">
        <f>IF(AC1005="NO",0,AB1005-S1005)</f>
        <v>0</v>
      </c>
      <c r="AE1005" s="43">
        <v>0.08</v>
      </c>
      <c r="AF1005" s="3">
        <f t="shared" si="48"/>
        <v>0</v>
      </c>
      <c r="AG1005" s="45">
        <f t="shared" si="49"/>
        <v>0</v>
      </c>
      <c r="AH1005" s="55"/>
    </row>
    <row r="1006" spans="1:34" x14ac:dyDescent="0.25">
      <c r="A1006" t="s">
        <v>3897</v>
      </c>
      <c r="B1006" t="s">
        <v>3898</v>
      </c>
      <c r="C1006" t="s">
        <v>3899</v>
      </c>
      <c r="D1006" t="s">
        <v>3900</v>
      </c>
      <c r="E1006" t="s">
        <v>3901</v>
      </c>
      <c r="F1006" t="s">
        <v>3902</v>
      </c>
      <c r="G1006" t="s">
        <v>5</v>
      </c>
      <c r="H1006" t="s">
        <v>65</v>
      </c>
      <c r="I1006" t="s">
        <v>109</v>
      </c>
      <c r="J1006" t="s">
        <v>110</v>
      </c>
      <c r="K1006" t="s">
        <v>3</v>
      </c>
      <c r="L1006" t="s">
        <v>4</v>
      </c>
      <c r="M1006" t="s">
        <v>49</v>
      </c>
      <c r="N1006" t="s">
        <v>3903</v>
      </c>
      <c r="O1006" s="31" t="s">
        <v>3904</v>
      </c>
      <c r="P1006">
        <v>380</v>
      </c>
      <c r="R1006">
        <v>1</v>
      </c>
      <c r="S1006" s="31">
        <v>66000</v>
      </c>
      <c r="T1006" s="39">
        <v>70000</v>
      </c>
      <c r="U1006">
        <v>0</v>
      </c>
      <c r="V1006">
        <v>0</v>
      </c>
      <c r="W1006">
        <v>0</v>
      </c>
      <c r="X1006" s="39">
        <v>14000</v>
      </c>
      <c r="Y1006">
        <v>0</v>
      </c>
      <c r="Z1006" s="31">
        <v>70000</v>
      </c>
      <c r="AA1006">
        <v>8</v>
      </c>
      <c r="AB1006" s="3">
        <f t="shared" si="47"/>
        <v>70000</v>
      </c>
      <c r="AC1006" t="str">
        <f>IF(AB1006-S1006&lt;0,"YES","NO")</f>
        <v>NO</v>
      </c>
      <c r="AD1006">
        <f>IF(AC1006="NO",0,AB1006-S1006)</f>
        <v>0</v>
      </c>
      <c r="AE1006" s="43">
        <v>0.08</v>
      </c>
      <c r="AF1006" s="3">
        <f t="shared" si="48"/>
        <v>0</v>
      </c>
      <c r="AG1006" s="45">
        <f t="shared" si="49"/>
        <v>0</v>
      </c>
      <c r="AH1006" s="55"/>
    </row>
    <row r="1007" spans="1:34" x14ac:dyDescent="0.25">
      <c r="A1007" t="s">
        <v>3905</v>
      </c>
      <c r="B1007" t="s">
        <v>3906</v>
      </c>
      <c r="C1007" t="s">
        <v>3907</v>
      </c>
      <c r="D1007" t="s">
        <v>3908</v>
      </c>
      <c r="E1007" t="s">
        <v>3909</v>
      </c>
      <c r="F1007" t="s">
        <v>3910</v>
      </c>
      <c r="G1007" t="s">
        <v>5</v>
      </c>
      <c r="H1007" t="s">
        <v>61</v>
      </c>
      <c r="I1007" t="s">
        <v>84</v>
      </c>
      <c r="J1007" t="s">
        <v>85</v>
      </c>
      <c r="K1007" t="s">
        <v>3</v>
      </c>
      <c r="L1007" t="s">
        <v>4</v>
      </c>
      <c r="M1007" t="s">
        <v>49</v>
      </c>
      <c r="N1007" t="s">
        <v>3911</v>
      </c>
      <c r="O1007" s="31" t="s">
        <v>3912</v>
      </c>
      <c r="P1007">
        <v>100</v>
      </c>
      <c r="Q1007" t="s">
        <v>86</v>
      </c>
      <c r="R1007">
        <v>1</v>
      </c>
      <c r="S1007" s="31">
        <v>0</v>
      </c>
      <c r="T1007" s="39">
        <v>0</v>
      </c>
      <c r="U1007">
        <v>0</v>
      </c>
      <c r="V1007">
        <v>0</v>
      </c>
      <c r="W1007">
        <v>0</v>
      </c>
      <c r="X1007" s="39">
        <v>0</v>
      </c>
      <c r="Y1007">
        <v>0</v>
      </c>
      <c r="Z1007" s="31">
        <v>0</v>
      </c>
      <c r="AA1007">
        <v>8</v>
      </c>
      <c r="AB1007" s="3">
        <f t="shared" si="47"/>
        <v>0</v>
      </c>
      <c r="AC1007" t="str">
        <f>IF(AB1007-S1007&lt;0,"YES","NO")</f>
        <v>NO</v>
      </c>
      <c r="AD1007">
        <f>IF(AC1007="NO",0,AB1007-S1007)</f>
        <v>0</v>
      </c>
      <c r="AE1007" s="43">
        <v>0.08</v>
      </c>
      <c r="AF1007" s="3">
        <f t="shared" si="48"/>
        <v>0</v>
      </c>
      <c r="AG1007" s="45">
        <f t="shared" si="49"/>
        <v>0</v>
      </c>
      <c r="AH1007" s="55"/>
    </row>
    <row r="1008" spans="1:34" x14ac:dyDescent="0.25">
      <c r="A1008" t="s">
        <v>3905</v>
      </c>
      <c r="B1008" t="s">
        <v>3906</v>
      </c>
      <c r="C1008" t="s">
        <v>3907</v>
      </c>
      <c r="D1008" t="s">
        <v>3908</v>
      </c>
      <c r="E1008" t="s">
        <v>3909</v>
      </c>
      <c r="F1008" t="s">
        <v>3910</v>
      </c>
      <c r="G1008" t="s">
        <v>5</v>
      </c>
      <c r="H1008" t="s">
        <v>65</v>
      </c>
      <c r="I1008" t="s">
        <v>82</v>
      </c>
      <c r="J1008" t="s">
        <v>83</v>
      </c>
      <c r="K1008" t="s">
        <v>3</v>
      </c>
      <c r="L1008" t="s">
        <v>4</v>
      </c>
      <c r="M1008" t="s">
        <v>49</v>
      </c>
      <c r="N1008" t="s">
        <v>3911</v>
      </c>
      <c r="O1008" s="31" t="s">
        <v>3912</v>
      </c>
      <c r="P1008">
        <v>220</v>
      </c>
      <c r="R1008">
        <v>2</v>
      </c>
      <c r="S1008" s="31">
        <v>150000</v>
      </c>
      <c r="T1008" s="39">
        <v>160000</v>
      </c>
      <c r="U1008">
        <v>20000</v>
      </c>
      <c r="V1008">
        <v>16000</v>
      </c>
      <c r="W1008">
        <v>0</v>
      </c>
      <c r="X1008" s="39">
        <v>39840</v>
      </c>
      <c r="Y1008">
        <v>0</v>
      </c>
      <c r="Z1008" s="31">
        <v>124000</v>
      </c>
      <c r="AA1008">
        <v>8</v>
      </c>
      <c r="AB1008" s="3">
        <f t="shared" si="47"/>
        <v>124000</v>
      </c>
      <c r="AC1008" t="str">
        <f>IF(AB1008-S1008&lt;0,"YES","NO")</f>
        <v>YES</v>
      </c>
      <c r="AD1008">
        <f>IF(AC1008="NO",0,AB1008-S1008)</f>
        <v>-26000</v>
      </c>
      <c r="AE1008" s="43">
        <v>0.08</v>
      </c>
      <c r="AF1008" s="3">
        <f t="shared" si="48"/>
        <v>-24074.074074074073</v>
      </c>
      <c r="AG1008" s="45">
        <f t="shared" si="49"/>
        <v>-26481.481481481482</v>
      </c>
      <c r="AH1008" s="55"/>
    </row>
    <row r="1009" spans="1:34" x14ac:dyDescent="0.25">
      <c r="A1009" t="s">
        <v>3913</v>
      </c>
      <c r="B1009" t="s">
        <v>3914</v>
      </c>
      <c r="C1009" t="s">
        <v>3915</v>
      </c>
      <c r="D1009" t="s">
        <v>3916</v>
      </c>
      <c r="E1009" t="s">
        <v>3917</v>
      </c>
      <c r="F1009" t="s">
        <v>3918</v>
      </c>
      <c r="G1009" t="s">
        <v>5</v>
      </c>
      <c r="H1009" t="s">
        <v>61</v>
      </c>
      <c r="I1009" t="s">
        <v>75</v>
      </c>
      <c r="J1009" t="s">
        <v>76</v>
      </c>
      <c r="K1009" t="s">
        <v>3</v>
      </c>
      <c r="L1009" t="s">
        <v>4</v>
      </c>
      <c r="M1009" t="s">
        <v>49</v>
      </c>
      <c r="N1009" t="s">
        <v>3919</v>
      </c>
      <c r="O1009" s="31" t="s">
        <v>3920</v>
      </c>
      <c r="P1009">
        <v>20</v>
      </c>
      <c r="Q1009" t="s">
        <v>77</v>
      </c>
      <c r="R1009">
        <v>1</v>
      </c>
      <c r="S1009" s="31">
        <v>0</v>
      </c>
      <c r="T1009" s="39">
        <v>0</v>
      </c>
      <c r="U1009">
        <v>0</v>
      </c>
      <c r="V1009">
        <v>0</v>
      </c>
      <c r="W1009">
        <v>0</v>
      </c>
      <c r="X1009" s="39">
        <v>0</v>
      </c>
      <c r="Y1009">
        <v>0</v>
      </c>
      <c r="Z1009" s="31">
        <v>0</v>
      </c>
      <c r="AA1009">
        <v>8</v>
      </c>
      <c r="AB1009" s="3">
        <f t="shared" si="47"/>
        <v>0</v>
      </c>
      <c r="AC1009" t="str">
        <f>IF(AB1009-S1009&lt;0,"YES","NO")</f>
        <v>NO</v>
      </c>
      <c r="AD1009">
        <f>IF(AC1009="NO",0,AB1009-S1009)</f>
        <v>0</v>
      </c>
      <c r="AE1009" s="43">
        <v>0.08</v>
      </c>
      <c r="AF1009" s="3">
        <f t="shared" si="48"/>
        <v>0</v>
      </c>
      <c r="AG1009" s="45">
        <f t="shared" si="49"/>
        <v>0</v>
      </c>
      <c r="AH1009" s="55"/>
    </row>
    <row r="1010" spans="1:34" x14ac:dyDescent="0.25">
      <c r="A1010" t="s">
        <v>3913</v>
      </c>
      <c r="B1010" t="s">
        <v>3914</v>
      </c>
      <c r="C1010" t="s">
        <v>3915</v>
      </c>
      <c r="D1010" t="s">
        <v>3916</v>
      </c>
      <c r="E1010" t="s">
        <v>3917</v>
      </c>
      <c r="F1010" t="s">
        <v>3918</v>
      </c>
      <c r="G1010" t="s">
        <v>5</v>
      </c>
      <c r="H1010" t="s">
        <v>65</v>
      </c>
      <c r="I1010" t="s">
        <v>66</v>
      </c>
      <c r="J1010" t="s">
        <v>67</v>
      </c>
      <c r="K1010" t="s">
        <v>3</v>
      </c>
      <c r="L1010" t="s">
        <v>4</v>
      </c>
      <c r="M1010" t="s">
        <v>49</v>
      </c>
      <c r="N1010" t="s">
        <v>3919</v>
      </c>
      <c r="O1010" s="31" t="s">
        <v>3920</v>
      </c>
      <c r="P1010">
        <v>220</v>
      </c>
      <c r="R1010">
        <v>6</v>
      </c>
      <c r="S1010" s="31">
        <v>450000</v>
      </c>
      <c r="T1010" s="39">
        <v>480000</v>
      </c>
      <c r="U1010">
        <v>75000</v>
      </c>
      <c r="V1010">
        <v>48000</v>
      </c>
      <c r="W1010">
        <v>0</v>
      </c>
      <c r="X1010" s="39">
        <v>135690</v>
      </c>
      <c r="Y1010">
        <v>0</v>
      </c>
      <c r="Z1010" s="31">
        <v>357000</v>
      </c>
      <c r="AA1010">
        <v>8</v>
      </c>
      <c r="AB1010" s="3">
        <f t="shared" si="47"/>
        <v>357000</v>
      </c>
      <c r="AC1010" t="str">
        <f>IF(AB1010-S1010&lt;0,"YES","NO")</f>
        <v>YES</v>
      </c>
      <c r="AD1010">
        <f>IF(AC1010="NO",0,AB1010-S1010)</f>
        <v>-93000</v>
      </c>
      <c r="AE1010" s="43">
        <v>0.08</v>
      </c>
      <c r="AF1010" s="3">
        <f t="shared" si="48"/>
        <v>-86111.111111111109</v>
      </c>
      <c r="AG1010" s="45">
        <f t="shared" si="49"/>
        <v>-94722.222222222234</v>
      </c>
      <c r="AH1010" s="55"/>
    </row>
    <row r="1011" spans="1:34" x14ac:dyDescent="0.25">
      <c r="A1011" t="s">
        <v>3921</v>
      </c>
      <c r="B1011" t="s">
        <v>3922</v>
      </c>
      <c r="C1011" t="s">
        <v>3923</v>
      </c>
      <c r="D1011" t="s">
        <v>3924</v>
      </c>
      <c r="E1011" t="s">
        <v>3925</v>
      </c>
      <c r="F1011" t="s">
        <v>3926</v>
      </c>
      <c r="G1011" t="s">
        <v>5</v>
      </c>
      <c r="H1011" t="s">
        <v>61</v>
      </c>
      <c r="I1011" t="s">
        <v>62</v>
      </c>
      <c r="J1011" t="s">
        <v>63</v>
      </c>
      <c r="K1011" t="s">
        <v>3</v>
      </c>
      <c r="L1011" t="s">
        <v>4</v>
      </c>
      <c r="M1011" t="s">
        <v>49</v>
      </c>
      <c r="N1011" t="s">
        <v>3927</v>
      </c>
      <c r="O1011" s="31" t="s">
        <v>3928</v>
      </c>
      <c r="P1011">
        <v>20000</v>
      </c>
      <c r="Q1011" t="s">
        <v>64</v>
      </c>
      <c r="R1011">
        <v>1</v>
      </c>
      <c r="S1011" s="31">
        <v>0</v>
      </c>
      <c r="T1011" s="39">
        <v>0</v>
      </c>
      <c r="U1011">
        <v>0</v>
      </c>
      <c r="V1011">
        <v>0</v>
      </c>
      <c r="W1011">
        <v>0</v>
      </c>
      <c r="X1011" s="39">
        <v>0</v>
      </c>
      <c r="Y1011">
        <v>0</v>
      </c>
      <c r="Z1011" s="31">
        <v>0</v>
      </c>
      <c r="AA1011">
        <v>8</v>
      </c>
      <c r="AB1011" s="3">
        <f t="shared" si="47"/>
        <v>0</v>
      </c>
      <c r="AC1011" t="str">
        <f>IF(AB1011-S1011&lt;0,"YES","NO")</f>
        <v>NO</v>
      </c>
      <c r="AD1011">
        <f>IF(AC1011="NO",0,AB1011-S1011)</f>
        <v>0</v>
      </c>
      <c r="AE1011" s="43">
        <v>0.08</v>
      </c>
      <c r="AF1011" s="3">
        <f t="shared" si="48"/>
        <v>0</v>
      </c>
      <c r="AG1011" s="45">
        <f t="shared" si="49"/>
        <v>0</v>
      </c>
      <c r="AH1011" s="55"/>
    </row>
    <row r="1012" spans="1:34" x14ac:dyDescent="0.25">
      <c r="A1012" t="s">
        <v>3921</v>
      </c>
      <c r="B1012" t="s">
        <v>3922</v>
      </c>
      <c r="C1012" t="s">
        <v>3923</v>
      </c>
      <c r="D1012" t="s">
        <v>3924</v>
      </c>
      <c r="E1012" t="s">
        <v>3925</v>
      </c>
      <c r="F1012" t="s">
        <v>3926</v>
      </c>
      <c r="G1012" t="s">
        <v>5</v>
      </c>
      <c r="H1012" t="s">
        <v>65</v>
      </c>
      <c r="I1012" t="s">
        <v>71</v>
      </c>
      <c r="J1012" t="s">
        <v>72</v>
      </c>
      <c r="K1012" t="s">
        <v>3</v>
      </c>
      <c r="L1012" t="s">
        <v>4</v>
      </c>
      <c r="M1012" t="s">
        <v>49</v>
      </c>
      <c r="N1012" t="s">
        <v>3927</v>
      </c>
      <c r="O1012" s="31" t="s">
        <v>3928</v>
      </c>
      <c r="P1012">
        <v>220</v>
      </c>
      <c r="Q1012" t="s">
        <v>70</v>
      </c>
      <c r="R1012">
        <v>3</v>
      </c>
      <c r="S1012" s="31">
        <v>177000</v>
      </c>
      <c r="T1012" s="39">
        <v>195000</v>
      </c>
      <c r="U1012">
        <v>35000.01</v>
      </c>
      <c r="V1012">
        <v>19500</v>
      </c>
      <c r="W1012">
        <v>0</v>
      </c>
      <c r="X1012" s="39">
        <v>57480</v>
      </c>
      <c r="Y1012">
        <v>0</v>
      </c>
      <c r="Z1012" s="31">
        <v>140499.99</v>
      </c>
      <c r="AA1012">
        <v>8</v>
      </c>
      <c r="AB1012" s="3">
        <f t="shared" si="47"/>
        <v>140499.99</v>
      </c>
      <c r="AC1012" t="str">
        <f>IF(AB1012-S1012&lt;0,"YES","NO")</f>
        <v>YES</v>
      </c>
      <c r="AD1012">
        <f>IF(AC1012="NO",0,AB1012-S1012)</f>
        <v>-36500.010000000009</v>
      </c>
      <c r="AE1012" s="43">
        <v>0.08</v>
      </c>
      <c r="AF1012" s="3">
        <f t="shared" si="48"/>
        <v>-33796.305555555562</v>
      </c>
      <c r="AG1012" s="45">
        <f t="shared" si="49"/>
        <v>-37175.936111111121</v>
      </c>
      <c r="AH1012" s="55"/>
    </row>
    <row r="1013" spans="1:34" x14ac:dyDescent="0.25">
      <c r="A1013" t="s">
        <v>3929</v>
      </c>
      <c r="B1013" t="s">
        <v>3930</v>
      </c>
      <c r="C1013" t="s">
        <v>3931</v>
      </c>
      <c r="D1013" t="s">
        <v>3932</v>
      </c>
      <c r="E1013" t="s">
        <v>3933</v>
      </c>
      <c r="F1013" t="s">
        <v>3934</v>
      </c>
      <c r="G1013" t="s">
        <v>5</v>
      </c>
      <c r="H1013" t="s">
        <v>65</v>
      </c>
      <c r="I1013" t="s">
        <v>68</v>
      </c>
      <c r="J1013" t="s">
        <v>69</v>
      </c>
      <c r="K1013" t="s">
        <v>3</v>
      </c>
      <c r="L1013" t="s">
        <v>4</v>
      </c>
      <c r="M1013" t="s">
        <v>49</v>
      </c>
      <c r="N1013" t="s">
        <v>3935</v>
      </c>
      <c r="O1013" s="31" t="s">
        <v>3936</v>
      </c>
      <c r="P1013">
        <v>220</v>
      </c>
      <c r="Q1013" t="s">
        <v>70</v>
      </c>
      <c r="R1013">
        <v>1</v>
      </c>
      <c r="S1013" s="31">
        <v>59000</v>
      </c>
      <c r="T1013" s="39">
        <v>65000</v>
      </c>
      <c r="U1013">
        <v>11666.67</v>
      </c>
      <c r="V1013">
        <v>6500</v>
      </c>
      <c r="W1013">
        <v>0</v>
      </c>
      <c r="X1013" s="39">
        <v>11666.67</v>
      </c>
      <c r="Y1013">
        <v>0</v>
      </c>
      <c r="Z1013" s="31">
        <v>46833.33</v>
      </c>
      <c r="AA1013">
        <v>8</v>
      </c>
      <c r="AB1013" s="3">
        <f t="shared" si="47"/>
        <v>46833.33</v>
      </c>
      <c r="AC1013" t="str">
        <f>IF(AB1013-S1013&lt;0,"YES","NO")</f>
        <v>YES</v>
      </c>
      <c r="AD1013">
        <f>IF(AC1013="NO",0,AB1013-S1013)</f>
        <v>-12166.669999999998</v>
      </c>
      <c r="AE1013" s="43">
        <v>0.08</v>
      </c>
      <c r="AF1013" s="3">
        <f t="shared" si="48"/>
        <v>-11265.435185185182</v>
      </c>
      <c r="AG1013" s="45">
        <f t="shared" si="49"/>
        <v>-12391.978703703702</v>
      </c>
      <c r="AH1013" s="55"/>
    </row>
    <row r="1014" spans="1:34" x14ac:dyDescent="0.25">
      <c r="A1014" t="s">
        <v>3929</v>
      </c>
      <c r="B1014" t="s">
        <v>3930</v>
      </c>
      <c r="C1014" t="s">
        <v>3931</v>
      </c>
      <c r="D1014" t="s">
        <v>3932</v>
      </c>
      <c r="E1014" t="s">
        <v>3933</v>
      </c>
      <c r="F1014" t="s">
        <v>3934</v>
      </c>
      <c r="G1014" t="s">
        <v>5</v>
      </c>
      <c r="H1014" t="s">
        <v>65</v>
      </c>
      <c r="I1014" t="s">
        <v>71</v>
      </c>
      <c r="J1014" t="s">
        <v>72</v>
      </c>
      <c r="K1014" t="s">
        <v>3</v>
      </c>
      <c r="L1014" t="s">
        <v>4</v>
      </c>
      <c r="M1014" t="s">
        <v>49</v>
      </c>
      <c r="N1014" t="s">
        <v>3935</v>
      </c>
      <c r="O1014" s="31" t="s">
        <v>3936</v>
      </c>
      <c r="P1014">
        <v>220</v>
      </c>
      <c r="Q1014" t="s">
        <v>70</v>
      </c>
      <c r="R1014">
        <v>1</v>
      </c>
      <c r="S1014" s="31">
        <v>59000</v>
      </c>
      <c r="T1014" s="39">
        <v>65000</v>
      </c>
      <c r="U1014">
        <v>11666.67</v>
      </c>
      <c r="V1014">
        <v>6500</v>
      </c>
      <c r="W1014">
        <v>0</v>
      </c>
      <c r="X1014" s="39">
        <v>11666.67</v>
      </c>
      <c r="Y1014">
        <v>0</v>
      </c>
      <c r="Z1014" s="31">
        <v>46833.33</v>
      </c>
      <c r="AA1014">
        <v>8</v>
      </c>
      <c r="AB1014" s="3">
        <f t="shared" si="47"/>
        <v>46833.33</v>
      </c>
      <c r="AC1014" t="str">
        <f>IF(AB1014-S1014&lt;0,"YES","NO")</f>
        <v>YES</v>
      </c>
      <c r="AD1014">
        <f>IF(AC1014="NO",0,AB1014-S1014)</f>
        <v>-12166.669999999998</v>
      </c>
      <c r="AE1014" s="43">
        <v>0.08</v>
      </c>
      <c r="AF1014" s="3">
        <f t="shared" si="48"/>
        <v>-11265.435185185182</v>
      </c>
      <c r="AG1014" s="45">
        <f t="shared" si="49"/>
        <v>-12391.978703703702</v>
      </c>
      <c r="AH1014" s="55"/>
    </row>
    <row r="1015" spans="1:34" x14ac:dyDescent="0.25">
      <c r="A1015" t="s">
        <v>3929</v>
      </c>
      <c r="B1015" t="s">
        <v>3930</v>
      </c>
      <c r="C1015" t="s">
        <v>3931</v>
      </c>
      <c r="D1015" t="s">
        <v>3932</v>
      </c>
      <c r="E1015" t="s">
        <v>3933</v>
      </c>
      <c r="F1015" t="s">
        <v>3934</v>
      </c>
      <c r="G1015" t="s">
        <v>5</v>
      </c>
      <c r="H1015" t="s">
        <v>65</v>
      </c>
      <c r="I1015" t="s">
        <v>73</v>
      </c>
      <c r="J1015" t="s">
        <v>74</v>
      </c>
      <c r="K1015" t="s">
        <v>3</v>
      </c>
      <c r="L1015" t="s">
        <v>4</v>
      </c>
      <c r="M1015" t="s">
        <v>49</v>
      </c>
      <c r="N1015" t="s">
        <v>3935</v>
      </c>
      <c r="O1015" s="31" t="s">
        <v>3936</v>
      </c>
      <c r="P1015">
        <v>220</v>
      </c>
      <c r="Q1015" t="s">
        <v>70</v>
      </c>
      <c r="R1015">
        <v>1</v>
      </c>
      <c r="S1015" s="31">
        <v>59000</v>
      </c>
      <c r="T1015" s="39">
        <v>65000</v>
      </c>
      <c r="U1015">
        <v>11666.67</v>
      </c>
      <c r="V1015">
        <v>6500</v>
      </c>
      <c r="W1015">
        <v>0</v>
      </c>
      <c r="X1015" s="39">
        <v>11666.67</v>
      </c>
      <c r="Y1015">
        <v>0</v>
      </c>
      <c r="Z1015" s="31">
        <v>46833.33</v>
      </c>
      <c r="AA1015">
        <v>8</v>
      </c>
      <c r="AB1015" s="3">
        <f t="shared" si="47"/>
        <v>46833.33</v>
      </c>
      <c r="AC1015" t="str">
        <f>IF(AB1015-S1015&lt;0,"YES","NO")</f>
        <v>YES</v>
      </c>
      <c r="AD1015">
        <f>IF(AC1015="NO",0,AB1015-S1015)</f>
        <v>-12166.669999999998</v>
      </c>
      <c r="AE1015" s="43">
        <v>0.08</v>
      </c>
      <c r="AF1015" s="3">
        <f t="shared" si="48"/>
        <v>-11265.435185185182</v>
      </c>
      <c r="AG1015" s="45">
        <f t="shared" si="49"/>
        <v>-12391.978703703702</v>
      </c>
      <c r="AH1015" s="55"/>
    </row>
    <row r="1016" spans="1:34" x14ac:dyDescent="0.25">
      <c r="A1016" t="s">
        <v>3937</v>
      </c>
      <c r="B1016" t="s">
        <v>3938</v>
      </c>
      <c r="C1016" t="s">
        <v>3939</v>
      </c>
      <c r="D1016" t="s">
        <v>3940</v>
      </c>
      <c r="E1016" t="s">
        <v>3941</v>
      </c>
      <c r="F1016" t="s">
        <v>3942</v>
      </c>
      <c r="G1016" t="s">
        <v>5</v>
      </c>
      <c r="H1016" t="s">
        <v>65</v>
      </c>
      <c r="I1016" t="s">
        <v>104</v>
      </c>
      <c r="J1016" t="s">
        <v>105</v>
      </c>
      <c r="K1016" t="s">
        <v>3</v>
      </c>
      <c r="L1016" t="s">
        <v>4</v>
      </c>
      <c r="M1016" t="s">
        <v>49</v>
      </c>
      <c r="N1016" t="s">
        <v>3943</v>
      </c>
      <c r="O1016" s="31" t="s">
        <v>3944</v>
      </c>
      <c r="P1016">
        <v>380</v>
      </c>
      <c r="R1016">
        <v>2</v>
      </c>
      <c r="S1016" s="31">
        <v>132000</v>
      </c>
      <c r="T1016" s="39">
        <v>140000</v>
      </c>
      <c r="U1016">
        <v>0</v>
      </c>
      <c r="V1016">
        <v>0</v>
      </c>
      <c r="W1016">
        <v>0</v>
      </c>
      <c r="X1016" s="39">
        <v>0</v>
      </c>
      <c r="Y1016">
        <v>0</v>
      </c>
      <c r="Z1016" s="31">
        <v>140000</v>
      </c>
      <c r="AA1016">
        <v>8</v>
      </c>
      <c r="AB1016" s="3">
        <f t="shared" si="47"/>
        <v>140000</v>
      </c>
      <c r="AC1016" t="str">
        <f>IF(AB1016-S1016&lt;0,"YES","NO")</f>
        <v>NO</v>
      </c>
      <c r="AD1016">
        <f>IF(AC1016="NO",0,AB1016-S1016)</f>
        <v>0</v>
      </c>
      <c r="AE1016" s="43">
        <v>0.08</v>
      </c>
      <c r="AF1016" s="3">
        <f t="shared" si="48"/>
        <v>0</v>
      </c>
      <c r="AG1016" s="45">
        <f t="shared" si="49"/>
        <v>0</v>
      </c>
      <c r="AH1016" s="55"/>
    </row>
    <row r="1017" spans="1:34" x14ac:dyDescent="0.25">
      <c r="A1017" t="s">
        <v>3937</v>
      </c>
      <c r="B1017" t="s">
        <v>3938</v>
      </c>
      <c r="C1017" t="s">
        <v>3939</v>
      </c>
      <c r="D1017" t="s">
        <v>3940</v>
      </c>
      <c r="E1017" t="s">
        <v>3941</v>
      </c>
      <c r="F1017" t="s">
        <v>3942</v>
      </c>
      <c r="G1017" t="s">
        <v>5</v>
      </c>
      <c r="H1017" t="s">
        <v>65</v>
      </c>
      <c r="I1017" t="s">
        <v>104</v>
      </c>
      <c r="J1017" t="s">
        <v>105</v>
      </c>
      <c r="K1017" t="s">
        <v>3</v>
      </c>
      <c r="L1017" t="s">
        <v>4</v>
      </c>
      <c r="M1017" t="s">
        <v>49</v>
      </c>
      <c r="N1017" t="s">
        <v>3943</v>
      </c>
      <c r="O1017" s="31" t="s">
        <v>3944</v>
      </c>
      <c r="P1017">
        <v>380</v>
      </c>
      <c r="R1017">
        <v>1</v>
      </c>
      <c r="S1017" s="31">
        <v>66000</v>
      </c>
      <c r="T1017" s="39">
        <v>70000</v>
      </c>
      <c r="U1017">
        <v>0</v>
      </c>
      <c r="V1017">
        <v>0</v>
      </c>
      <c r="W1017">
        <v>0</v>
      </c>
      <c r="X1017" s="39">
        <v>0</v>
      </c>
      <c r="Y1017">
        <v>0</v>
      </c>
      <c r="Z1017" s="31">
        <v>70000</v>
      </c>
      <c r="AA1017">
        <v>8</v>
      </c>
      <c r="AB1017" s="3">
        <f t="shared" si="47"/>
        <v>70000</v>
      </c>
      <c r="AC1017" t="str">
        <f>IF(AB1017-S1017&lt;0,"YES","NO")</f>
        <v>NO</v>
      </c>
      <c r="AD1017">
        <f>IF(AC1017="NO",0,AB1017-S1017)</f>
        <v>0</v>
      </c>
      <c r="AE1017" s="43">
        <v>0.08</v>
      </c>
      <c r="AF1017" s="3">
        <f t="shared" si="48"/>
        <v>0</v>
      </c>
      <c r="AG1017" s="45">
        <f t="shared" si="49"/>
        <v>0</v>
      </c>
      <c r="AH1017" s="55"/>
    </row>
    <row r="1018" spans="1:34" x14ac:dyDescent="0.25">
      <c r="A1018" t="s">
        <v>3937</v>
      </c>
      <c r="B1018" t="s">
        <v>3938</v>
      </c>
      <c r="C1018" t="s">
        <v>3939</v>
      </c>
      <c r="D1018" t="s">
        <v>3940</v>
      </c>
      <c r="E1018" t="s">
        <v>3941</v>
      </c>
      <c r="F1018" t="s">
        <v>3942</v>
      </c>
      <c r="G1018" t="s">
        <v>5</v>
      </c>
      <c r="H1018" t="s">
        <v>65</v>
      </c>
      <c r="I1018" t="s">
        <v>109</v>
      </c>
      <c r="J1018" t="s">
        <v>110</v>
      </c>
      <c r="K1018" t="s">
        <v>3</v>
      </c>
      <c r="L1018" t="s">
        <v>4</v>
      </c>
      <c r="M1018" t="s">
        <v>49</v>
      </c>
      <c r="N1018" t="s">
        <v>3943</v>
      </c>
      <c r="O1018" s="31" t="s">
        <v>3944</v>
      </c>
      <c r="P1018">
        <v>380</v>
      </c>
      <c r="R1018">
        <v>1</v>
      </c>
      <c r="S1018" s="31">
        <v>66000</v>
      </c>
      <c r="T1018" s="39">
        <v>70000</v>
      </c>
      <c r="U1018">
        <v>0</v>
      </c>
      <c r="V1018">
        <v>0</v>
      </c>
      <c r="W1018">
        <v>0</v>
      </c>
      <c r="X1018" s="39">
        <v>0</v>
      </c>
      <c r="Y1018">
        <v>0</v>
      </c>
      <c r="Z1018" s="31">
        <v>70000</v>
      </c>
      <c r="AA1018">
        <v>8</v>
      </c>
      <c r="AB1018" s="3">
        <f t="shared" si="47"/>
        <v>70000</v>
      </c>
      <c r="AC1018" t="str">
        <f>IF(AB1018-S1018&lt;0,"YES","NO")</f>
        <v>NO</v>
      </c>
      <c r="AD1018">
        <f>IF(AC1018="NO",0,AB1018-S1018)</f>
        <v>0</v>
      </c>
      <c r="AE1018" s="43">
        <v>0.08</v>
      </c>
      <c r="AF1018" s="3">
        <f t="shared" si="48"/>
        <v>0</v>
      </c>
      <c r="AG1018" s="45">
        <f t="shared" si="49"/>
        <v>0</v>
      </c>
      <c r="AH1018" s="55"/>
    </row>
    <row r="1019" spans="1:34" x14ac:dyDescent="0.25">
      <c r="A1019" t="s">
        <v>3945</v>
      </c>
      <c r="B1019" t="s">
        <v>3946</v>
      </c>
      <c r="C1019" t="s">
        <v>3947</v>
      </c>
      <c r="D1019" t="s">
        <v>3948</v>
      </c>
      <c r="E1019" t="s">
        <v>3949</v>
      </c>
      <c r="F1019" t="s">
        <v>3950</v>
      </c>
      <c r="G1019" t="s">
        <v>5</v>
      </c>
      <c r="H1019" t="s">
        <v>61</v>
      </c>
      <c r="I1019" t="s">
        <v>75</v>
      </c>
      <c r="J1019" t="s">
        <v>76</v>
      </c>
      <c r="K1019" t="s">
        <v>3</v>
      </c>
      <c r="L1019" t="s">
        <v>4</v>
      </c>
      <c r="M1019" t="s">
        <v>49</v>
      </c>
      <c r="N1019" t="s">
        <v>3951</v>
      </c>
      <c r="O1019" s="31" t="s">
        <v>3952</v>
      </c>
      <c r="P1019">
        <v>20</v>
      </c>
      <c r="Q1019" t="s">
        <v>77</v>
      </c>
      <c r="R1019">
        <v>1</v>
      </c>
      <c r="S1019" s="31">
        <v>0</v>
      </c>
      <c r="T1019" s="39">
        <v>0</v>
      </c>
      <c r="U1019">
        <v>0</v>
      </c>
      <c r="V1019">
        <v>0</v>
      </c>
      <c r="W1019">
        <v>0</v>
      </c>
      <c r="X1019" s="39">
        <v>0</v>
      </c>
      <c r="Y1019">
        <v>0</v>
      </c>
      <c r="Z1019" s="31">
        <v>0</v>
      </c>
      <c r="AA1019">
        <v>8</v>
      </c>
      <c r="AB1019" s="3">
        <f t="shared" si="47"/>
        <v>0</v>
      </c>
      <c r="AC1019" t="str">
        <f>IF(AB1019-S1019&lt;0,"YES","NO")</f>
        <v>NO</v>
      </c>
      <c r="AD1019">
        <f>IF(AC1019="NO",0,AB1019-S1019)</f>
        <v>0</v>
      </c>
      <c r="AE1019" s="43">
        <v>0.08</v>
      </c>
      <c r="AF1019" s="3">
        <f t="shared" si="48"/>
        <v>0</v>
      </c>
      <c r="AG1019" s="45">
        <f t="shared" si="49"/>
        <v>0</v>
      </c>
      <c r="AH1019" s="55"/>
    </row>
    <row r="1020" spans="1:34" x14ac:dyDescent="0.25">
      <c r="A1020" t="s">
        <v>3945</v>
      </c>
      <c r="B1020" t="s">
        <v>3946</v>
      </c>
      <c r="C1020" t="s">
        <v>3947</v>
      </c>
      <c r="D1020" t="s">
        <v>3948</v>
      </c>
      <c r="E1020" t="s">
        <v>3949</v>
      </c>
      <c r="F1020" t="s">
        <v>3950</v>
      </c>
      <c r="G1020" t="s">
        <v>5</v>
      </c>
      <c r="H1020" t="s">
        <v>65</v>
      </c>
      <c r="I1020" t="s">
        <v>71</v>
      </c>
      <c r="J1020" t="s">
        <v>72</v>
      </c>
      <c r="K1020" t="s">
        <v>3</v>
      </c>
      <c r="L1020" t="s">
        <v>4</v>
      </c>
      <c r="M1020" t="s">
        <v>49</v>
      </c>
      <c r="N1020" t="s">
        <v>3951</v>
      </c>
      <c r="O1020" s="31" t="s">
        <v>3952</v>
      </c>
      <c r="P1020">
        <v>220</v>
      </c>
      <c r="Q1020" t="s">
        <v>70</v>
      </c>
      <c r="R1020">
        <v>6</v>
      </c>
      <c r="S1020" s="31">
        <v>354000</v>
      </c>
      <c r="T1020" s="39">
        <v>390000</v>
      </c>
      <c r="U1020">
        <v>75000</v>
      </c>
      <c r="V1020">
        <v>39000</v>
      </c>
      <c r="W1020">
        <v>0</v>
      </c>
      <c r="X1020" s="39">
        <v>130200</v>
      </c>
      <c r="Y1020">
        <v>0</v>
      </c>
      <c r="Z1020" s="31">
        <v>276000</v>
      </c>
      <c r="AA1020">
        <v>8</v>
      </c>
      <c r="AB1020" s="3">
        <f t="shared" si="47"/>
        <v>276000</v>
      </c>
      <c r="AC1020" t="str">
        <f>IF(AB1020-S1020&lt;0,"YES","NO")</f>
        <v>YES</v>
      </c>
      <c r="AD1020">
        <f>IF(AC1020="NO",0,AB1020-S1020)</f>
        <v>-78000</v>
      </c>
      <c r="AE1020" s="43">
        <v>0.08</v>
      </c>
      <c r="AF1020" s="3">
        <f t="shared" si="48"/>
        <v>-72222.222222222219</v>
      </c>
      <c r="AG1020" s="45">
        <f t="shared" si="49"/>
        <v>-79444.444444444453</v>
      </c>
      <c r="AH1020" s="55"/>
    </row>
    <row r="1021" spans="1:34" x14ac:dyDescent="0.25">
      <c r="A1021" t="s">
        <v>3953</v>
      </c>
      <c r="B1021" t="s">
        <v>3954</v>
      </c>
      <c r="C1021" t="s">
        <v>3955</v>
      </c>
      <c r="D1021" t="s">
        <v>3956</v>
      </c>
      <c r="E1021" t="s">
        <v>3957</v>
      </c>
      <c r="F1021" t="s">
        <v>3958</v>
      </c>
      <c r="G1021" t="s">
        <v>5</v>
      </c>
      <c r="H1021" t="s">
        <v>61</v>
      </c>
      <c r="I1021" t="s">
        <v>75</v>
      </c>
      <c r="J1021" t="s">
        <v>76</v>
      </c>
      <c r="K1021" t="s">
        <v>3</v>
      </c>
      <c r="L1021" t="s">
        <v>4</v>
      </c>
      <c r="M1021" t="s">
        <v>49</v>
      </c>
      <c r="N1021" t="s">
        <v>3959</v>
      </c>
      <c r="O1021" s="31" t="s">
        <v>3960</v>
      </c>
      <c r="P1021">
        <v>20</v>
      </c>
      <c r="Q1021" t="s">
        <v>77</v>
      </c>
      <c r="R1021">
        <v>1</v>
      </c>
      <c r="S1021" s="31">
        <v>0</v>
      </c>
      <c r="T1021" s="39">
        <v>0</v>
      </c>
      <c r="U1021">
        <v>0</v>
      </c>
      <c r="V1021">
        <v>0</v>
      </c>
      <c r="W1021">
        <v>0</v>
      </c>
      <c r="X1021" s="39">
        <v>0</v>
      </c>
      <c r="Y1021">
        <v>0</v>
      </c>
      <c r="Z1021" s="31">
        <v>0</v>
      </c>
      <c r="AA1021">
        <v>8</v>
      </c>
      <c r="AB1021" s="3">
        <f t="shared" si="47"/>
        <v>0</v>
      </c>
      <c r="AC1021" t="str">
        <f>IF(AB1021-S1021&lt;0,"YES","NO")</f>
        <v>NO</v>
      </c>
      <c r="AD1021">
        <f>IF(AC1021="NO",0,AB1021-S1021)</f>
        <v>0</v>
      </c>
      <c r="AE1021" s="43">
        <v>0.08</v>
      </c>
      <c r="AF1021" s="3">
        <f t="shared" si="48"/>
        <v>0</v>
      </c>
      <c r="AG1021" s="45">
        <f t="shared" si="49"/>
        <v>0</v>
      </c>
      <c r="AH1021" s="55"/>
    </row>
    <row r="1022" spans="1:34" x14ac:dyDescent="0.25">
      <c r="A1022" t="s">
        <v>3953</v>
      </c>
      <c r="B1022" t="s">
        <v>3954</v>
      </c>
      <c r="C1022" t="s">
        <v>3955</v>
      </c>
      <c r="D1022" t="s">
        <v>3956</v>
      </c>
      <c r="E1022" t="s">
        <v>3957</v>
      </c>
      <c r="F1022" t="s">
        <v>3958</v>
      </c>
      <c r="G1022" t="s">
        <v>5</v>
      </c>
      <c r="H1022" t="s">
        <v>65</v>
      </c>
      <c r="I1022" t="s">
        <v>66</v>
      </c>
      <c r="J1022" t="s">
        <v>67</v>
      </c>
      <c r="K1022" t="s">
        <v>3</v>
      </c>
      <c r="L1022" t="s">
        <v>4</v>
      </c>
      <c r="M1022" t="s">
        <v>49</v>
      </c>
      <c r="N1022" t="s">
        <v>3959</v>
      </c>
      <c r="O1022" s="31" t="s">
        <v>3960</v>
      </c>
      <c r="P1022">
        <v>220</v>
      </c>
      <c r="R1022">
        <v>2</v>
      </c>
      <c r="S1022" s="31">
        <v>150000</v>
      </c>
      <c r="T1022" s="39">
        <v>160000</v>
      </c>
      <c r="U1022">
        <v>25000</v>
      </c>
      <c r="V1022">
        <v>16000</v>
      </c>
      <c r="W1022">
        <v>0</v>
      </c>
      <c r="X1022" s="39">
        <v>42850</v>
      </c>
      <c r="Y1022">
        <v>0</v>
      </c>
      <c r="Z1022" s="31">
        <v>119000</v>
      </c>
      <c r="AA1022">
        <v>8</v>
      </c>
      <c r="AB1022" s="3">
        <f t="shared" si="47"/>
        <v>119000</v>
      </c>
      <c r="AC1022" t="str">
        <f>IF(AB1022-S1022&lt;0,"YES","NO")</f>
        <v>YES</v>
      </c>
      <c r="AD1022">
        <f>IF(AC1022="NO",0,AB1022-S1022)</f>
        <v>-31000</v>
      </c>
      <c r="AE1022" s="43">
        <v>0.08</v>
      </c>
      <c r="AF1022" s="3">
        <f t="shared" si="48"/>
        <v>-28703.703703703701</v>
      </c>
      <c r="AG1022" s="45">
        <f t="shared" si="49"/>
        <v>-31574.074074074073</v>
      </c>
      <c r="AH1022" s="55"/>
    </row>
    <row r="1023" spans="1:34" x14ac:dyDescent="0.25">
      <c r="A1023" t="s">
        <v>3953</v>
      </c>
      <c r="B1023" t="s">
        <v>3954</v>
      </c>
      <c r="C1023" t="s">
        <v>3955</v>
      </c>
      <c r="D1023" t="s">
        <v>3956</v>
      </c>
      <c r="E1023" t="s">
        <v>3957</v>
      </c>
      <c r="F1023" t="s">
        <v>3958</v>
      </c>
      <c r="G1023" t="s">
        <v>5</v>
      </c>
      <c r="H1023" t="s">
        <v>65</v>
      </c>
      <c r="I1023" t="s">
        <v>78</v>
      </c>
      <c r="J1023" t="s">
        <v>79</v>
      </c>
      <c r="K1023" t="s">
        <v>3</v>
      </c>
      <c r="L1023" t="s">
        <v>4</v>
      </c>
      <c r="M1023" t="s">
        <v>49</v>
      </c>
      <c r="N1023" t="s">
        <v>3959</v>
      </c>
      <c r="O1023" s="31" t="s">
        <v>3960</v>
      </c>
      <c r="P1023">
        <v>220</v>
      </c>
      <c r="R1023">
        <v>2</v>
      </c>
      <c r="S1023" s="31">
        <v>150000</v>
      </c>
      <c r="T1023" s="39">
        <v>160000</v>
      </c>
      <c r="U1023">
        <v>25000</v>
      </c>
      <c r="V1023">
        <v>16000</v>
      </c>
      <c r="W1023">
        <v>0</v>
      </c>
      <c r="X1023" s="39">
        <v>42850</v>
      </c>
      <c r="Y1023">
        <v>0</v>
      </c>
      <c r="Z1023" s="31">
        <v>119000</v>
      </c>
      <c r="AA1023">
        <v>8</v>
      </c>
      <c r="AB1023" s="3">
        <f t="shared" si="47"/>
        <v>119000</v>
      </c>
      <c r="AC1023" t="str">
        <f>IF(AB1023-S1023&lt;0,"YES","NO")</f>
        <v>YES</v>
      </c>
      <c r="AD1023">
        <f>IF(AC1023="NO",0,AB1023-S1023)</f>
        <v>-31000</v>
      </c>
      <c r="AE1023" s="43">
        <v>0.08</v>
      </c>
      <c r="AF1023" s="3">
        <f t="shared" si="48"/>
        <v>-28703.703703703701</v>
      </c>
      <c r="AG1023" s="45">
        <f t="shared" si="49"/>
        <v>-31574.074074074073</v>
      </c>
      <c r="AH1023" s="55"/>
    </row>
    <row r="1024" spans="1:34" x14ac:dyDescent="0.25">
      <c r="A1024" t="s">
        <v>3953</v>
      </c>
      <c r="B1024" t="s">
        <v>3954</v>
      </c>
      <c r="C1024" t="s">
        <v>3955</v>
      </c>
      <c r="D1024" t="s">
        <v>3956</v>
      </c>
      <c r="E1024" t="s">
        <v>3957</v>
      </c>
      <c r="F1024" t="s">
        <v>3958</v>
      </c>
      <c r="G1024" t="s">
        <v>5</v>
      </c>
      <c r="H1024" t="s">
        <v>65</v>
      </c>
      <c r="I1024" t="s">
        <v>80</v>
      </c>
      <c r="J1024" t="s">
        <v>81</v>
      </c>
      <c r="K1024" t="s">
        <v>3</v>
      </c>
      <c r="L1024" t="s">
        <v>4</v>
      </c>
      <c r="M1024" t="s">
        <v>49</v>
      </c>
      <c r="N1024" t="s">
        <v>3959</v>
      </c>
      <c r="O1024" s="31" t="s">
        <v>3960</v>
      </c>
      <c r="P1024">
        <v>220</v>
      </c>
      <c r="R1024">
        <v>2</v>
      </c>
      <c r="S1024" s="31">
        <v>150000</v>
      </c>
      <c r="T1024" s="39">
        <v>160000</v>
      </c>
      <c r="U1024">
        <v>25000</v>
      </c>
      <c r="V1024">
        <v>16000</v>
      </c>
      <c r="W1024">
        <v>0</v>
      </c>
      <c r="X1024" s="39">
        <v>42850</v>
      </c>
      <c r="Y1024">
        <v>0</v>
      </c>
      <c r="Z1024" s="31">
        <v>119000</v>
      </c>
      <c r="AA1024">
        <v>8</v>
      </c>
      <c r="AB1024" s="3">
        <f t="shared" si="47"/>
        <v>119000</v>
      </c>
      <c r="AC1024" t="str">
        <f>IF(AB1024-S1024&lt;0,"YES","NO")</f>
        <v>YES</v>
      </c>
      <c r="AD1024">
        <f>IF(AC1024="NO",0,AB1024-S1024)</f>
        <v>-31000</v>
      </c>
      <c r="AE1024" s="43">
        <v>0.08</v>
      </c>
      <c r="AF1024" s="3">
        <f t="shared" si="48"/>
        <v>-28703.703703703701</v>
      </c>
      <c r="AG1024" s="45">
        <f t="shared" si="49"/>
        <v>-31574.074074074073</v>
      </c>
      <c r="AH1024" s="55"/>
    </row>
    <row r="1025" spans="1:34" x14ac:dyDescent="0.25">
      <c r="A1025" t="s">
        <v>3961</v>
      </c>
      <c r="B1025" t="s">
        <v>3962</v>
      </c>
      <c r="C1025" t="s">
        <v>3963</v>
      </c>
      <c r="D1025" t="s">
        <v>3964</v>
      </c>
      <c r="E1025" t="s">
        <v>3965</v>
      </c>
      <c r="F1025" t="s">
        <v>3966</v>
      </c>
      <c r="G1025" t="s">
        <v>5</v>
      </c>
      <c r="H1025" t="s">
        <v>61</v>
      </c>
      <c r="I1025" t="s">
        <v>62</v>
      </c>
      <c r="J1025" t="s">
        <v>63</v>
      </c>
      <c r="K1025" t="s">
        <v>3</v>
      </c>
      <c r="L1025" t="s">
        <v>4</v>
      </c>
      <c r="M1025" t="s">
        <v>49</v>
      </c>
      <c r="N1025" t="s">
        <v>3967</v>
      </c>
      <c r="O1025" s="31" t="s">
        <v>3968</v>
      </c>
      <c r="P1025">
        <v>20000</v>
      </c>
      <c r="Q1025" t="s">
        <v>64</v>
      </c>
      <c r="R1025">
        <v>1</v>
      </c>
      <c r="S1025" s="31">
        <v>0</v>
      </c>
      <c r="T1025" s="39">
        <v>0</v>
      </c>
      <c r="U1025">
        <v>0</v>
      </c>
      <c r="V1025">
        <v>0</v>
      </c>
      <c r="W1025">
        <v>0</v>
      </c>
      <c r="X1025" s="39">
        <v>0</v>
      </c>
      <c r="Y1025">
        <v>0</v>
      </c>
      <c r="Z1025" s="31">
        <v>0</v>
      </c>
      <c r="AA1025">
        <v>8</v>
      </c>
      <c r="AB1025" s="3">
        <f t="shared" si="47"/>
        <v>0</v>
      </c>
      <c r="AC1025" t="str">
        <f>IF(AB1025-S1025&lt;0,"YES","NO")</f>
        <v>NO</v>
      </c>
      <c r="AD1025">
        <f>IF(AC1025="NO",0,AB1025-S1025)</f>
        <v>0</v>
      </c>
      <c r="AE1025" s="43">
        <v>0.08</v>
      </c>
      <c r="AF1025" s="3">
        <f t="shared" si="48"/>
        <v>0</v>
      </c>
      <c r="AG1025" s="45">
        <f t="shared" si="49"/>
        <v>0</v>
      </c>
      <c r="AH1025" s="55"/>
    </row>
    <row r="1026" spans="1:34" x14ac:dyDescent="0.25">
      <c r="A1026" t="s">
        <v>3961</v>
      </c>
      <c r="B1026" t="s">
        <v>3962</v>
      </c>
      <c r="C1026" t="s">
        <v>3963</v>
      </c>
      <c r="D1026" t="s">
        <v>3964</v>
      </c>
      <c r="E1026" t="s">
        <v>3965</v>
      </c>
      <c r="F1026" t="s">
        <v>3966</v>
      </c>
      <c r="G1026" t="s">
        <v>5</v>
      </c>
      <c r="H1026" t="s">
        <v>65</v>
      </c>
      <c r="I1026" t="s">
        <v>68</v>
      </c>
      <c r="J1026" t="s">
        <v>69</v>
      </c>
      <c r="K1026" t="s">
        <v>3</v>
      </c>
      <c r="L1026" t="s">
        <v>4</v>
      </c>
      <c r="M1026" t="s">
        <v>49</v>
      </c>
      <c r="N1026" t="s">
        <v>3967</v>
      </c>
      <c r="O1026" s="31" t="s">
        <v>3968</v>
      </c>
      <c r="P1026">
        <v>220</v>
      </c>
      <c r="Q1026" t="s">
        <v>70</v>
      </c>
      <c r="R1026">
        <v>1</v>
      </c>
      <c r="S1026" s="31">
        <v>59000</v>
      </c>
      <c r="T1026" s="39">
        <v>65000</v>
      </c>
      <c r="U1026">
        <v>11666.67</v>
      </c>
      <c r="V1026">
        <v>6500</v>
      </c>
      <c r="W1026">
        <v>0</v>
      </c>
      <c r="X1026" s="39">
        <v>19628.330000000002</v>
      </c>
      <c r="Y1026">
        <v>0</v>
      </c>
      <c r="Z1026" s="31">
        <v>46833.33</v>
      </c>
      <c r="AA1026">
        <v>8</v>
      </c>
      <c r="AB1026" s="3">
        <f t="shared" si="47"/>
        <v>46833.33</v>
      </c>
      <c r="AC1026" t="str">
        <f>IF(AB1026-S1026&lt;0,"YES","NO")</f>
        <v>YES</v>
      </c>
      <c r="AD1026">
        <f>IF(AC1026="NO",0,AB1026-S1026)</f>
        <v>-12166.669999999998</v>
      </c>
      <c r="AE1026" s="43">
        <v>0.08</v>
      </c>
      <c r="AF1026" s="3">
        <f t="shared" si="48"/>
        <v>-11265.435185185182</v>
      </c>
      <c r="AG1026" s="45">
        <f t="shared" si="49"/>
        <v>-12391.978703703702</v>
      </c>
      <c r="AH1026" s="55"/>
    </row>
    <row r="1027" spans="1:34" x14ac:dyDescent="0.25">
      <c r="A1027" t="s">
        <v>3961</v>
      </c>
      <c r="B1027" t="s">
        <v>3962</v>
      </c>
      <c r="C1027" t="s">
        <v>3963</v>
      </c>
      <c r="D1027" t="s">
        <v>3964</v>
      </c>
      <c r="E1027" t="s">
        <v>3965</v>
      </c>
      <c r="F1027" t="s">
        <v>3966</v>
      </c>
      <c r="G1027" t="s">
        <v>5</v>
      </c>
      <c r="H1027" t="s">
        <v>65</v>
      </c>
      <c r="I1027" t="s">
        <v>71</v>
      </c>
      <c r="J1027" t="s">
        <v>72</v>
      </c>
      <c r="K1027" t="s">
        <v>3</v>
      </c>
      <c r="L1027" t="s">
        <v>4</v>
      </c>
      <c r="M1027" t="s">
        <v>49</v>
      </c>
      <c r="N1027" t="s">
        <v>3967</v>
      </c>
      <c r="O1027" s="31" t="s">
        <v>3968</v>
      </c>
      <c r="P1027">
        <v>220</v>
      </c>
      <c r="Q1027" t="s">
        <v>70</v>
      </c>
      <c r="R1027">
        <v>1</v>
      </c>
      <c r="S1027" s="31">
        <v>59000</v>
      </c>
      <c r="T1027" s="39">
        <v>65000</v>
      </c>
      <c r="U1027">
        <v>11666.67</v>
      </c>
      <c r="V1027">
        <v>6500</v>
      </c>
      <c r="W1027">
        <v>0</v>
      </c>
      <c r="X1027" s="39">
        <v>19628.330000000002</v>
      </c>
      <c r="Y1027">
        <v>0</v>
      </c>
      <c r="Z1027" s="31">
        <v>46833.33</v>
      </c>
      <c r="AA1027">
        <v>8</v>
      </c>
      <c r="AB1027" s="3">
        <f t="shared" si="47"/>
        <v>46833.33</v>
      </c>
      <c r="AC1027" t="str">
        <f>IF(AB1027-S1027&lt;0,"YES","NO")</f>
        <v>YES</v>
      </c>
      <c r="AD1027">
        <f>IF(AC1027="NO",0,AB1027-S1027)</f>
        <v>-12166.669999999998</v>
      </c>
      <c r="AE1027" s="43">
        <v>0.08</v>
      </c>
      <c r="AF1027" s="3">
        <f t="shared" si="48"/>
        <v>-11265.435185185182</v>
      </c>
      <c r="AG1027" s="45">
        <f t="shared" si="49"/>
        <v>-12391.978703703702</v>
      </c>
      <c r="AH1027" s="55"/>
    </row>
    <row r="1028" spans="1:34" x14ac:dyDescent="0.25">
      <c r="A1028" t="s">
        <v>3961</v>
      </c>
      <c r="B1028" t="s">
        <v>3962</v>
      </c>
      <c r="C1028" t="s">
        <v>3963</v>
      </c>
      <c r="D1028" t="s">
        <v>3964</v>
      </c>
      <c r="E1028" t="s">
        <v>3965</v>
      </c>
      <c r="F1028" t="s">
        <v>3966</v>
      </c>
      <c r="G1028" t="s">
        <v>5</v>
      </c>
      <c r="H1028" t="s">
        <v>65</v>
      </c>
      <c r="I1028" t="s">
        <v>73</v>
      </c>
      <c r="J1028" t="s">
        <v>74</v>
      </c>
      <c r="K1028" t="s">
        <v>3</v>
      </c>
      <c r="L1028" t="s">
        <v>4</v>
      </c>
      <c r="M1028" t="s">
        <v>49</v>
      </c>
      <c r="N1028" t="s">
        <v>3967</v>
      </c>
      <c r="O1028" s="31" t="s">
        <v>3968</v>
      </c>
      <c r="P1028">
        <v>220</v>
      </c>
      <c r="Q1028" t="s">
        <v>70</v>
      </c>
      <c r="R1028">
        <v>1</v>
      </c>
      <c r="S1028" s="31">
        <v>59000</v>
      </c>
      <c r="T1028" s="39">
        <v>65000</v>
      </c>
      <c r="U1028">
        <v>11666.67</v>
      </c>
      <c r="V1028">
        <v>6500</v>
      </c>
      <c r="W1028">
        <v>0</v>
      </c>
      <c r="X1028" s="39">
        <v>19628.330000000002</v>
      </c>
      <c r="Y1028">
        <v>0</v>
      </c>
      <c r="Z1028" s="31">
        <v>46833.33</v>
      </c>
      <c r="AA1028">
        <v>8</v>
      </c>
      <c r="AB1028" s="3">
        <f t="shared" si="47"/>
        <v>46833.33</v>
      </c>
      <c r="AC1028" t="str">
        <f>IF(AB1028-S1028&lt;0,"YES","NO")</f>
        <v>YES</v>
      </c>
      <c r="AD1028">
        <f>IF(AC1028="NO",0,AB1028-S1028)</f>
        <v>-12166.669999999998</v>
      </c>
      <c r="AE1028" s="43">
        <v>0.08</v>
      </c>
      <c r="AF1028" s="3">
        <f t="shared" si="48"/>
        <v>-11265.435185185182</v>
      </c>
      <c r="AG1028" s="45">
        <f t="shared" si="49"/>
        <v>-12391.978703703702</v>
      </c>
      <c r="AH1028" s="55"/>
    </row>
    <row r="1029" spans="1:34" x14ac:dyDescent="0.25">
      <c r="A1029" t="s">
        <v>3969</v>
      </c>
      <c r="B1029" t="s">
        <v>3970</v>
      </c>
      <c r="C1029" t="s">
        <v>3971</v>
      </c>
      <c r="D1029" t="s">
        <v>3972</v>
      </c>
      <c r="E1029" t="s">
        <v>3973</v>
      </c>
      <c r="F1029" t="s">
        <v>3974</v>
      </c>
      <c r="G1029" t="s">
        <v>5</v>
      </c>
      <c r="H1029" t="s">
        <v>61</v>
      </c>
      <c r="I1029" t="s">
        <v>75</v>
      </c>
      <c r="J1029" t="s">
        <v>76</v>
      </c>
      <c r="K1029" t="s">
        <v>3</v>
      </c>
      <c r="L1029" t="s">
        <v>4</v>
      </c>
      <c r="M1029" t="s">
        <v>49</v>
      </c>
      <c r="N1029" t="s">
        <v>3975</v>
      </c>
      <c r="O1029" s="31" t="s">
        <v>3976</v>
      </c>
      <c r="P1029">
        <v>20</v>
      </c>
      <c r="Q1029" t="s">
        <v>77</v>
      </c>
      <c r="R1029">
        <v>1</v>
      </c>
      <c r="S1029" s="31">
        <v>0</v>
      </c>
      <c r="T1029" s="39">
        <v>0</v>
      </c>
      <c r="U1029">
        <v>0</v>
      </c>
      <c r="V1029">
        <v>0</v>
      </c>
      <c r="W1029">
        <v>0</v>
      </c>
      <c r="X1029" s="39">
        <v>0</v>
      </c>
      <c r="Y1029">
        <v>0</v>
      </c>
      <c r="Z1029" s="31">
        <v>0</v>
      </c>
      <c r="AA1029">
        <v>8</v>
      </c>
      <c r="AB1029" s="3">
        <f t="shared" si="47"/>
        <v>0</v>
      </c>
      <c r="AC1029" t="str">
        <f>IF(AB1029-S1029&lt;0,"YES","NO")</f>
        <v>NO</v>
      </c>
      <c r="AD1029">
        <f>IF(AC1029="NO",0,AB1029-S1029)</f>
        <v>0</v>
      </c>
      <c r="AE1029" s="43">
        <v>0.08</v>
      </c>
      <c r="AF1029" s="3">
        <f t="shared" si="48"/>
        <v>0</v>
      </c>
      <c r="AG1029" s="45">
        <f t="shared" si="49"/>
        <v>0</v>
      </c>
      <c r="AH1029" s="55"/>
    </row>
    <row r="1030" spans="1:34" x14ac:dyDescent="0.25">
      <c r="A1030" t="s">
        <v>3969</v>
      </c>
      <c r="B1030" t="s">
        <v>3970</v>
      </c>
      <c r="C1030" t="s">
        <v>3971</v>
      </c>
      <c r="D1030" t="s">
        <v>3972</v>
      </c>
      <c r="E1030" t="s">
        <v>3973</v>
      </c>
      <c r="F1030" t="s">
        <v>3974</v>
      </c>
      <c r="G1030" t="s">
        <v>5</v>
      </c>
      <c r="H1030" t="s">
        <v>65</v>
      </c>
      <c r="I1030" t="s">
        <v>66</v>
      </c>
      <c r="J1030" t="s">
        <v>67</v>
      </c>
      <c r="K1030" t="s">
        <v>3</v>
      </c>
      <c r="L1030" t="s">
        <v>4</v>
      </c>
      <c r="M1030" t="s">
        <v>49</v>
      </c>
      <c r="N1030" t="s">
        <v>3975</v>
      </c>
      <c r="O1030" s="31" t="s">
        <v>3976</v>
      </c>
      <c r="P1030">
        <v>220</v>
      </c>
      <c r="R1030">
        <v>6</v>
      </c>
      <c r="S1030" s="31">
        <v>450000</v>
      </c>
      <c r="T1030" s="39">
        <v>480000</v>
      </c>
      <c r="U1030">
        <v>75000</v>
      </c>
      <c r="V1030">
        <v>48000</v>
      </c>
      <c r="W1030">
        <v>0</v>
      </c>
      <c r="X1030" s="39">
        <v>146400</v>
      </c>
      <c r="Y1030">
        <v>0</v>
      </c>
      <c r="Z1030" s="31">
        <v>357000</v>
      </c>
      <c r="AA1030">
        <v>8</v>
      </c>
      <c r="AB1030" s="3">
        <f t="shared" ref="AB1030:AB1093" si="50">Z1030</f>
        <v>357000</v>
      </c>
      <c r="AC1030" t="str">
        <f>IF(AB1030-S1030&lt;0,"YES","NO")</f>
        <v>YES</v>
      </c>
      <c r="AD1030">
        <f>IF(AC1030="NO",0,AB1030-S1030)</f>
        <v>-93000</v>
      </c>
      <c r="AE1030" s="43">
        <v>0.08</v>
      </c>
      <c r="AF1030" s="3">
        <f t="shared" ref="AF1030:AF1093" si="51">AD1030/(1+AE1030)</f>
        <v>-86111.111111111109</v>
      </c>
      <c r="AG1030" s="45">
        <f t="shared" ref="AG1030:AG1093" si="52">AF1030*1.1</f>
        <v>-94722.222222222234</v>
      </c>
      <c r="AH1030" s="55"/>
    </row>
    <row r="1031" spans="1:34" x14ac:dyDescent="0.25">
      <c r="A1031" t="s">
        <v>3977</v>
      </c>
      <c r="B1031" t="s">
        <v>3978</v>
      </c>
      <c r="C1031" t="s">
        <v>3979</v>
      </c>
      <c r="D1031" t="s">
        <v>3980</v>
      </c>
      <c r="E1031" t="s">
        <v>3981</v>
      </c>
      <c r="F1031" t="s">
        <v>3982</v>
      </c>
      <c r="G1031" t="s">
        <v>5</v>
      </c>
      <c r="H1031" t="s">
        <v>61</v>
      </c>
      <c r="I1031" t="s">
        <v>62</v>
      </c>
      <c r="J1031" t="s">
        <v>63</v>
      </c>
      <c r="K1031" t="s">
        <v>3</v>
      </c>
      <c r="L1031" t="s">
        <v>4</v>
      </c>
      <c r="M1031" t="s">
        <v>49</v>
      </c>
      <c r="N1031" t="s">
        <v>3983</v>
      </c>
      <c r="O1031" s="31" t="s">
        <v>3984</v>
      </c>
      <c r="P1031">
        <v>20000</v>
      </c>
      <c r="Q1031" t="s">
        <v>64</v>
      </c>
      <c r="R1031">
        <v>1</v>
      </c>
      <c r="S1031" s="31">
        <v>0</v>
      </c>
      <c r="T1031" s="39">
        <v>0</v>
      </c>
      <c r="U1031">
        <v>0</v>
      </c>
      <c r="V1031">
        <v>0</v>
      </c>
      <c r="W1031">
        <v>0</v>
      </c>
      <c r="X1031" s="39">
        <v>0</v>
      </c>
      <c r="Y1031">
        <v>0</v>
      </c>
      <c r="Z1031" s="31">
        <v>0</v>
      </c>
      <c r="AA1031">
        <v>8</v>
      </c>
      <c r="AB1031" s="3">
        <f t="shared" si="50"/>
        <v>0</v>
      </c>
      <c r="AC1031" t="str">
        <f>IF(AB1031-S1031&lt;0,"YES","NO")</f>
        <v>NO</v>
      </c>
      <c r="AD1031">
        <f>IF(AC1031="NO",0,AB1031-S1031)</f>
        <v>0</v>
      </c>
      <c r="AE1031" s="43">
        <v>0.08</v>
      </c>
      <c r="AF1031" s="3">
        <f t="shared" si="51"/>
        <v>0</v>
      </c>
      <c r="AG1031" s="45">
        <f t="shared" si="52"/>
        <v>0</v>
      </c>
      <c r="AH1031" s="55"/>
    </row>
    <row r="1032" spans="1:34" x14ac:dyDescent="0.25">
      <c r="A1032" t="s">
        <v>3977</v>
      </c>
      <c r="B1032" t="s">
        <v>3978</v>
      </c>
      <c r="C1032" t="s">
        <v>3979</v>
      </c>
      <c r="D1032" t="s">
        <v>3980</v>
      </c>
      <c r="E1032" t="s">
        <v>3981</v>
      </c>
      <c r="F1032" t="s">
        <v>3982</v>
      </c>
      <c r="G1032" t="s">
        <v>5</v>
      </c>
      <c r="H1032" t="s">
        <v>61</v>
      </c>
      <c r="I1032" t="s">
        <v>84</v>
      </c>
      <c r="J1032" t="s">
        <v>85</v>
      </c>
      <c r="K1032" t="s">
        <v>3</v>
      </c>
      <c r="L1032" t="s">
        <v>4</v>
      </c>
      <c r="M1032" t="s">
        <v>49</v>
      </c>
      <c r="N1032" t="s">
        <v>3983</v>
      </c>
      <c r="O1032" s="31" t="s">
        <v>3984</v>
      </c>
      <c r="P1032">
        <v>100</v>
      </c>
      <c r="Q1032" t="s">
        <v>86</v>
      </c>
      <c r="R1032">
        <v>1</v>
      </c>
      <c r="S1032" s="31">
        <v>0</v>
      </c>
      <c r="T1032" s="39">
        <v>0</v>
      </c>
      <c r="U1032">
        <v>0</v>
      </c>
      <c r="V1032">
        <v>0</v>
      </c>
      <c r="W1032">
        <v>0</v>
      </c>
      <c r="X1032" s="39">
        <v>0</v>
      </c>
      <c r="Y1032">
        <v>0</v>
      </c>
      <c r="Z1032" s="31">
        <v>0</v>
      </c>
      <c r="AA1032">
        <v>8</v>
      </c>
      <c r="AB1032" s="3">
        <f t="shared" si="50"/>
        <v>0</v>
      </c>
      <c r="AC1032" t="str">
        <f>IF(AB1032-S1032&lt;0,"YES","NO")</f>
        <v>NO</v>
      </c>
      <c r="AD1032">
        <f>IF(AC1032="NO",0,AB1032-S1032)</f>
        <v>0</v>
      </c>
      <c r="AE1032" s="43">
        <v>0.08</v>
      </c>
      <c r="AF1032" s="3">
        <f t="shared" si="51"/>
        <v>0</v>
      </c>
      <c r="AG1032" s="45">
        <f t="shared" si="52"/>
        <v>0</v>
      </c>
      <c r="AH1032" s="55"/>
    </row>
    <row r="1033" spans="1:34" x14ac:dyDescent="0.25">
      <c r="A1033" t="s">
        <v>3977</v>
      </c>
      <c r="B1033" t="s">
        <v>3978</v>
      </c>
      <c r="C1033" t="s">
        <v>3979</v>
      </c>
      <c r="D1033" t="s">
        <v>3980</v>
      </c>
      <c r="E1033" t="s">
        <v>3981</v>
      </c>
      <c r="F1033" t="s">
        <v>3982</v>
      </c>
      <c r="G1033" t="s">
        <v>5</v>
      </c>
      <c r="H1033" t="s">
        <v>65</v>
      </c>
      <c r="I1033" t="s">
        <v>68</v>
      </c>
      <c r="J1033" t="s">
        <v>69</v>
      </c>
      <c r="K1033" t="s">
        <v>3</v>
      </c>
      <c r="L1033" t="s">
        <v>4</v>
      </c>
      <c r="M1033" t="s">
        <v>49</v>
      </c>
      <c r="N1033" t="s">
        <v>3983</v>
      </c>
      <c r="O1033" s="31" t="s">
        <v>3984</v>
      </c>
      <c r="P1033">
        <v>220</v>
      </c>
      <c r="Q1033" t="s">
        <v>70</v>
      </c>
      <c r="R1033">
        <v>1</v>
      </c>
      <c r="S1033" s="31">
        <v>59000</v>
      </c>
      <c r="T1033" s="39">
        <v>65000</v>
      </c>
      <c r="U1033">
        <v>11666.67</v>
      </c>
      <c r="V1033">
        <v>6500</v>
      </c>
      <c r="W1033">
        <v>0</v>
      </c>
      <c r="X1033" s="39">
        <v>23843.67</v>
      </c>
      <c r="Y1033">
        <v>0</v>
      </c>
      <c r="Z1033" s="31">
        <v>46833.33</v>
      </c>
      <c r="AA1033">
        <v>8</v>
      </c>
      <c r="AB1033" s="3">
        <f t="shared" si="50"/>
        <v>46833.33</v>
      </c>
      <c r="AC1033" t="str">
        <f>IF(AB1033-S1033&lt;0,"YES","NO")</f>
        <v>YES</v>
      </c>
      <c r="AD1033">
        <f>IF(AC1033="NO",0,AB1033-S1033)</f>
        <v>-12166.669999999998</v>
      </c>
      <c r="AE1033" s="43">
        <v>0.08</v>
      </c>
      <c r="AF1033" s="3">
        <f t="shared" si="51"/>
        <v>-11265.435185185182</v>
      </c>
      <c r="AG1033" s="45">
        <f t="shared" si="52"/>
        <v>-12391.978703703702</v>
      </c>
      <c r="AH1033" s="55"/>
    </row>
    <row r="1034" spans="1:34" x14ac:dyDescent="0.25">
      <c r="A1034" t="s">
        <v>3977</v>
      </c>
      <c r="B1034" t="s">
        <v>3978</v>
      </c>
      <c r="C1034" t="s">
        <v>3979</v>
      </c>
      <c r="D1034" t="s">
        <v>3980</v>
      </c>
      <c r="E1034" t="s">
        <v>3981</v>
      </c>
      <c r="F1034" t="s">
        <v>3982</v>
      </c>
      <c r="G1034" t="s">
        <v>5</v>
      </c>
      <c r="H1034" t="s">
        <v>65</v>
      </c>
      <c r="I1034" t="s">
        <v>71</v>
      </c>
      <c r="J1034" t="s">
        <v>72</v>
      </c>
      <c r="K1034" t="s">
        <v>3</v>
      </c>
      <c r="L1034" t="s">
        <v>4</v>
      </c>
      <c r="M1034" t="s">
        <v>49</v>
      </c>
      <c r="N1034" t="s">
        <v>3983</v>
      </c>
      <c r="O1034" s="31" t="s">
        <v>3984</v>
      </c>
      <c r="P1034">
        <v>220</v>
      </c>
      <c r="Q1034" t="s">
        <v>70</v>
      </c>
      <c r="R1034">
        <v>1</v>
      </c>
      <c r="S1034" s="31">
        <v>59000</v>
      </c>
      <c r="T1034" s="39">
        <v>65000</v>
      </c>
      <c r="U1034">
        <v>11666.67</v>
      </c>
      <c r="V1034">
        <v>6500</v>
      </c>
      <c r="W1034">
        <v>0</v>
      </c>
      <c r="X1034" s="39">
        <v>23843.67</v>
      </c>
      <c r="Y1034">
        <v>0</v>
      </c>
      <c r="Z1034" s="31">
        <v>46833.33</v>
      </c>
      <c r="AA1034">
        <v>8</v>
      </c>
      <c r="AB1034" s="3">
        <f t="shared" si="50"/>
        <v>46833.33</v>
      </c>
      <c r="AC1034" t="str">
        <f>IF(AB1034-S1034&lt;0,"YES","NO")</f>
        <v>YES</v>
      </c>
      <c r="AD1034">
        <f>IF(AC1034="NO",0,AB1034-S1034)</f>
        <v>-12166.669999999998</v>
      </c>
      <c r="AE1034" s="43">
        <v>0.08</v>
      </c>
      <c r="AF1034" s="3">
        <f t="shared" si="51"/>
        <v>-11265.435185185182</v>
      </c>
      <c r="AG1034" s="45">
        <f t="shared" si="52"/>
        <v>-12391.978703703702</v>
      </c>
      <c r="AH1034" s="55"/>
    </row>
    <row r="1035" spans="1:34" x14ac:dyDescent="0.25">
      <c r="A1035" t="s">
        <v>3977</v>
      </c>
      <c r="B1035" t="s">
        <v>3978</v>
      </c>
      <c r="C1035" t="s">
        <v>3979</v>
      </c>
      <c r="D1035" t="s">
        <v>3980</v>
      </c>
      <c r="E1035" t="s">
        <v>3981</v>
      </c>
      <c r="F1035" t="s">
        <v>3982</v>
      </c>
      <c r="G1035" t="s">
        <v>5</v>
      </c>
      <c r="H1035" t="s">
        <v>65</v>
      </c>
      <c r="I1035" t="s">
        <v>73</v>
      </c>
      <c r="J1035" t="s">
        <v>74</v>
      </c>
      <c r="K1035" t="s">
        <v>3</v>
      </c>
      <c r="L1035" t="s">
        <v>4</v>
      </c>
      <c r="M1035" t="s">
        <v>49</v>
      </c>
      <c r="N1035" t="s">
        <v>3983</v>
      </c>
      <c r="O1035" s="31" t="s">
        <v>3984</v>
      </c>
      <c r="P1035">
        <v>220</v>
      </c>
      <c r="Q1035" t="s">
        <v>70</v>
      </c>
      <c r="R1035">
        <v>1</v>
      </c>
      <c r="S1035" s="31">
        <v>59000</v>
      </c>
      <c r="T1035" s="39">
        <v>65000</v>
      </c>
      <c r="U1035">
        <v>11666.67</v>
      </c>
      <c r="V1035">
        <v>6500</v>
      </c>
      <c r="W1035">
        <v>0</v>
      </c>
      <c r="X1035" s="39">
        <v>23843.67</v>
      </c>
      <c r="Y1035">
        <v>0</v>
      </c>
      <c r="Z1035" s="31">
        <v>46833.33</v>
      </c>
      <c r="AA1035">
        <v>8</v>
      </c>
      <c r="AB1035" s="3">
        <f t="shared" si="50"/>
        <v>46833.33</v>
      </c>
      <c r="AC1035" t="str">
        <f>IF(AB1035-S1035&lt;0,"YES","NO")</f>
        <v>YES</v>
      </c>
      <c r="AD1035">
        <f>IF(AC1035="NO",0,AB1035-S1035)</f>
        <v>-12166.669999999998</v>
      </c>
      <c r="AE1035" s="43">
        <v>0.08</v>
      </c>
      <c r="AF1035" s="3">
        <f t="shared" si="51"/>
        <v>-11265.435185185182</v>
      </c>
      <c r="AG1035" s="45">
        <f t="shared" si="52"/>
        <v>-12391.978703703702</v>
      </c>
      <c r="AH1035" s="55"/>
    </row>
    <row r="1036" spans="1:34" x14ac:dyDescent="0.25">
      <c r="A1036" t="s">
        <v>3977</v>
      </c>
      <c r="B1036" t="s">
        <v>3978</v>
      </c>
      <c r="C1036" t="s">
        <v>3979</v>
      </c>
      <c r="D1036" t="s">
        <v>3980</v>
      </c>
      <c r="E1036" t="s">
        <v>3981</v>
      </c>
      <c r="F1036" t="s">
        <v>3982</v>
      </c>
      <c r="G1036" t="s">
        <v>5</v>
      </c>
      <c r="H1036" t="s">
        <v>65</v>
      </c>
      <c r="I1036" t="s">
        <v>87</v>
      </c>
      <c r="J1036" t="s">
        <v>88</v>
      </c>
      <c r="K1036" t="s">
        <v>3</v>
      </c>
      <c r="L1036" t="s">
        <v>4</v>
      </c>
      <c r="M1036" t="s">
        <v>49</v>
      </c>
      <c r="N1036" t="s">
        <v>3983</v>
      </c>
      <c r="O1036" s="31" t="s">
        <v>3984</v>
      </c>
      <c r="P1036">
        <v>220</v>
      </c>
      <c r="Q1036" t="s">
        <v>89</v>
      </c>
      <c r="R1036">
        <v>1</v>
      </c>
      <c r="S1036" s="31">
        <v>59000</v>
      </c>
      <c r="T1036" s="39">
        <v>70000</v>
      </c>
      <c r="U1036">
        <v>0</v>
      </c>
      <c r="V1036">
        <v>7000</v>
      </c>
      <c r="W1036">
        <v>0</v>
      </c>
      <c r="X1036" s="39">
        <v>16379</v>
      </c>
      <c r="Y1036">
        <v>0</v>
      </c>
      <c r="Z1036" s="31">
        <v>63000</v>
      </c>
      <c r="AA1036">
        <v>8</v>
      </c>
      <c r="AB1036" s="3">
        <f t="shared" si="50"/>
        <v>63000</v>
      </c>
      <c r="AC1036" t="str">
        <f>IF(AB1036-S1036&lt;0,"YES","NO")</f>
        <v>NO</v>
      </c>
      <c r="AD1036">
        <f>IF(AC1036="NO",0,AB1036-S1036)</f>
        <v>0</v>
      </c>
      <c r="AE1036" s="43">
        <v>0.08</v>
      </c>
      <c r="AF1036" s="3">
        <f t="shared" si="51"/>
        <v>0</v>
      </c>
      <c r="AG1036" s="45">
        <f t="shared" si="52"/>
        <v>0</v>
      </c>
      <c r="AH1036" s="55"/>
    </row>
    <row r="1037" spans="1:34" x14ac:dyDescent="0.25">
      <c r="A1037" t="s">
        <v>3977</v>
      </c>
      <c r="B1037" t="s">
        <v>3978</v>
      </c>
      <c r="C1037" t="s">
        <v>3979</v>
      </c>
      <c r="D1037" t="s">
        <v>3980</v>
      </c>
      <c r="E1037" t="s">
        <v>3981</v>
      </c>
      <c r="F1037" t="s">
        <v>3982</v>
      </c>
      <c r="G1037" t="s">
        <v>5</v>
      </c>
      <c r="H1037" t="s">
        <v>65</v>
      </c>
      <c r="I1037" t="s">
        <v>90</v>
      </c>
      <c r="J1037" t="s">
        <v>91</v>
      </c>
      <c r="K1037" t="s">
        <v>3</v>
      </c>
      <c r="L1037" t="s">
        <v>4</v>
      </c>
      <c r="M1037" t="s">
        <v>49</v>
      </c>
      <c r="N1037" t="s">
        <v>3983</v>
      </c>
      <c r="O1037" s="31" t="s">
        <v>3984</v>
      </c>
      <c r="P1037">
        <v>220</v>
      </c>
      <c r="Q1037" t="s">
        <v>92</v>
      </c>
      <c r="R1037">
        <v>1</v>
      </c>
      <c r="S1037" s="31">
        <v>59000</v>
      </c>
      <c r="T1037" s="39">
        <v>70000</v>
      </c>
      <c r="U1037">
        <v>0</v>
      </c>
      <c r="V1037">
        <v>7000</v>
      </c>
      <c r="W1037">
        <v>0</v>
      </c>
      <c r="X1037" s="39">
        <v>16379</v>
      </c>
      <c r="Y1037">
        <v>0</v>
      </c>
      <c r="Z1037" s="31">
        <v>63000</v>
      </c>
      <c r="AA1037">
        <v>8</v>
      </c>
      <c r="AB1037" s="3">
        <f t="shared" si="50"/>
        <v>63000</v>
      </c>
      <c r="AC1037" t="str">
        <f>IF(AB1037-S1037&lt;0,"YES","NO")</f>
        <v>NO</v>
      </c>
      <c r="AD1037">
        <f>IF(AC1037="NO",0,AB1037-S1037)</f>
        <v>0</v>
      </c>
      <c r="AE1037" s="43">
        <v>0.08</v>
      </c>
      <c r="AF1037" s="3">
        <f t="shared" si="51"/>
        <v>0</v>
      </c>
      <c r="AG1037" s="45">
        <f t="shared" si="52"/>
        <v>0</v>
      </c>
      <c r="AH1037" s="55"/>
    </row>
    <row r="1038" spans="1:34" x14ac:dyDescent="0.25">
      <c r="A1038" t="s">
        <v>3977</v>
      </c>
      <c r="B1038" t="s">
        <v>3978</v>
      </c>
      <c r="C1038" t="s">
        <v>3979</v>
      </c>
      <c r="D1038" t="s">
        <v>3980</v>
      </c>
      <c r="E1038" t="s">
        <v>3981</v>
      </c>
      <c r="F1038" t="s">
        <v>3982</v>
      </c>
      <c r="G1038" t="s">
        <v>5</v>
      </c>
      <c r="H1038" t="s">
        <v>65</v>
      </c>
      <c r="I1038" t="s">
        <v>82</v>
      </c>
      <c r="J1038" t="s">
        <v>83</v>
      </c>
      <c r="K1038" t="s">
        <v>3</v>
      </c>
      <c r="L1038" t="s">
        <v>4</v>
      </c>
      <c r="M1038" t="s">
        <v>49</v>
      </c>
      <c r="N1038" t="s">
        <v>3983</v>
      </c>
      <c r="O1038" s="31" t="s">
        <v>3984</v>
      </c>
      <c r="P1038">
        <v>220</v>
      </c>
      <c r="R1038">
        <v>2</v>
      </c>
      <c r="S1038" s="31">
        <v>150000</v>
      </c>
      <c r="T1038" s="39">
        <v>160000</v>
      </c>
      <c r="U1038">
        <v>0</v>
      </c>
      <c r="V1038">
        <v>16000</v>
      </c>
      <c r="W1038">
        <v>0</v>
      </c>
      <c r="X1038" s="39">
        <v>37441</v>
      </c>
      <c r="Y1038">
        <v>0</v>
      </c>
      <c r="Z1038" s="31">
        <v>144000</v>
      </c>
      <c r="AA1038">
        <v>8</v>
      </c>
      <c r="AB1038" s="3">
        <f t="shared" si="50"/>
        <v>144000</v>
      </c>
      <c r="AC1038" t="str">
        <f>IF(AB1038-S1038&lt;0,"YES","NO")</f>
        <v>YES</v>
      </c>
      <c r="AD1038">
        <f>IF(AC1038="NO",0,AB1038-S1038)</f>
        <v>-6000</v>
      </c>
      <c r="AE1038" s="43">
        <v>0.08</v>
      </c>
      <c r="AF1038" s="3">
        <f t="shared" si="51"/>
        <v>-5555.5555555555547</v>
      </c>
      <c r="AG1038" s="45">
        <f t="shared" si="52"/>
        <v>-6111.1111111111104</v>
      </c>
      <c r="AH1038" s="55"/>
    </row>
    <row r="1039" spans="1:34" x14ac:dyDescent="0.25">
      <c r="A1039" t="s">
        <v>3977</v>
      </c>
      <c r="B1039" t="s">
        <v>3978</v>
      </c>
      <c r="C1039" t="s">
        <v>3979</v>
      </c>
      <c r="D1039" t="s">
        <v>3980</v>
      </c>
      <c r="E1039" t="s">
        <v>3981</v>
      </c>
      <c r="F1039" t="s">
        <v>3982</v>
      </c>
      <c r="G1039" t="s">
        <v>5</v>
      </c>
      <c r="H1039" t="s">
        <v>65</v>
      </c>
      <c r="I1039" t="s">
        <v>78</v>
      </c>
      <c r="J1039" t="s">
        <v>79</v>
      </c>
      <c r="K1039" t="s">
        <v>3</v>
      </c>
      <c r="L1039" t="s">
        <v>4</v>
      </c>
      <c r="M1039" t="s">
        <v>49</v>
      </c>
      <c r="N1039" t="s">
        <v>3983</v>
      </c>
      <c r="O1039" s="31" t="s">
        <v>3984</v>
      </c>
      <c r="P1039">
        <v>220</v>
      </c>
      <c r="R1039">
        <v>2</v>
      </c>
      <c r="S1039" s="31">
        <v>150000</v>
      </c>
      <c r="T1039" s="39">
        <v>160000</v>
      </c>
      <c r="U1039">
        <v>0</v>
      </c>
      <c r="V1039">
        <v>16000</v>
      </c>
      <c r="W1039">
        <v>0</v>
      </c>
      <c r="X1039" s="39">
        <v>37441</v>
      </c>
      <c r="Y1039">
        <v>0</v>
      </c>
      <c r="Z1039" s="31">
        <v>144000</v>
      </c>
      <c r="AA1039">
        <v>8</v>
      </c>
      <c r="AB1039" s="3">
        <f t="shared" si="50"/>
        <v>144000</v>
      </c>
      <c r="AC1039" t="str">
        <f>IF(AB1039-S1039&lt;0,"YES","NO")</f>
        <v>YES</v>
      </c>
      <c r="AD1039">
        <f>IF(AC1039="NO",0,AB1039-S1039)</f>
        <v>-6000</v>
      </c>
      <c r="AE1039" s="43">
        <v>0.08</v>
      </c>
      <c r="AF1039" s="3">
        <f t="shared" si="51"/>
        <v>-5555.5555555555547</v>
      </c>
      <c r="AG1039" s="45">
        <f t="shared" si="52"/>
        <v>-6111.1111111111104</v>
      </c>
      <c r="AH1039" s="55"/>
    </row>
    <row r="1040" spans="1:34" x14ac:dyDescent="0.25">
      <c r="A1040" t="s">
        <v>3985</v>
      </c>
      <c r="B1040" t="s">
        <v>3978</v>
      </c>
      <c r="C1040" t="s">
        <v>3986</v>
      </c>
      <c r="D1040" t="s">
        <v>3987</v>
      </c>
      <c r="E1040" t="s">
        <v>3988</v>
      </c>
      <c r="F1040" t="s">
        <v>3989</v>
      </c>
      <c r="G1040" t="s">
        <v>5</v>
      </c>
      <c r="H1040" t="s">
        <v>61</v>
      </c>
      <c r="I1040" t="s">
        <v>62</v>
      </c>
      <c r="J1040" t="s">
        <v>63</v>
      </c>
      <c r="K1040" t="s">
        <v>3</v>
      </c>
      <c r="L1040" t="s">
        <v>4</v>
      </c>
      <c r="M1040" t="s">
        <v>49</v>
      </c>
      <c r="N1040" t="s">
        <v>3990</v>
      </c>
      <c r="O1040" s="31" t="s">
        <v>3991</v>
      </c>
      <c r="P1040">
        <v>20000</v>
      </c>
      <c r="Q1040" t="s">
        <v>64</v>
      </c>
      <c r="R1040">
        <v>1</v>
      </c>
      <c r="S1040" s="31">
        <v>0</v>
      </c>
      <c r="T1040" s="39">
        <v>0</v>
      </c>
      <c r="U1040">
        <v>0</v>
      </c>
      <c r="V1040">
        <v>0</v>
      </c>
      <c r="W1040">
        <v>0</v>
      </c>
      <c r="X1040" s="39">
        <v>0</v>
      </c>
      <c r="Y1040">
        <v>0</v>
      </c>
      <c r="Z1040" s="31">
        <v>0</v>
      </c>
      <c r="AA1040">
        <v>8</v>
      </c>
      <c r="AB1040" s="3">
        <f t="shared" si="50"/>
        <v>0</v>
      </c>
      <c r="AC1040" t="str">
        <f>IF(AB1040-S1040&lt;0,"YES","NO")</f>
        <v>NO</v>
      </c>
      <c r="AD1040">
        <f>IF(AC1040="NO",0,AB1040-S1040)</f>
        <v>0</v>
      </c>
      <c r="AE1040" s="43">
        <v>0.08</v>
      </c>
      <c r="AF1040" s="3">
        <f t="shared" si="51"/>
        <v>0</v>
      </c>
      <c r="AG1040" s="45">
        <f t="shared" si="52"/>
        <v>0</v>
      </c>
      <c r="AH1040" s="55"/>
    </row>
    <row r="1041" spans="1:34" x14ac:dyDescent="0.25">
      <c r="A1041" t="s">
        <v>3985</v>
      </c>
      <c r="B1041" t="s">
        <v>3978</v>
      </c>
      <c r="C1041" t="s">
        <v>3986</v>
      </c>
      <c r="D1041" t="s">
        <v>3987</v>
      </c>
      <c r="E1041" t="s">
        <v>3988</v>
      </c>
      <c r="F1041" t="s">
        <v>3989</v>
      </c>
      <c r="G1041" t="s">
        <v>5</v>
      </c>
      <c r="H1041" t="s">
        <v>65</v>
      </c>
      <c r="I1041" t="s">
        <v>68</v>
      </c>
      <c r="J1041" t="s">
        <v>69</v>
      </c>
      <c r="K1041" t="s">
        <v>3</v>
      </c>
      <c r="L1041" t="s">
        <v>4</v>
      </c>
      <c r="M1041" t="s">
        <v>49</v>
      </c>
      <c r="N1041" t="s">
        <v>3990</v>
      </c>
      <c r="O1041" s="31" t="s">
        <v>3991</v>
      </c>
      <c r="P1041">
        <v>220</v>
      </c>
      <c r="Q1041" t="s">
        <v>70</v>
      </c>
      <c r="R1041">
        <v>1</v>
      </c>
      <c r="S1041" s="31">
        <v>59000</v>
      </c>
      <c r="T1041" s="39">
        <v>65000</v>
      </c>
      <c r="U1041">
        <v>11666.67</v>
      </c>
      <c r="V1041">
        <v>6500</v>
      </c>
      <c r="W1041">
        <v>0</v>
      </c>
      <c r="X1041" s="39">
        <v>21033.33</v>
      </c>
      <c r="Y1041">
        <v>0</v>
      </c>
      <c r="Z1041" s="31">
        <v>46833.33</v>
      </c>
      <c r="AA1041">
        <v>8</v>
      </c>
      <c r="AB1041" s="3">
        <f t="shared" si="50"/>
        <v>46833.33</v>
      </c>
      <c r="AC1041" t="str">
        <f>IF(AB1041-S1041&lt;0,"YES","NO")</f>
        <v>YES</v>
      </c>
      <c r="AD1041">
        <f>IF(AC1041="NO",0,AB1041-S1041)</f>
        <v>-12166.669999999998</v>
      </c>
      <c r="AE1041" s="43">
        <v>0.08</v>
      </c>
      <c r="AF1041" s="3">
        <f t="shared" si="51"/>
        <v>-11265.435185185182</v>
      </c>
      <c r="AG1041" s="45">
        <f t="shared" si="52"/>
        <v>-12391.978703703702</v>
      </c>
      <c r="AH1041" s="55"/>
    </row>
    <row r="1042" spans="1:34" x14ac:dyDescent="0.25">
      <c r="A1042" t="s">
        <v>3985</v>
      </c>
      <c r="B1042" t="s">
        <v>3978</v>
      </c>
      <c r="C1042" t="s">
        <v>3986</v>
      </c>
      <c r="D1042" t="s">
        <v>3987</v>
      </c>
      <c r="E1042" t="s">
        <v>3988</v>
      </c>
      <c r="F1042" t="s">
        <v>3989</v>
      </c>
      <c r="G1042" t="s">
        <v>5</v>
      </c>
      <c r="H1042" t="s">
        <v>65</v>
      </c>
      <c r="I1042" t="s">
        <v>71</v>
      </c>
      <c r="J1042" t="s">
        <v>72</v>
      </c>
      <c r="K1042" t="s">
        <v>3</v>
      </c>
      <c r="L1042" t="s">
        <v>4</v>
      </c>
      <c r="M1042" t="s">
        <v>49</v>
      </c>
      <c r="N1042" t="s">
        <v>3990</v>
      </c>
      <c r="O1042" s="31" t="s">
        <v>3991</v>
      </c>
      <c r="P1042">
        <v>220</v>
      </c>
      <c r="Q1042" t="s">
        <v>70</v>
      </c>
      <c r="R1042">
        <v>1</v>
      </c>
      <c r="S1042" s="31">
        <v>59000</v>
      </c>
      <c r="T1042" s="39">
        <v>65000</v>
      </c>
      <c r="U1042">
        <v>11666.67</v>
      </c>
      <c r="V1042">
        <v>6500</v>
      </c>
      <c r="W1042">
        <v>0</v>
      </c>
      <c r="X1042" s="39">
        <v>21033.33</v>
      </c>
      <c r="Y1042">
        <v>0</v>
      </c>
      <c r="Z1042" s="31">
        <v>46833.33</v>
      </c>
      <c r="AA1042">
        <v>8</v>
      </c>
      <c r="AB1042" s="3">
        <f t="shared" si="50"/>
        <v>46833.33</v>
      </c>
      <c r="AC1042" t="str">
        <f>IF(AB1042-S1042&lt;0,"YES","NO")</f>
        <v>YES</v>
      </c>
      <c r="AD1042">
        <f>IF(AC1042="NO",0,AB1042-S1042)</f>
        <v>-12166.669999999998</v>
      </c>
      <c r="AE1042" s="43">
        <v>0.08</v>
      </c>
      <c r="AF1042" s="3">
        <f t="shared" si="51"/>
        <v>-11265.435185185182</v>
      </c>
      <c r="AG1042" s="45">
        <f t="shared" si="52"/>
        <v>-12391.978703703702</v>
      </c>
      <c r="AH1042" s="55"/>
    </row>
    <row r="1043" spans="1:34" x14ac:dyDescent="0.25">
      <c r="A1043" t="s">
        <v>3985</v>
      </c>
      <c r="B1043" t="s">
        <v>3978</v>
      </c>
      <c r="C1043" t="s">
        <v>3986</v>
      </c>
      <c r="D1043" t="s">
        <v>3987</v>
      </c>
      <c r="E1043" t="s">
        <v>3988</v>
      </c>
      <c r="F1043" t="s">
        <v>3989</v>
      </c>
      <c r="G1043" t="s">
        <v>5</v>
      </c>
      <c r="H1043" t="s">
        <v>65</v>
      </c>
      <c r="I1043" t="s">
        <v>73</v>
      </c>
      <c r="J1043" t="s">
        <v>74</v>
      </c>
      <c r="K1043" t="s">
        <v>3</v>
      </c>
      <c r="L1043" t="s">
        <v>4</v>
      </c>
      <c r="M1043" t="s">
        <v>49</v>
      </c>
      <c r="N1043" t="s">
        <v>3990</v>
      </c>
      <c r="O1043" s="31" t="s">
        <v>3991</v>
      </c>
      <c r="P1043">
        <v>220</v>
      </c>
      <c r="Q1043" t="s">
        <v>70</v>
      </c>
      <c r="R1043">
        <v>1</v>
      </c>
      <c r="S1043" s="31">
        <v>59000</v>
      </c>
      <c r="T1043" s="39">
        <v>65000</v>
      </c>
      <c r="U1043">
        <v>11666.67</v>
      </c>
      <c r="V1043">
        <v>6500</v>
      </c>
      <c r="W1043">
        <v>0</v>
      </c>
      <c r="X1043" s="39">
        <v>21033.33</v>
      </c>
      <c r="Y1043">
        <v>0</v>
      </c>
      <c r="Z1043" s="31">
        <v>46833.33</v>
      </c>
      <c r="AA1043">
        <v>8</v>
      </c>
      <c r="AB1043" s="3">
        <f t="shared" si="50"/>
        <v>46833.33</v>
      </c>
      <c r="AC1043" t="str">
        <f>IF(AB1043-S1043&lt;0,"YES","NO")</f>
        <v>YES</v>
      </c>
      <c r="AD1043">
        <f>IF(AC1043="NO",0,AB1043-S1043)</f>
        <v>-12166.669999999998</v>
      </c>
      <c r="AE1043" s="43">
        <v>0.08</v>
      </c>
      <c r="AF1043" s="3">
        <f t="shared" si="51"/>
        <v>-11265.435185185182</v>
      </c>
      <c r="AG1043" s="45">
        <f t="shared" si="52"/>
        <v>-12391.978703703702</v>
      </c>
      <c r="AH1043" s="55"/>
    </row>
    <row r="1044" spans="1:34" x14ac:dyDescent="0.25">
      <c r="A1044" t="s">
        <v>3985</v>
      </c>
      <c r="B1044" t="s">
        <v>3978</v>
      </c>
      <c r="C1044" t="s">
        <v>3986</v>
      </c>
      <c r="D1044" t="s">
        <v>3987</v>
      </c>
      <c r="E1044" t="s">
        <v>3988</v>
      </c>
      <c r="F1044" t="s">
        <v>3989</v>
      </c>
      <c r="G1044" t="s">
        <v>5</v>
      </c>
      <c r="H1044" t="s">
        <v>65</v>
      </c>
      <c r="I1044" t="s">
        <v>87</v>
      </c>
      <c r="J1044" t="s">
        <v>88</v>
      </c>
      <c r="K1044" t="s">
        <v>3</v>
      </c>
      <c r="L1044" t="s">
        <v>4</v>
      </c>
      <c r="M1044" t="s">
        <v>49</v>
      </c>
      <c r="N1044" t="s">
        <v>3990</v>
      </c>
      <c r="O1044" s="31" t="s">
        <v>3991</v>
      </c>
      <c r="P1044">
        <v>220</v>
      </c>
      <c r="Q1044" t="s">
        <v>89</v>
      </c>
      <c r="R1044">
        <v>1</v>
      </c>
      <c r="S1044" s="31">
        <v>59000</v>
      </c>
      <c r="T1044" s="39">
        <v>70000</v>
      </c>
      <c r="U1044">
        <v>0</v>
      </c>
      <c r="V1044">
        <v>7000</v>
      </c>
      <c r="W1044">
        <v>0</v>
      </c>
      <c r="X1044" s="39">
        <v>12600</v>
      </c>
      <c r="Y1044">
        <v>0</v>
      </c>
      <c r="Z1044" s="31">
        <v>63000</v>
      </c>
      <c r="AA1044">
        <v>8</v>
      </c>
      <c r="AB1044" s="3">
        <f t="shared" si="50"/>
        <v>63000</v>
      </c>
      <c r="AC1044" t="str">
        <f>IF(AB1044-S1044&lt;0,"YES","NO")</f>
        <v>NO</v>
      </c>
      <c r="AD1044">
        <f>IF(AC1044="NO",0,AB1044-S1044)</f>
        <v>0</v>
      </c>
      <c r="AE1044" s="43">
        <v>0.08</v>
      </c>
      <c r="AF1044" s="3">
        <f t="shared" si="51"/>
        <v>0</v>
      </c>
      <c r="AG1044" s="45">
        <f t="shared" si="52"/>
        <v>0</v>
      </c>
      <c r="AH1044" s="55"/>
    </row>
    <row r="1045" spans="1:34" x14ac:dyDescent="0.25">
      <c r="A1045" t="s">
        <v>3985</v>
      </c>
      <c r="B1045" t="s">
        <v>3978</v>
      </c>
      <c r="C1045" t="s">
        <v>3986</v>
      </c>
      <c r="D1045" t="s">
        <v>3987</v>
      </c>
      <c r="E1045" t="s">
        <v>3988</v>
      </c>
      <c r="F1045" t="s">
        <v>3989</v>
      </c>
      <c r="G1045" t="s">
        <v>5</v>
      </c>
      <c r="H1045" t="s">
        <v>65</v>
      </c>
      <c r="I1045" t="s">
        <v>90</v>
      </c>
      <c r="J1045" t="s">
        <v>91</v>
      </c>
      <c r="K1045" t="s">
        <v>3</v>
      </c>
      <c r="L1045" t="s">
        <v>4</v>
      </c>
      <c r="M1045" t="s">
        <v>49</v>
      </c>
      <c r="N1045" t="s">
        <v>3990</v>
      </c>
      <c r="O1045" s="31" t="s">
        <v>3991</v>
      </c>
      <c r="P1045">
        <v>220</v>
      </c>
      <c r="Q1045" t="s">
        <v>92</v>
      </c>
      <c r="R1045">
        <v>1</v>
      </c>
      <c r="S1045" s="31">
        <v>59000</v>
      </c>
      <c r="T1045" s="39">
        <v>70000</v>
      </c>
      <c r="U1045">
        <v>0</v>
      </c>
      <c r="V1045">
        <v>7000</v>
      </c>
      <c r="W1045">
        <v>0</v>
      </c>
      <c r="X1045" s="39">
        <v>12600</v>
      </c>
      <c r="Y1045">
        <v>0</v>
      </c>
      <c r="Z1045" s="31">
        <v>63000</v>
      </c>
      <c r="AA1045">
        <v>8</v>
      </c>
      <c r="AB1045" s="3">
        <f t="shared" si="50"/>
        <v>63000</v>
      </c>
      <c r="AC1045" t="str">
        <f>IF(AB1045-S1045&lt;0,"YES","NO")</f>
        <v>NO</v>
      </c>
      <c r="AD1045">
        <f>IF(AC1045="NO",0,AB1045-S1045)</f>
        <v>0</v>
      </c>
      <c r="AE1045" s="43">
        <v>0.08</v>
      </c>
      <c r="AF1045" s="3">
        <f t="shared" si="51"/>
        <v>0</v>
      </c>
      <c r="AG1045" s="45">
        <f t="shared" si="52"/>
        <v>0</v>
      </c>
      <c r="AH1045" s="55"/>
    </row>
    <row r="1046" spans="1:34" x14ac:dyDescent="0.25">
      <c r="A1046" t="s">
        <v>3992</v>
      </c>
      <c r="B1046" t="s">
        <v>3993</v>
      </c>
      <c r="C1046" t="s">
        <v>3994</v>
      </c>
      <c r="D1046" t="s">
        <v>3995</v>
      </c>
      <c r="E1046" t="s">
        <v>3996</v>
      </c>
      <c r="F1046" t="s">
        <v>3997</v>
      </c>
      <c r="G1046" t="s">
        <v>5</v>
      </c>
      <c r="H1046" t="s">
        <v>61</v>
      </c>
      <c r="I1046" t="s">
        <v>62</v>
      </c>
      <c r="J1046" t="s">
        <v>63</v>
      </c>
      <c r="K1046" t="s">
        <v>3</v>
      </c>
      <c r="L1046" t="s">
        <v>4</v>
      </c>
      <c r="M1046" t="s">
        <v>49</v>
      </c>
      <c r="N1046" t="s">
        <v>3998</v>
      </c>
      <c r="O1046" s="31" t="s">
        <v>3999</v>
      </c>
      <c r="P1046">
        <v>20000</v>
      </c>
      <c r="Q1046" t="s">
        <v>64</v>
      </c>
      <c r="R1046">
        <v>1</v>
      </c>
      <c r="S1046" s="31">
        <v>0</v>
      </c>
      <c r="T1046" s="39">
        <v>0</v>
      </c>
      <c r="U1046">
        <v>0</v>
      </c>
      <c r="V1046">
        <v>0</v>
      </c>
      <c r="W1046">
        <v>0</v>
      </c>
      <c r="X1046" s="39">
        <v>0</v>
      </c>
      <c r="Y1046">
        <v>0</v>
      </c>
      <c r="Z1046" s="31">
        <v>0</v>
      </c>
      <c r="AA1046">
        <v>8</v>
      </c>
      <c r="AB1046" s="3">
        <f t="shared" si="50"/>
        <v>0</v>
      </c>
      <c r="AC1046" t="str">
        <f>IF(AB1046-S1046&lt;0,"YES","NO")</f>
        <v>NO</v>
      </c>
      <c r="AD1046">
        <f>IF(AC1046="NO",0,AB1046-S1046)</f>
        <v>0</v>
      </c>
      <c r="AE1046" s="43">
        <v>0.08</v>
      </c>
      <c r="AF1046" s="3">
        <f t="shared" si="51"/>
        <v>0</v>
      </c>
      <c r="AG1046" s="45">
        <f t="shared" si="52"/>
        <v>0</v>
      </c>
      <c r="AH1046" s="55"/>
    </row>
    <row r="1047" spans="1:34" x14ac:dyDescent="0.25">
      <c r="A1047" t="s">
        <v>3992</v>
      </c>
      <c r="B1047" t="s">
        <v>3993</v>
      </c>
      <c r="C1047" t="s">
        <v>3994</v>
      </c>
      <c r="D1047" t="s">
        <v>3995</v>
      </c>
      <c r="E1047" t="s">
        <v>3996</v>
      </c>
      <c r="F1047" t="s">
        <v>3997</v>
      </c>
      <c r="G1047" t="s">
        <v>5</v>
      </c>
      <c r="H1047" t="s">
        <v>65</v>
      </c>
      <c r="I1047" t="s">
        <v>87</v>
      </c>
      <c r="J1047" t="s">
        <v>88</v>
      </c>
      <c r="K1047" t="s">
        <v>3</v>
      </c>
      <c r="L1047" t="s">
        <v>4</v>
      </c>
      <c r="M1047" t="s">
        <v>49</v>
      </c>
      <c r="N1047" t="s">
        <v>3998</v>
      </c>
      <c r="O1047" s="31" t="s">
        <v>3999</v>
      </c>
      <c r="P1047">
        <v>220</v>
      </c>
      <c r="Q1047" t="s">
        <v>89</v>
      </c>
      <c r="R1047">
        <v>1</v>
      </c>
      <c r="S1047" s="31">
        <v>59000</v>
      </c>
      <c r="T1047" s="39">
        <v>70000</v>
      </c>
      <c r="U1047">
        <v>10000</v>
      </c>
      <c r="V1047">
        <v>7000</v>
      </c>
      <c r="W1047">
        <v>0</v>
      </c>
      <c r="X1047" s="39">
        <v>20600</v>
      </c>
      <c r="Y1047">
        <v>0</v>
      </c>
      <c r="Z1047" s="31">
        <v>53000</v>
      </c>
      <c r="AA1047">
        <v>8</v>
      </c>
      <c r="AB1047" s="3">
        <f t="shared" si="50"/>
        <v>53000</v>
      </c>
      <c r="AC1047" t="str">
        <f>IF(AB1047-S1047&lt;0,"YES","NO")</f>
        <v>YES</v>
      </c>
      <c r="AD1047">
        <f>IF(AC1047="NO",0,AB1047-S1047)</f>
        <v>-6000</v>
      </c>
      <c r="AE1047" s="43">
        <v>0.08</v>
      </c>
      <c r="AF1047" s="3">
        <f t="shared" si="51"/>
        <v>-5555.5555555555547</v>
      </c>
      <c r="AG1047" s="45">
        <f t="shared" si="52"/>
        <v>-6111.1111111111104</v>
      </c>
      <c r="AH1047" s="55"/>
    </row>
    <row r="1048" spans="1:34" x14ac:dyDescent="0.25">
      <c r="A1048" t="s">
        <v>3992</v>
      </c>
      <c r="B1048" t="s">
        <v>3993</v>
      </c>
      <c r="C1048" t="s">
        <v>3994</v>
      </c>
      <c r="D1048" t="s">
        <v>3995</v>
      </c>
      <c r="E1048" t="s">
        <v>3996</v>
      </c>
      <c r="F1048" t="s">
        <v>3997</v>
      </c>
      <c r="G1048" t="s">
        <v>5</v>
      </c>
      <c r="H1048" t="s">
        <v>65</v>
      </c>
      <c r="I1048" t="s">
        <v>90</v>
      </c>
      <c r="J1048" t="s">
        <v>91</v>
      </c>
      <c r="K1048" t="s">
        <v>3</v>
      </c>
      <c r="L1048" t="s">
        <v>4</v>
      </c>
      <c r="M1048" t="s">
        <v>49</v>
      </c>
      <c r="N1048" t="s">
        <v>3998</v>
      </c>
      <c r="O1048" s="31" t="s">
        <v>3999</v>
      </c>
      <c r="P1048">
        <v>220</v>
      </c>
      <c r="Q1048" t="s">
        <v>92</v>
      </c>
      <c r="R1048">
        <v>1</v>
      </c>
      <c r="S1048" s="31">
        <v>59000</v>
      </c>
      <c r="T1048" s="39">
        <v>70000</v>
      </c>
      <c r="U1048">
        <v>10000</v>
      </c>
      <c r="V1048">
        <v>7000</v>
      </c>
      <c r="W1048">
        <v>0</v>
      </c>
      <c r="X1048" s="39">
        <v>20600</v>
      </c>
      <c r="Y1048">
        <v>0</v>
      </c>
      <c r="Z1048" s="31">
        <v>53000</v>
      </c>
      <c r="AA1048">
        <v>8</v>
      </c>
      <c r="AB1048" s="3">
        <f t="shared" si="50"/>
        <v>53000</v>
      </c>
      <c r="AC1048" t="str">
        <f>IF(AB1048-S1048&lt;0,"YES","NO")</f>
        <v>YES</v>
      </c>
      <c r="AD1048">
        <f>IF(AC1048="NO",0,AB1048-S1048)</f>
        <v>-6000</v>
      </c>
      <c r="AE1048" s="43">
        <v>0.08</v>
      </c>
      <c r="AF1048" s="3">
        <f t="shared" si="51"/>
        <v>-5555.5555555555547</v>
      </c>
      <c r="AG1048" s="45">
        <f t="shared" si="52"/>
        <v>-6111.1111111111104</v>
      </c>
      <c r="AH1048" s="55"/>
    </row>
    <row r="1049" spans="1:34" x14ac:dyDescent="0.25">
      <c r="A1049" t="s">
        <v>4000</v>
      </c>
      <c r="B1049" t="s">
        <v>4001</v>
      </c>
      <c r="C1049" t="s">
        <v>4002</v>
      </c>
      <c r="D1049" t="s">
        <v>4003</v>
      </c>
      <c r="E1049" t="s">
        <v>4004</v>
      </c>
      <c r="F1049" t="s">
        <v>4005</v>
      </c>
      <c r="G1049" t="s">
        <v>5</v>
      </c>
      <c r="H1049" t="s">
        <v>61</v>
      </c>
      <c r="I1049" t="s">
        <v>84</v>
      </c>
      <c r="J1049" t="s">
        <v>85</v>
      </c>
      <c r="K1049" t="s">
        <v>3</v>
      </c>
      <c r="L1049" t="s">
        <v>4</v>
      </c>
      <c r="M1049" t="s">
        <v>49</v>
      </c>
      <c r="N1049" t="s">
        <v>4006</v>
      </c>
      <c r="O1049" s="31" t="s">
        <v>4007</v>
      </c>
      <c r="P1049">
        <v>100</v>
      </c>
      <c r="Q1049" t="s">
        <v>86</v>
      </c>
      <c r="R1049">
        <v>1</v>
      </c>
      <c r="S1049" s="31">
        <v>0</v>
      </c>
      <c r="T1049" s="39">
        <v>0</v>
      </c>
      <c r="U1049">
        <v>0</v>
      </c>
      <c r="V1049">
        <v>0</v>
      </c>
      <c r="W1049">
        <v>0</v>
      </c>
      <c r="X1049" s="39">
        <v>0</v>
      </c>
      <c r="Y1049">
        <v>0</v>
      </c>
      <c r="Z1049" s="31">
        <v>0</v>
      </c>
      <c r="AA1049">
        <v>8</v>
      </c>
      <c r="AB1049" s="3">
        <f t="shared" si="50"/>
        <v>0</v>
      </c>
      <c r="AC1049" t="str">
        <f>IF(AB1049-S1049&lt;0,"YES","NO")</f>
        <v>NO</v>
      </c>
      <c r="AD1049">
        <f>IF(AC1049="NO",0,AB1049-S1049)</f>
        <v>0</v>
      </c>
      <c r="AE1049" s="43">
        <v>0.08</v>
      </c>
      <c r="AF1049" s="3">
        <f t="shared" si="51"/>
        <v>0</v>
      </c>
      <c r="AG1049" s="45">
        <f t="shared" si="52"/>
        <v>0</v>
      </c>
      <c r="AH1049" s="55"/>
    </row>
    <row r="1050" spans="1:34" x14ac:dyDescent="0.25">
      <c r="A1050" t="s">
        <v>4000</v>
      </c>
      <c r="B1050" t="s">
        <v>4001</v>
      </c>
      <c r="C1050" t="s">
        <v>4002</v>
      </c>
      <c r="D1050" t="s">
        <v>4003</v>
      </c>
      <c r="E1050" t="s">
        <v>4004</v>
      </c>
      <c r="F1050" t="s">
        <v>4005</v>
      </c>
      <c r="G1050" t="s">
        <v>5</v>
      </c>
      <c r="H1050" t="s">
        <v>65</v>
      </c>
      <c r="I1050" t="s">
        <v>66</v>
      </c>
      <c r="J1050" t="s">
        <v>67</v>
      </c>
      <c r="K1050" t="s">
        <v>3</v>
      </c>
      <c r="L1050" t="s">
        <v>4</v>
      </c>
      <c r="M1050" t="s">
        <v>49</v>
      </c>
      <c r="N1050" t="s">
        <v>4006</v>
      </c>
      <c r="O1050" s="31" t="s">
        <v>4007</v>
      </c>
      <c r="P1050">
        <v>220</v>
      </c>
      <c r="R1050">
        <v>3</v>
      </c>
      <c r="S1050" s="31">
        <v>225000</v>
      </c>
      <c r="T1050" s="39">
        <v>240000</v>
      </c>
      <c r="U1050">
        <v>35000.01</v>
      </c>
      <c r="V1050">
        <v>24000</v>
      </c>
      <c r="W1050">
        <v>0</v>
      </c>
      <c r="X1050" s="39">
        <v>60339.99</v>
      </c>
      <c r="Y1050">
        <v>0</v>
      </c>
      <c r="Z1050" s="31">
        <v>180999.99</v>
      </c>
      <c r="AA1050">
        <v>8</v>
      </c>
      <c r="AB1050" s="3">
        <f t="shared" si="50"/>
        <v>180999.99</v>
      </c>
      <c r="AC1050" t="str">
        <f>IF(AB1050-S1050&lt;0,"YES","NO")</f>
        <v>YES</v>
      </c>
      <c r="AD1050">
        <f>IF(AC1050="NO",0,AB1050-S1050)</f>
        <v>-44000.010000000009</v>
      </c>
      <c r="AE1050" s="43">
        <v>0.08</v>
      </c>
      <c r="AF1050" s="3">
        <f t="shared" si="51"/>
        <v>-40740.750000000007</v>
      </c>
      <c r="AG1050" s="45">
        <f t="shared" si="52"/>
        <v>-44814.825000000012</v>
      </c>
      <c r="AH1050" s="55"/>
    </row>
    <row r="1051" spans="1:34" x14ac:dyDescent="0.25">
      <c r="A1051" t="s">
        <v>4008</v>
      </c>
      <c r="B1051" t="s">
        <v>4009</v>
      </c>
      <c r="C1051" t="s">
        <v>4010</v>
      </c>
      <c r="D1051" t="s">
        <v>4011</v>
      </c>
      <c r="E1051" t="s">
        <v>4012</v>
      </c>
      <c r="F1051" t="s">
        <v>4013</v>
      </c>
      <c r="G1051" t="s">
        <v>5</v>
      </c>
      <c r="H1051" t="s">
        <v>61</v>
      </c>
      <c r="I1051" t="s">
        <v>62</v>
      </c>
      <c r="J1051" t="s">
        <v>63</v>
      </c>
      <c r="K1051" t="s">
        <v>3</v>
      </c>
      <c r="L1051" t="s">
        <v>4</v>
      </c>
      <c r="M1051" t="s">
        <v>49</v>
      </c>
      <c r="N1051" t="s">
        <v>4014</v>
      </c>
      <c r="O1051" s="31" t="s">
        <v>4015</v>
      </c>
      <c r="P1051">
        <v>20000</v>
      </c>
      <c r="Q1051" t="s">
        <v>64</v>
      </c>
      <c r="R1051">
        <v>1</v>
      </c>
      <c r="S1051" s="31">
        <v>0</v>
      </c>
      <c r="T1051" s="39">
        <v>0</v>
      </c>
      <c r="U1051">
        <v>0</v>
      </c>
      <c r="V1051">
        <v>0</v>
      </c>
      <c r="W1051">
        <v>0</v>
      </c>
      <c r="X1051" s="39">
        <v>0</v>
      </c>
      <c r="Y1051">
        <v>0</v>
      </c>
      <c r="Z1051" s="31">
        <v>0</v>
      </c>
      <c r="AA1051">
        <v>8</v>
      </c>
      <c r="AB1051" s="3">
        <f t="shared" si="50"/>
        <v>0</v>
      </c>
      <c r="AC1051" t="str">
        <f>IF(AB1051-S1051&lt;0,"YES","NO")</f>
        <v>NO</v>
      </c>
      <c r="AD1051">
        <f>IF(AC1051="NO",0,AB1051-S1051)</f>
        <v>0</v>
      </c>
      <c r="AE1051" s="43">
        <v>0.08</v>
      </c>
      <c r="AF1051" s="3">
        <f t="shared" si="51"/>
        <v>0</v>
      </c>
      <c r="AG1051" s="45">
        <f t="shared" si="52"/>
        <v>0</v>
      </c>
      <c r="AH1051" s="55"/>
    </row>
    <row r="1052" spans="1:34" x14ac:dyDescent="0.25">
      <c r="A1052" t="s">
        <v>4008</v>
      </c>
      <c r="B1052" t="s">
        <v>4009</v>
      </c>
      <c r="C1052" t="s">
        <v>4010</v>
      </c>
      <c r="D1052" t="s">
        <v>4011</v>
      </c>
      <c r="E1052" t="s">
        <v>4012</v>
      </c>
      <c r="F1052" t="s">
        <v>4013</v>
      </c>
      <c r="G1052" t="s">
        <v>5</v>
      </c>
      <c r="H1052" t="s">
        <v>65</v>
      </c>
      <c r="I1052" t="s">
        <v>71</v>
      </c>
      <c r="J1052" t="s">
        <v>72</v>
      </c>
      <c r="K1052" t="s">
        <v>3</v>
      </c>
      <c r="L1052" t="s">
        <v>4</v>
      </c>
      <c r="M1052" t="s">
        <v>49</v>
      </c>
      <c r="N1052" t="s">
        <v>4014</v>
      </c>
      <c r="O1052" s="31" t="s">
        <v>4015</v>
      </c>
      <c r="P1052">
        <v>220</v>
      </c>
      <c r="Q1052" t="s">
        <v>70</v>
      </c>
      <c r="R1052">
        <v>3</v>
      </c>
      <c r="S1052" s="31">
        <v>177000</v>
      </c>
      <c r="T1052" s="39">
        <v>195000</v>
      </c>
      <c r="U1052">
        <v>35000.01</v>
      </c>
      <c r="V1052">
        <v>19500</v>
      </c>
      <c r="W1052">
        <v>0</v>
      </c>
      <c r="X1052" s="39">
        <v>54669.99</v>
      </c>
      <c r="Y1052">
        <v>0</v>
      </c>
      <c r="Z1052" s="31">
        <v>140499.99</v>
      </c>
      <c r="AA1052">
        <v>8</v>
      </c>
      <c r="AB1052" s="3">
        <f t="shared" si="50"/>
        <v>140499.99</v>
      </c>
      <c r="AC1052" t="str">
        <f>IF(AB1052-S1052&lt;0,"YES","NO")</f>
        <v>YES</v>
      </c>
      <c r="AD1052">
        <f>IF(AC1052="NO",0,AB1052-S1052)</f>
        <v>-36500.010000000009</v>
      </c>
      <c r="AE1052" s="43">
        <v>0.08</v>
      </c>
      <c r="AF1052" s="3">
        <f t="shared" si="51"/>
        <v>-33796.305555555562</v>
      </c>
      <c r="AG1052" s="45">
        <f t="shared" si="52"/>
        <v>-37175.936111111121</v>
      </c>
      <c r="AH1052" s="55"/>
    </row>
    <row r="1053" spans="1:34" x14ac:dyDescent="0.25">
      <c r="A1053" t="s">
        <v>4016</v>
      </c>
      <c r="B1053" t="s">
        <v>4017</v>
      </c>
      <c r="C1053" t="s">
        <v>4018</v>
      </c>
      <c r="D1053" t="s">
        <v>4019</v>
      </c>
      <c r="E1053" t="s">
        <v>4020</v>
      </c>
      <c r="F1053" t="s">
        <v>4021</v>
      </c>
      <c r="G1053" t="s">
        <v>5</v>
      </c>
      <c r="H1053" t="s">
        <v>61</v>
      </c>
      <c r="I1053" t="s">
        <v>93</v>
      </c>
      <c r="J1053" t="s">
        <v>94</v>
      </c>
      <c r="K1053" t="s">
        <v>3</v>
      </c>
      <c r="L1053" t="s">
        <v>4</v>
      </c>
      <c r="M1053" t="s">
        <v>49</v>
      </c>
      <c r="N1053" t="s">
        <v>4022</v>
      </c>
      <c r="O1053" s="31" t="s">
        <v>4023</v>
      </c>
      <c r="P1053">
        <v>20</v>
      </c>
      <c r="Q1053" t="s">
        <v>86</v>
      </c>
      <c r="R1053">
        <v>1</v>
      </c>
      <c r="S1053" s="31">
        <v>0</v>
      </c>
      <c r="T1053" s="39">
        <v>0</v>
      </c>
      <c r="U1053">
        <v>0</v>
      </c>
      <c r="V1053">
        <v>0</v>
      </c>
      <c r="W1053">
        <v>0</v>
      </c>
      <c r="X1053" s="39">
        <v>0</v>
      </c>
      <c r="Y1053">
        <v>0</v>
      </c>
      <c r="Z1053" s="31">
        <v>0</v>
      </c>
      <c r="AA1053">
        <v>8</v>
      </c>
      <c r="AB1053" s="3">
        <f t="shared" si="50"/>
        <v>0</v>
      </c>
      <c r="AC1053" t="str">
        <f>IF(AB1053-S1053&lt;0,"YES","NO")</f>
        <v>NO</v>
      </c>
      <c r="AD1053">
        <f>IF(AC1053="NO",0,AB1053-S1053)</f>
        <v>0</v>
      </c>
      <c r="AE1053" s="43">
        <v>0.08</v>
      </c>
      <c r="AF1053" s="3">
        <f t="shared" si="51"/>
        <v>0</v>
      </c>
      <c r="AG1053" s="45">
        <f t="shared" si="52"/>
        <v>0</v>
      </c>
      <c r="AH1053" s="55"/>
    </row>
    <row r="1054" spans="1:34" x14ac:dyDescent="0.25">
      <c r="A1054" t="s">
        <v>4016</v>
      </c>
      <c r="B1054" t="s">
        <v>4017</v>
      </c>
      <c r="C1054" t="s">
        <v>4018</v>
      </c>
      <c r="D1054" t="s">
        <v>4019</v>
      </c>
      <c r="E1054" t="s">
        <v>4020</v>
      </c>
      <c r="F1054" t="s">
        <v>4021</v>
      </c>
      <c r="G1054" t="s">
        <v>5</v>
      </c>
      <c r="H1054" t="s">
        <v>65</v>
      </c>
      <c r="I1054" t="s">
        <v>102</v>
      </c>
      <c r="J1054" t="s">
        <v>103</v>
      </c>
      <c r="K1054" t="s">
        <v>3</v>
      </c>
      <c r="L1054" t="s">
        <v>4</v>
      </c>
      <c r="M1054" t="s">
        <v>49</v>
      </c>
      <c r="N1054" t="s">
        <v>4022</v>
      </c>
      <c r="O1054" s="31" t="s">
        <v>4023</v>
      </c>
      <c r="P1054">
        <v>200</v>
      </c>
      <c r="R1054">
        <v>6</v>
      </c>
      <c r="S1054" s="31">
        <v>432000</v>
      </c>
      <c r="T1054" s="39">
        <v>480000</v>
      </c>
      <c r="U1054">
        <v>75000</v>
      </c>
      <c r="V1054">
        <v>48000</v>
      </c>
      <c r="W1054">
        <v>0</v>
      </c>
      <c r="X1054" s="39">
        <v>132120</v>
      </c>
      <c r="Y1054">
        <v>0</v>
      </c>
      <c r="Z1054" s="31">
        <v>357000</v>
      </c>
      <c r="AA1054">
        <v>8</v>
      </c>
      <c r="AB1054" s="3">
        <f t="shared" si="50"/>
        <v>357000</v>
      </c>
      <c r="AC1054" t="str">
        <f>IF(AB1054-S1054&lt;0,"YES","NO")</f>
        <v>YES</v>
      </c>
      <c r="AD1054">
        <f>IF(AC1054="NO",0,AB1054-S1054)</f>
        <v>-75000</v>
      </c>
      <c r="AE1054" s="43">
        <v>0.08</v>
      </c>
      <c r="AF1054" s="3">
        <f t="shared" si="51"/>
        <v>-69444.444444444438</v>
      </c>
      <c r="AG1054" s="45">
        <f t="shared" si="52"/>
        <v>-76388.888888888891</v>
      </c>
      <c r="AH1054" s="55"/>
    </row>
    <row r="1055" spans="1:34" x14ac:dyDescent="0.25">
      <c r="A1055" t="s">
        <v>4024</v>
      </c>
      <c r="B1055" t="s">
        <v>4025</v>
      </c>
      <c r="C1055" t="s">
        <v>4026</v>
      </c>
      <c r="D1055" t="s">
        <v>4027</v>
      </c>
      <c r="E1055" t="s">
        <v>4028</v>
      </c>
      <c r="F1055" t="s">
        <v>4029</v>
      </c>
      <c r="G1055" t="s">
        <v>5</v>
      </c>
      <c r="H1055" t="s">
        <v>61</v>
      </c>
      <c r="I1055" t="s">
        <v>93</v>
      </c>
      <c r="J1055" t="s">
        <v>94</v>
      </c>
      <c r="K1055" t="s">
        <v>3</v>
      </c>
      <c r="L1055" t="s">
        <v>4</v>
      </c>
      <c r="M1055" t="s">
        <v>49</v>
      </c>
      <c r="N1055" t="s">
        <v>4030</v>
      </c>
      <c r="O1055" s="31" t="s">
        <v>4031</v>
      </c>
      <c r="P1055">
        <v>20</v>
      </c>
      <c r="Q1055" t="s">
        <v>86</v>
      </c>
      <c r="R1055">
        <v>1</v>
      </c>
      <c r="S1055" s="31">
        <v>0</v>
      </c>
      <c r="T1055" s="39">
        <v>0</v>
      </c>
      <c r="U1055">
        <v>0</v>
      </c>
      <c r="V1055">
        <v>0</v>
      </c>
      <c r="W1055">
        <v>0</v>
      </c>
      <c r="X1055" s="39">
        <v>0</v>
      </c>
      <c r="Y1055">
        <v>0</v>
      </c>
      <c r="Z1055" s="31">
        <v>0</v>
      </c>
      <c r="AA1055">
        <v>8</v>
      </c>
      <c r="AB1055" s="3">
        <f t="shared" si="50"/>
        <v>0</v>
      </c>
      <c r="AC1055" t="str">
        <f>IF(AB1055-S1055&lt;0,"YES","NO")</f>
        <v>NO</v>
      </c>
      <c r="AD1055">
        <f>IF(AC1055="NO",0,AB1055-S1055)</f>
        <v>0</v>
      </c>
      <c r="AE1055" s="43">
        <v>0.08</v>
      </c>
      <c r="AF1055" s="3">
        <f t="shared" si="51"/>
        <v>0</v>
      </c>
      <c r="AG1055" s="45">
        <f t="shared" si="52"/>
        <v>0</v>
      </c>
      <c r="AH1055" s="55"/>
    </row>
    <row r="1056" spans="1:34" x14ac:dyDescent="0.25">
      <c r="A1056" t="s">
        <v>4024</v>
      </c>
      <c r="B1056" t="s">
        <v>4025</v>
      </c>
      <c r="C1056" t="s">
        <v>4026</v>
      </c>
      <c r="D1056" t="s">
        <v>4027</v>
      </c>
      <c r="E1056" t="s">
        <v>4028</v>
      </c>
      <c r="F1056" t="s">
        <v>4029</v>
      </c>
      <c r="G1056" t="s">
        <v>5</v>
      </c>
      <c r="H1056" t="s">
        <v>65</v>
      </c>
      <c r="I1056" t="s">
        <v>115</v>
      </c>
      <c r="J1056" t="s">
        <v>116</v>
      </c>
      <c r="K1056" t="s">
        <v>3</v>
      </c>
      <c r="L1056" t="s">
        <v>4</v>
      </c>
      <c r="M1056" t="s">
        <v>49</v>
      </c>
      <c r="N1056" t="s">
        <v>4030</v>
      </c>
      <c r="O1056" s="31" t="s">
        <v>4031</v>
      </c>
      <c r="P1056">
        <v>200</v>
      </c>
      <c r="R1056">
        <v>6</v>
      </c>
      <c r="S1056" s="31">
        <v>432000</v>
      </c>
      <c r="T1056" s="39">
        <v>480000</v>
      </c>
      <c r="U1056">
        <v>75000</v>
      </c>
      <c r="V1056">
        <v>48000</v>
      </c>
      <c r="W1056">
        <v>0</v>
      </c>
      <c r="X1056" s="39">
        <v>132120</v>
      </c>
      <c r="Y1056">
        <v>0</v>
      </c>
      <c r="Z1056" s="31">
        <v>357000</v>
      </c>
      <c r="AA1056">
        <v>8</v>
      </c>
      <c r="AB1056" s="3">
        <f t="shared" si="50"/>
        <v>357000</v>
      </c>
      <c r="AC1056" t="str">
        <f>IF(AB1056-S1056&lt;0,"YES","NO")</f>
        <v>YES</v>
      </c>
      <c r="AD1056">
        <f>IF(AC1056="NO",0,AB1056-S1056)</f>
        <v>-75000</v>
      </c>
      <c r="AE1056" s="43">
        <v>0.08</v>
      </c>
      <c r="AF1056" s="3">
        <f t="shared" si="51"/>
        <v>-69444.444444444438</v>
      </c>
      <c r="AG1056" s="45">
        <f t="shared" si="52"/>
        <v>-76388.888888888891</v>
      </c>
      <c r="AH1056" s="55"/>
    </row>
    <row r="1057" spans="1:34" x14ac:dyDescent="0.25">
      <c r="A1057" t="s">
        <v>4032</v>
      </c>
      <c r="B1057" t="s">
        <v>4017</v>
      </c>
      <c r="C1057" t="s">
        <v>4033</v>
      </c>
      <c r="D1057" t="s">
        <v>4034</v>
      </c>
      <c r="E1057" t="s">
        <v>4035</v>
      </c>
      <c r="F1057" t="s">
        <v>4036</v>
      </c>
      <c r="G1057" t="s">
        <v>5</v>
      </c>
      <c r="H1057" t="s">
        <v>61</v>
      </c>
      <c r="I1057" t="s">
        <v>62</v>
      </c>
      <c r="J1057" t="s">
        <v>63</v>
      </c>
      <c r="K1057" t="s">
        <v>3</v>
      </c>
      <c r="L1057" t="s">
        <v>4</v>
      </c>
      <c r="M1057" t="s">
        <v>49</v>
      </c>
      <c r="N1057" t="s">
        <v>4037</v>
      </c>
      <c r="O1057" s="31" t="s">
        <v>4038</v>
      </c>
      <c r="P1057">
        <v>20000</v>
      </c>
      <c r="Q1057" t="s">
        <v>64</v>
      </c>
      <c r="R1057">
        <v>1</v>
      </c>
      <c r="S1057" s="31">
        <v>0</v>
      </c>
      <c r="T1057" s="39">
        <v>0</v>
      </c>
      <c r="U1057">
        <v>0</v>
      </c>
      <c r="V1057">
        <v>0</v>
      </c>
      <c r="W1057">
        <v>0</v>
      </c>
      <c r="X1057" s="39">
        <v>0</v>
      </c>
      <c r="Y1057">
        <v>0</v>
      </c>
      <c r="Z1057" s="31">
        <v>0</v>
      </c>
      <c r="AA1057">
        <v>8</v>
      </c>
      <c r="AB1057" s="3">
        <f t="shared" si="50"/>
        <v>0</v>
      </c>
      <c r="AC1057" t="str">
        <f>IF(AB1057-S1057&lt;0,"YES","NO")</f>
        <v>NO</v>
      </c>
      <c r="AD1057">
        <f>IF(AC1057="NO",0,AB1057-S1057)</f>
        <v>0</v>
      </c>
      <c r="AE1057" s="43">
        <v>0.08</v>
      </c>
      <c r="AF1057" s="3">
        <f t="shared" si="51"/>
        <v>0</v>
      </c>
      <c r="AG1057" s="45">
        <f t="shared" si="52"/>
        <v>0</v>
      </c>
      <c r="AH1057" s="55"/>
    </row>
    <row r="1058" spans="1:34" x14ac:dyDescent="0.25">
      <c r="A1058" t="s">
        <v>4032</v>
      </c>
      <c r="B1058" t="s">
        <v>4017</v>
      </c>
      <c r="C1058" t="s">
        <v>4033</v>
      </c>
      <c r="D1058" t="s">
        <v>4034</v>
      </c>
      <c r="E1058" t="s">
        <v>4035</v>
      </c>
      <c r="F1058" t="s">
        <v>4036</v>
      </c>
      <c r="G1058" t="s">
        <v>5</v>
      </c>
      <c r="H1058" t="s">
        <v>65</v>
      </c>
      <c r="I1058" t="s">
        <v>87</v>
      </c>
      <c r="J1058" t="s">
        <v>88</v>
      </c>
      <c r="K1058" t="s">
        <v>3</v>
      </c>
      <c r="L1058" t="s">
        <v>4</v>
      </c>
      <c r="M1058" t="s">
        <v>49</v>
      </c>
      <c r="N1058" t="s">
        <v>4037</v>
      </c>
      <c r="O1058" s="31" t="s">
        <v>4038</v>
      </c>
      <c r="P1058">
        <v>220</v>
      </c>
      <c r="Q1058" t="s">
        <v>89</v>
      </c>
      <c r="R1058">
        <v>2</v>
      </c>
      <c r="S1058" s="31">
        <v>118000</v>
      </c>
      <c r="T1058" s="39">
        <v>140000</v>
      </c>
      <c r="U1058">
        <v>10000</v>
      </c>
      <c r="V1058">
        <v>14000</v>
      </c>
      <c r="W1058">
        <v>0</v>
      </c>
      <c r="X1058" s="39">
        <v>33200</v>
      </c>
      <c r="Y1058">
        <v>0</v>
      </c>
      <c r="Z1058" s="31">
        <v>116000</v>
      </c>
      <c r="AA1058">
        <v>8</v>
      </c>
      <c r="AB1058" s="3">
        <f t="shared" si="50"/>
        <v>116000</v>
      </c>
      <c r="AC1058" t="str">
        <f>IF(AB1058-S1058&lt;0,"YES","NO")</f>
        <v>YES</v>
      </c>
      <c r="AD1058">
        <f>IF(AC1058="NO",0,AB1058-S1058)</f>
        <v>-2000</v>
      </c>
      <c r="AE1058" s="43">
        <v>0.08</v>
      </c>
      <c r="AF1058" s="3">
        <f t="shared" si="51"/>
        <v>-1851.8518518518517</v>
      </c>
      <c r="AG1058" s="45">
        <f t="shared" si="52"/>
        <v>-2037.0370370370372</v>
      </c>
      <c r="AH1058" s="55"/>
    </row>
    <row r="1059" spans="1:34" x14ac:dyDescent="0.25">
      <c r="A1059" t="s">
        <v>4032</v>
      </c>
      <c r="B1059" t="s">
        <v>4017</v>
      </c>
      <c r="C1059" t="s">
        <v>4033</v>
      </c>
      <c r="D1059" t="s">
        <v>4034</v>
      </c>
      <c r="E1059" t="s">
        <v>4035</v>
      </c>
      <c r="F1059" t="s">
        <v>4036</v>
      </c>
      <c r="G1059" t="s">
        <v>5</v>
      </c>
      <c r="H1059" t="s">
        <v>65</v>
      </c>
      <c r="I1059" t="s">
        <v>90</v>
      </c>
      <c r="J1059" t="s">
        <v>91</v>
      </c>
      <c r="K1059" t="s">
        <v>3</v>
      </c>
      <c r="L1059" t="s">
        <v>4</v>
      </c>
      <c r="M1059" t="s">
        <v>49</v>
      </c>
      <c r="N1059" t="s">
        <v>4037</v>
      </c>
      <c r="O1059" s="31" t="s">
        <v>4038</v>
      </c>
      <c r="P1059">
        <v>220</v>
      </c>
      <c r="Q1059" t="s">
        <v>92</v>
      </c>
      <c r="R1059">
        <v>2</v>
      </c>
      <c r="S1059" s="31">
        <v>118000</v>
      </c>
      <c r="T1059" s="39">
        <v>140000</v>
      </c>
      <c r="U1059">
        <v>10000</v>
      </c>
      <c r="V1059">
        <v>14000</v>
      </c>
      <c r="W1059">
        <v>0</v>
      </c>
      <c r="X1059" s="39">
        <v>33200</v>
      </c>
      <c r="Y1059">
        <v>0</v>
      </c>
      <c r="Z1059" s="31">
        <v>116000</v>
      </c>
      <c r="AA1059">
        <v>8</v>
      </c>
      <c r="AB1059" s="3">
        <f t="shared" si="50"/>
        <v>116000</v>
      </c>
      <c r="AC1059" t="str">
        <f>IF(AB1059-S1059&lt;0,"YES","NO")</f>
        <v>YES</v>
      </c>
      <c r="AD1059">
        <f>IF(AC1059="NO",0,AB1059-S1059)</f>
        <v>-2000</v>
      </c>
      <c r="AE1059" s="43">
        <v>0.08</v>
      </c>
      <c r="AF1059" s="3">
        <f t="shared" si="51"/>
        <v>-1851.8518518518517</v>
      </c>
      <c r="AG1059" s="45">
        <f t="shared" si="52"/>
        <v>-2037.0370370370372</v>
      </c>
      <c r="AH1059" s="55"/>
    </row>
    <row r="1060" spans="1:34" x14ac:dyDescent="0.25">
      <c r="A1060" t="s">
        <v>4039</v>
      </c>
      <c r="B1060" t="s">
        <v>4040</v>
      </c>
      <c r="C1060" t="s">
        <v>4041</v>
      </c>
      <c r="D1060" t="s">
        <v>4042</v>
      </c>
      <c r="E1060" t="s">
        <v>4043</v>
      </c>
      <c r="F1060" t="s">
        <v>4044</v>
      </c>
      <c r="G1060" t="s">
        <v>5</v>
      </c>
      <c r="H1060" t="s">
        <v>61</v>
      </c>
      <c r="I1060" t="s">
        <v>84</v>
      </c>
      <c r="J1060" t="s">
        <v>85</v>
      </c>
      <c r="K1060" t="s">
        <v>3</v>
      </c>
      <c r="L1060" t="s">
        <v>4</v>
      </c>
      <c r="M1060" t="s">
        <v>49</v>
      </c>
      <c r="N1060" t="s">
        <v>4045</v>
      </c>
      <c r="O1060" s="31" t="s">
        <v>4046</v>
      </c>
      <c r="P1060">
        <v>100</v>
      </c>
      <c r="Q1060" t="s">
        <v>86</v>
      </c>
      <c r="R1060">
        <v>1</v>
      </c>
      <c r="S1060" s="31">
        <v>0</v>
      </c>
      <c r="T1060" s="39">
        <v>0</v>
      </c>
      <c r="U1060">
        <v>0</v>
      </c>
      <c r="V1060">
        <v>0</v>
      </c>
      <c r="W1060">
        <v>0</v>
      </c>
      <c r="X1060" s="39">
        <v>0</v>
      </c>
      <c r="Y1060">
        <v>0</v>
      </c>
      <c r="Z1060" s="31">
        <v>0</v>
      </c>
      <c r="AA1060">
        <v>8</v>
      </c>
      <c r="AB1060" s="3">
        <f t="shared" si="50"/>
        <v>0</v>
      </c>
      <c r="AC1060" t="str">
        <f>IF(AB1060-S1060&lt;0,"YES","NO")</f>
        <v>NO</v>
      </c>
      <c r="AD1060">
        <f>IF(AC1060="NO",0,AB1060-S1060)</f>
        <v>0</v>
      </c>
      <c r="AE1060" s="43">
        <v>0.08</v>
      </c>
      <c r="AF1060" s="3">
        <f t="shared" si="51"/>
        <v>0</v>
      </c>
      <c r="AG1060" s="45">
        <f t="shared" si="52"/>
        <v>0</v>
      </c>
      <c r="AH1060" s="55"/>
    </row>
    <row r="1061" spans="1:34" x14ac:dyDescent="0.25">
      <c r="A1061" t="s">
        <v>4039</v>
      </c>
      <c r="B1061" t="s">
        <v>4040</v>
      </c>
      <c r="C1061" t="s">
        <v>4041</v>
      </c>
      <c r="D1061" t="s">
        <v>4042</v>
      </c>
      <c r="E1061" t="s">
        <v>4043</v>
      </c>
      <c r="F1061" t="s">
        <v>4044</v>
      </c>
      <c r="G1061" t="s">
        <v>5</v>
      </c>
      <c r="H1061" t="s">
        <v>65</v>
      </c>
      <c r="I1061" t="s">
        <v>66</v>
      </c>
      <c r="J1061" t="s">
        <v>67</v>
      </c>
      <c r="K1061" t="s">
        <v>3</v>
      </c>
      <c r="L1061" t="s">
        <v>4</v>
      </c>
      <c r="M1061" t="s">
        <v>49</v>
      </c>
      <c r="N1061" t="s">
        <v>4045</v>
      </c>
      <c r="O1061" s="31" t="s">
        <v>4046</v>
      </c>
      <c r="P1061">
        <v>220</v>
      </c>
      <c r="R1061">
        <v>2</v>
      </c>
      <c r="S1061" s="31">
        <v>150000</v>
      </c>
      <c r="T1061" s="39">
        <v>160000</v>
      </c>
      <c r="U1061">
        <v>10000</v>
      </c>
      <c r="V1061">
        <v>16000</v>
      </c>
      <c r="W1061">
        <v>0</v>
      </c>
      <c r="X1061" s="39">
        <v>36800</v>
      </c>
      <c r="Y1061">
        <v>0</v>
      </c>
      <c r="Z1061" s="31">
        <v>134000</v>
      </c>
      <c r="AA1061">
        <v>8</v>
      </c>
      <c r="AB1061" s="3">
        <f t="shared" si="50"/>
        <v>134000</v>
      </c>
      <c r="AC1061" t="str">
        <f>IF(AB1061-S1061&lt;0,"YES","NO")</f>
        <v>YES</v>
      </c>
      <c r="AD1061">
        <f>IF(AC1061="NO",0,AB1061-S1061)</f>
        <v>-16000</v>
      </c>
      <c r="AE1061" s="43">
        <v>0.08</v>
      </c>
      <c r="AF1061" s="3">
        <f t="shared" si="51"/>
        <v>-14814.814814814814</v>
      </c>
      <c r="AG1061" s="45">
        <f t="shared" si="52"/>
        <v>-16296.296296296297</v>
      </c>
      <c r="AH1061" s="55"/>
    </row>
    <row r="1062" spans="1:34" x14ac:dyDescent="0.25">
      <c r="A1062" t="s">
        <v>4039</v>
      </c>
      <c r="B1062" t="s">
        <v>4040</v>
      </c>
      <c r="C1062" t="s">
        <v>4041</v>
      </c>
      <c r="D1062" t="s">
        <v>4042</v>
      </c>
      <c r="E1062" t="s">
        <v>4043</v>
      </c>
      <c r="F1062" t="s">
        <v>4044</v>
      </c>
      <c r="G1062" t="s">
        <v>5</v>
      </c>
      <c r="H1062" t="s">
        <v>65</v>
      </c>
      <c r="I1062" t="s">
        <v>82</v>
      </c>
      <c r="J1062" t="s">
        <v>83</v>
      </c>
      <c r="K1062" t="s">
        <v>3</v>
      </c>
      <c r="L1062" t="s">
        <v>4</v>
      </c>
      <c r="M1062" t="s">
        <v>49</v>
      </c>
      <c r="N1062" t="s">
        <v>4045</v>
      </c>
      <c r="O1062" s="31" t="s">
        <v>4046</v>
      </c>
      <c r="P1062">
        <v>220</v>
      </c>
      <c r="R1062">
        <v>2</v>
      </c>
      <c r="S1062" s="31">
        <v>150000</v>
      </c>
      <c r="T1062" s="39">
        <v>160000</v>
      </c>
      <c r="U1062">
        <v>10000</v>
      </c>
      <c r="V1062">
        <v>16000</v>
      </c>
      <c r="W1062">
        <v>0</v>
      </c>
      <c r="X1062" s="39">
        <v>36800</v>
      </c>
      <c r="Y1062">
        <v>0</v>
      </c>
      <c r="Z1062" s="31">
        <v>134000</v>
      </c>
      <c r="AA1062">
        <v>8</v>
      </c>
      <c r="AB1062" s="3">
        <f t="shared" si="50"/>
        <v>134000</v>
      </c>
      <c r="AC1062" t="str">
        <f>IF(AB1062-S1062&lt;0,"YES","NO")</f>
        <v>YES</v>
      </c>
      <c r="AD1062">
        <f>IF(AC1062="NO",0,AB1062-S1062)</f>
        <v>-16000</v>
      </c>
      <c r="AE1062" s="43">
        <v>0.08</v>
      </c>
      <c r="AF1062" s="3">
        <f t="shared" si="51"/>
        <v>-14814.814814814814</v>
      </c>
      <c r="AG1062" s="45">
        <f t="shared" si="52"/>
        <v>-16296.296296296297</v>
      </c>
      <c r="AH1062" s="55"/>
    </row>
    <row r="1063" spans="1:34" x14ac:dyDescent="0.25">
      <c r="A1063" t="s">
        <v>4047</v>
      </c>
      <c r="B1063" t="s">
        <v>4048</v>
      </c>
      <c r="C1063" t="s">
        <v>4049</v>
      </c>
      <c r="D1063" t="s">
        <v>4050</v>
      </c>
      <c r="E1063" t="s">
        <v>4051</v>
      </c>
      <c r="F1063" t="s">
        <v>4052</v>
      </c>
      <c r="G1063" t="s">
        <v>5</v>
      </c>
      <c r="H1063" t="s">
        <v>61</v>
      </c>
      <c r="I1063" t="s">
        <v>75</v>
      </c>
      <c r="J1063" t="s">
        <v>76</v>
      </c>
      <c r="K1063" t="s">
        <v>3</v>
      </c>
      <c r="L1063" t="s">
        <v>4</v>
      </c>
      <c r="M1063" t="s">
        <v>49</v>
      </c>
      <c r="N1063" t="s">
        <v>4053</v>
      </c>
      <c r="O1063" s="31" t="s">
        <v>4054</v>
      </c>
      <c r="P1063">
        <v>20</v>
      </c>
      <c r="Q1063" t="s">
        <v>77</v>
      </c>
      <c r="R1063">
        <v>1</v>
      </c>
      <c r="S1063" s="31">
        <v>0</v>
      </c>
      <c r="T1063" s="39">
        <v>0</v>
      </c>
      <c r="U1063">
        <v>0</v>
      </c>
      <c r="V1063">
        <v>0</v>
      </c>
      <c r="W1063">
        <v>0</v>
      </c>
      <c r="X1063" s="39">
        <v>0</v>
      </c>
      <c r="Y1063">
        <v>0</v>
      </c>
      <c r="Z1063" s="31">
        <v>0</v>
      </c>
      <c r="AA1063">
        <v>8</v>
      </c>
      <c r="AB1063" s="3">
        <f t="shared" si="50"/>
        <v>0</v>
      </c>
      <c r="AC1063" t="str">
        <f>IF(AB1063-S1063&lt;0,"YES","NO")</f>
        <v>NO</v>
      </c>
      <c r="AD1063">
        <f>IF(AC1063="NO",0,AB1063-S1063)</f>
        <v>0</v>
      </c>
      <c r="AE1063" s="43">
        <v>0.08</v>
      </c>
      <c r="AF1063" s="3">
        <f t="shared" si="51"/>
        <v>0</v>
      </c>
      <c r="AG1063" s="45">
        <f t="shared" si="52"/>
        <v>0</v>
      </c>
      <c r="AH1063" s="55"/>
    </row>
    <row r="1064" spans="1:34" x14ac:dyDescent="0.25">
      <c r="A1064" t="s">
        <v>4047</v>
      </c>
      <c r="B1064" t="s">
        <v>4048</v>
      </c>
      <c r="C1064" t="s">
        <v>4049</v>
      </c>
      <c r="D1064" t="s">
        <v>4050</v>
      </c>
      <c r="E1064" t="s">
        <v>4051</v>
      </c>
      <c r="F1064" t="s">
        <v>4052</v>
      </c>
      <c r="G1064" t="s">
        <v>5</v>
      </c>
      <c r="H1064" t="s">
        <v>61</v>
      </c>
      <c r="I1064" t="s">
        <v>84</v>
      </c>
      <c r="J1064" t="s">
        <v>85</v>
      </c>
      <c r="K1064" t="s">
        <v>3</v>
      </c>
      <c r="L1064" t="s">
        <v>4</v>
      </c>
      <c r="M1064" t="s">
        <v>49</v>
      </c>
      <c r="N1064" t="s">
        <v>4053</v>
      </c>
      <c r="O1064" s="31" t="s">
        <v>4054</v>
      </c>
      <c r="P1064">
        <v>100</v>
      </c>
      <c r="Q1064" t="s">
        <v>86</v>
      </c>
      <c r="R1064">
        <v>1</v>
      </c>
      <c r="S1064" s="31">
        <v>0</v>
      </c>
      <c r="T1064" s="39">
        <v>0</v>
      </c>
      <c r="U1064">
        <v>0</v>
      </c>
      <c r="V1064">
        <v>0</v>
      </c>
      <c r="W1064">
        <v>0</v>
      </c>
      <c r="X1064" s="39">
        <v>0</v>
      </c>
      <c r="Y1064">
        <v>0</v>
      </c>
      <c r="Z1064" s="31">
        <v>0</v>
      </c>
      <c r="AA1064">
        <v>8</v>
      </c>
      <c r="AB1064" s="3">
        <f t="shared" si="50"/>
        <v>0</v>
      </c>
      <c r="AC1064" t="str">
        <f>IF(AB1064-S1064&lt;0,"YES","NO")</f>
        <v>NO</v>
      </c>
      <c r="AD1064">
        <f>IF(AC1064="NO",0,AB1064-S1064)</f>
        <v>0</v>
      </c>
      <c r="AE1064" s="43">
        <v>0.08</v>
      </c>
      <c r="AF1064" s="3">
        <f t="shared" si="51"/>
        <v>0</v>
      </c>
      <c r="AG1064" s="45">
        <f t="shared" si="52"/>
        <v>0</v>
      </c>
      <c r="AH1064" s="55"/>
    </row>
    <row r="1065" spans="1:34" x14ac:dyDescent="0.25">
      <c r="A1065" t="s">
        <v>4047</v>
      </c>
      <c r="B1065" t="s">
        <v>4048</v>
      </c>
      <c r="C1065" t="s">
        <v>4049</v>
      </c>
      <c r="D1065" t="s">
        <v>4050</v>
      </c>
      <c r="E1065" t="s">
        <v>4051</v>
      </c>
      <c r="F1065" t="s">
        <v>4052</v>
      </c>
      <c r="G1065" t="s">
        <v>5</v>
      </c>
      <c r="H1065" t="s">
        <v>65</v>
      </c>
      <c r="I1065" t="s">
        <v>68</v>
      </c>
      <c r="J1065" t="s">
        <v>69</v>
      </c>
      <c r="K1065" t="s">
        <v>3</v>
      </c>
      <c r="L1065" t="s">
        <v>4</v>
      </c>
      <c r="M1065" t="s">
        <v>49</v>
      </c>
      <c r="N1065" t="s">
        <v>4053</v>
      </c>
      <c r="O1065" s="31" t="s">
        <v>4054</v>
      </c>
      <c r="P1065">
        <v>220</v>
      </c>
      <c r="Q1065" t="s">
        <v>70</v>
      </c>
      <c r="R1065">
        <v>1</v>
      </c>
      <c r="S1065" s="31">
        <v>59000</v>
      </c>
      <c r="T1065" s="39">
        <v>65000</v>
      </c>
      <c r="U1065">
        <v>5229.67</v>
      </c>
      <c r="V1065">
        <v>6500</v>
      </c>
      <c r="W1065">
        <v>0</v>
      </c>
      <c r="X1065" s="39">
        <v>16949</v>
      </c>
      <c r="Y1065">
        <v>0</v>
      </c>
      <c r="Z1065" s="31">
        <v>53270.33</v>
      </c>
      <c r="AA1065">
        <v>8</v>
      </c>
      <c r="AB1065" s="3">
        <f t="shared" si="50"/>
        <v>53270.33</v>
      </c>
      <c r="AC1065" t="str">
        <f>IF(AB1065-S1065&lt;0,"YES","NO")</f>
        <v>YES</v>
      </c>
      <c r="AD1065">
        <f>IF(AC1065="NO",0,AB1065-S1065)</f>
        <v>-5729.6699999999983</v>
      </c>
      <c r="AE1065" s="43">
        <v>0.08</v>
      </c>
      <c r="AF1065" s="3">
        <f t="shared" si="51"/>
        <v>-5305.2499999999982</v>
      </c>
      <c r="AG1065" s="45">
        <f t="shared" si="52"/>
        <v>-5835.7749999999987</v>
      </c>
      <c r="AH1065" s="55"/>
    </row>
    <row r="1066" spans="1:34" x14ac:dyDescent="0.25">
      <c r="A1066" t="s">
        <v>4047</v>
      </c>
      <c r="B1066" t="s">
        <v>4048</v>
      </c>
      <c r="C1066" t="s">
        <v>4049</v>
      </c>
      <c r="D1066" t="s">
        <v>4050</v>
      </c>
      <c r="E1066" t="s">
        <v>4051</v>
      </c>
      <c r="F1066" t="s">
        <v>4052</v>
      </c>
      <c r="G1066" t="s">
        <v>5</v>
      </c>
      <c r="H1066" t="s">
        <v>65</v>
      </c>
      <c r="I1066" t="s">
        <v>71</v>
      </c>
      <c r="J1066" t="s">
        <v>72</v>
      </c>
      <c r="K1066" t="s">
        <v>3</v>
      </c>
      <c r="L1066" t="s">
        <v>4</v>
      </c>
      <c r="M1066" t="s">
        <v>49</v>
      </c>
      <c r="N1066" t="s">
        <v>4053</v>
      </c>
      <c r="O1066" s="31" t="s">
        <v>4054</v>
      </c>
      <c r="P1066">
        <v>220</v>
      </c>
      <c r="Q1066" t="s">
        <v>70</v>
      </c>
      <c r="R1066">
        <v>1</v>
      </c>
      <c r="S1066" s="31">
        <v>59000</v>
      </c>
      <c r="T1066" s="39">
        <v>65000</v>
      </c>
      <c r="U1066">
        <v>5229.67</v>
      </c>
      <c r="V1066">
        <v>6500</v>
      </c>
      <c r="W1066">
        <v>0</v>
      </c>
      <c r="X1066" s="39">
        <v>16949</v>
      </c>
      <c r="Y1066">
        <v>0</v>
      </c>
      <c r="Z1066" s="31">
        <v>53270.33</v>
      </c>
      <c r="AA1066">
        <v>8</v>
      </c>
      <c r="AB1066" s="3">
        <f t="shared" si="50"/>
        <v>53270.33</v>
      </c>
      <c r="AC1066" t="str">
        <f>IF(AB1066-S1066&lt;0,"YES","NO")</f>
        <v>YES</v>
      </c>
      <c r="AD1066">
        <f>IF(AC1066="NO",0,AB1066-S1066)</f>
        <v>-5729.6699999999983</v>
      </c>
      <c r="AE1066" s="43">
        <v>0.08</v>
      </c>
      <c r="AF1066" s="3">
        <f t="shared" si="51"/>
        <v>-5305.2499999999982</v>
      </c>
      <c r="AG1066" s="45">
        <f t="shared" si="52"/>
        <v>-5835.7749999999987</v>
      </c>
      <c r="AH1066" s="55"/>
    </row>
    <row r="1067" spans="1:34" x14ac:dyDescent="0.25">
      <c r="A1067" t="s">
        <v>4047</v>
      </c>
      <c r="B1067" t="s">
        <v>4048</v>
      </c>
      <c r="C1067" t="s">
        <v>4049</v>
      </c>
      <c r="D1067" t="s">
        <v>4050</v>
      </c>
      <c r="E1067" t="s">
        <v>4051</v>
      </c>
      <c r="F1067" t="s">
        <v>4052</v>
      </c>
      <c r="G1067" t="s">
        <v>5</v>
      </c>
      <c r="H1067" t="s">
        <v>65</v>
      </c>
      <c r="I1067" t="s">
        <v>73</v>
      </c>
      <c r="J1067" t="s">
        <v>74</v>
      </c>
      <c r="K1067" t="s">
        <v>3</v>
      </c>
      <c r="L1067" t="s">
        <v>4</v>
      </c>
      <c r="M1067" t="s">
        <v>49</v>
      </c>
      <c r="N1067" t="s">
        <v>4053</v>
      </c>
      <c r="O1067" s="31" t="s">
        <v>4054</v>
      </c>
      <c r="P1067">
        <v>220</v>
      </c>
      <c r="Q1067" t="s">
        <v>70</v>
      </c>
      <c r="R1067">
        <v>1</v>
      </c>
      <c r="S1067" s="31">
        <v>59000</v>
      </c>
      <c r="T1067" s="39">
        <v>65000</v>
      </c>
      <c r="U1067">
        <v>5229.67</v>
      </c>
      <c r="V1067">
        <v>6500</v>
      </c>
      <c r="W1067">
        <v>0</v>
      </c>
      <c r="X1067" s="39">
        <v>16949</v>
      </c>
      <c r="Y1067">
        <v>0</v>
      </c>
      <c r="Z1067" s="31">
        <v>53270.33</v>
      </c>
      <c r="AA1067">
        <v>8</v>
      </c>
      <c r="AB1067" s="3">
        <f t="shared" si="50"/>
        <v>53270.33</v>
      </c>
      <c r="AC1067" t="str">
        <f>IF(AB1067-S1067&lt;0,"YES","NO")</f>
        <v>YES</v>
      </c>
      <c r="AD1067">
        <f>IF(AC1067="NO",0,AB1067-S1067)</f>
        <v>-5729.6699999999983</v>
      </c>
      <c r="AE1067" s="43">
        <v>0.08</v>
      </c>
      <c r="AF1067" s="3">
        <f t="shared" si="51"/>
        <v>-5305.2499999999982</v>
      </c>
      <c r="AG1067" s="45">
        <f t="shared" si="52"/>
        <v>-5835.7749999999987</v>
      </c>
      <c r="AH1067" s="55"/>
    </row>
    <row r="1068" spans="1:34" x14ac:dyDescent="0.25">
      <c r="A1068" t="s">
        <v>4047</v>
      </c>
      <c r="B1068" t="s">
        <v>4048</v>
      </c>
      <c r="C1068" t="s">
        <v>4049</v>
      </c>
      <c r="D1068" t="s">
        <v>4050</v>
      </c>
      <c r="E1068" t="s">
        <v>4051</v>
      </c>
      <c r="F1068" t="s">
        <v>4052</v>
      </c>
      <c r="G1068" t="s">
        <v>5</v>
      </c>
      <c r="H1068" t="s">
        <v>65</v>
      </c>
      <c r="I1068" t="s">
        <v>66</v>
      </c>
      <c r="J1068" t="s">
        <v>67</v>
      </c>
      <c r="K1068" t="s">
        <v>3</v>
      </c>
      <c r="L1068" t="s">
        <v>4</v>
      </c>
      <c r="M1068" t="s">
        <v>49</v>
      </c>
      <c r="N1068" t="s">
        <v>4053</v>
      </c>
      <c r="O1068" s="31" t="s">
        <v>4054</v>
      </c>
      <c r="P1068">
        <v>220</v>
      </c>
      <c r="R1068">
        <v>3</v>
      </c>
      <c r="S1068" s="31">
        <v>225000</v>
      </c>
      <c r="T1068" s="39">
        <v>240000</v>
      </c>
      <c r="U1068">
        <v>19311</v>
      </c>
      <c r="V1068">
        <v>24000</v>
      </c>
      <c r="W1068">
        <v>0</v>
      </c>
      <c r="X1068" s="39">
        <v>62583</v>
      </c>
      <c r="Y1068">
        <v>0</v>
      </c>
      <c r="Z1068" s="31">
        <v>196689</v>
      </c>
      <c r="AA1068">
        <v>8</v>
      </c>
      <c r="AB1068" s="3">
        <f t="shared" si="50"/>
        <v>196689</v>
      </c>
      <c r="AC1068" t="str">
        <f>IF(AB1068-S1068&lt;0,"YES","NO")</f>
        <v>YES</v>
      </c>
      <c r="AD1068">
        <f>IF(AC1068="NO",0,AB1068-S1068)</f>
        <v>-28311</v>
      </c>
      <c r="AE1068" s="43">
        <v>0.08</v>
      </c>
      <c r="AF1068" s="3">
        <f t="shared" si="51"/>
        <v>-26213.888888888887</v>
      </c>
      <c r="AG1068" s="45">
        <f t="shared" si="52"/>
        <v>-28835.277777777777</v>
      </c>
      <c r="AH1068" s="55"/>
    </row>
    <row r="1069" spans="1:34" x14ac:dyDescent="0.25">
      <c r="A1069" t="s">
        <v>4055</v>
      </c>
      <c r="B1069" t="s">
        <v>4056</v>
      </c>
      <c r="C1069" t="s">
        <v>4057</v>
      </c>
      <c r="D1069" t="s">
        <v>4058</v>
      </c>
      <c r="E1069" t="s">
        <v>4059</v>
      </c>
      <c r="F1069" t="s">
        <v>4060</v>
      </c>
      <c r="G1069" t="s">
        <v>5</v>
      </c>
      <c r="H1069" t="s">
        <v>61</v>
      </c>
      <c r="I1069" t="s">
        <v>62</v>
      </c>
      <c r="J1069" t="s">
        <v>63</v>
      </c>
      <c r="K1069" t="s">
        <v>3</v>
      </c>
      <c r="L1069" t="s">
        <v>4</v>
      </c>
      <c r="M1069" t="s">
        <v>49</v>
      </c>
      <c r="N1069" t="s">
        <v>4061</v>
      </c>
      <c r="O1069" s="31" t="s">
        <v>4062</v>
      </c>
      <c r="P1069">
        <v>20000</v>
      </c>
      <c r="Q1069" t="s">
        <v>64</v>
      </c>
      <c r="R1069">
        <v>1</v>
      </c>
      <c r="S1069" s="31">
        <v>0</v>
      </c>
      <c r="T1069" s="39">
        <v>0</v>
      </c>
      <c r="U1069">
        <v>0</v>
      </c>
      <c r="V1069">
        <v>0</v>
      </c>
      <c r="W1069">
        <v>0</v>
      </c>
      <c r="X1069" s="39">
        <v>0</v>
      </c>
      <c r="Y1069">
        <v>0</v>
      </c>
      <c r="Z1069" s="31">
        <v>0</v>
      </c>
      <c r="AA1069">
        <v>8</v>
      </c>
      <c r="AB1069" s="3">
        <f t="shared" si="50"/>
        <v>0</v>
      </c>
      <c r="AC1069" t="str">
        <f>IF(AB1069-S1069&lt;0,"YES","NO")</f>
        <v>NO</v>
      </c>
      <c r="AD1069">
        <f>IF(AC1069="NO",0,AB1069-S1069)</f>
        <v>0</v>
      </c>
      <c r="AE1069" s="43">
        <v>0.08</v>
      </c>
      <c r="AF1069" s="3">
        <f t="shared" si="51"/>
        <v>0</v>
      </c>
      <c r="AG1069" s="45">
        <f t="shared" si="52"/>
        <v>0</v>
      </c>
      <c r="AH1069" s="55"/>
    </row>
    <row r="1070" spans="1:34" x14ac:dyDescent="0.25">
      <c r="A1070" t="s">
        <v>4055</v>
      </c>
      <c r="B1070" t="s">
        <v>4056</v>
      </c>
      <c r="C1070" t="s">
        <v>4057</v>
      </c>
      <c r="D1070" t="s">
        <v>4058</v>
      </c>
      <c r="E1070" t="s">
        <v>4059</v>
      </c>
      <c r="F1070" t="s">
        <v>4060</v>
      </c>
      <c r="G1070" t="s">
        <v>5</v>
      </c>
      <c r="H1070" t="s">
        <v>61</v>
      </c>
      <c r="I1070" t="s">
        <v>84</v>
      </c>
      <c r="J1070" t="s">
        <v>85</v>
      </c>
      <c r="K1070" t="s">
        <v>3</v>
      </c>
      <c r="L1070" t="s">
        <v>4</v>
      </c>
      <c r="M1070" t="s">
        <v>49</v>
      </c>
      <c r="N1070" t="s">
        <v>4061</v>
      </c>
      <c r="O1070" s="31" t="s">
        <v>4062</v>
      </c>
      <c r="P1070">
        <v>100</v>
      </c>
      <c r="Q1070" t="s">
        <v>86</v>
      </c>
      <c r="R1070">
        <v>1</v>
      </c>
      <c r="S1070" s="31">
        <v>0</v>
      </c>
      <c r="T1070" s="39">
        <v>0</v>
      </c>
      <c r="U1070">
        <v>0</v>
      </c>
      <c r="V1070">
        <v>0</v>
      </c>
      <c r="W1070">
        <v>0</v>
      </c>
      <c r="X1070" s="39">
        <v>0</v>
      </c>
      <c r="Y1070">
        <v>0</v>
      </c>
      <c r="Z1070" s="31">
        <v>0</v>
      </c>
      <c r="AA1070">
        <v>8</v>
      </c>
      <c r="AB1070" s="3">
        <f t="shared" si="50"/>
        <v>0</v>
      </c>
      <c r="AC1070" t="str">
        <f>IF(AB1070-S1070&lt;0,"YES","NO")</f>
        <v>NO</v>
      </c>
      <c r="AD1070">
        <f>IF(AC1070="NO",0,AB1070-S1070)</f>
        <v>0</v>
      </c>
      <c r="AE1070" s="43">
        <v>0.08</v>
      </c>
      <c r="AF1070" s="3">
        <f t="shared" si="51"/>
        <v>0</v>
      </c>
      <c r="AG1070" s="45">
        <f t="shared" si="52"/>
        <v>0</v>
      </c>
      <c r="AH1070" s="55"/>
    </row>
    <row r="1071" spans="1:34" x14ac:dyDescent="0.25">
      <c r="A1071" t="s">
        <v>4055</v>
      </c>
      <c r="B1071" t="s">
        <v>4056</v>
      </c>
      <c r="C1071" t="s">
        <v>4057</v>
      </c>
      <c r="D1071" t="s">
        <v>4058</v>
      </c>
      <c r="E1071" t="s">
        <v>4059</v>
      </c>
      <c r="F1071" t="s">
        <v>4060</v>
      </c>
      <c r="G1071" t="s">
        <v>5</v>
      </c>
      <c r="H1071" t="s">
        <v>65</v>
      </c>
      <c r="I1071" t="s">
        <v>68</v>
      </c>
      <c r="J1071" t="s">
        <v>69</v>
      </c>
      <c r="K1071" t="s">
        <v>3</v>
      </c>
      <c r="L1071" t="s">
        <v>4</v>
      </c>
      <c r="M1071" t="s">
        <v>49</v>
      </c>
      <c r="N1071" t="s">
        <v>4061</v>
      </c>
      <c r="O1071" s="31" t="s">
        <v>4062</v>
      </c>
      <c r="P1071">
        <v>220</v>
      </c>
      <c r="Q1071" t="s">
        <v>70</v>
      </c>
      <c r="R1071">
        <v>1</v>
      </c>
      <c r="S1071" s="31">
        <v>59000</v>
      </c>
      <c r="T1071" s="39">
        <v>65000</v>
      </c>
      <c r="U1071">
        <v>5358</v>
      </c>
      <c r="V1071">
        <v>6500</v>
      </c>
      <c r="W1071">
        <v>0</v>
      </c>
      <c r="X1071" s="39">
        <v>17049.330000000002</v>
      </c>
      <c r="Y1071">
        <v>0</v>
      </c>
      <c r="Z1071" s="31">
        <v>53142</v>
      </c>
      <c r="AA1071">
        <v>8</v>
      </c>
      <c r="AB1071" s="3">
        <f t="shared" si="50"/>
        <v>53142</v>
      </c>
      <c r="AC1071" t="str">
        <f>IF(AB1071-S1071&lt;0,"YES","NO")</f>
        <v>YES</v>
      </c>
      <c r="AD1071">
        <f>IF(AC1071="NO",0,AB1071-S1071)</f>
        <v>-5858</v>
      </c>
      <c r="AE1071" s="43">
        <v>0.08</v>
      </c>
      <c r="AF1071" s="3">
        <f t="shared" si="51"/>
        <v>-5424.0740740740739</v>
      </c>
      <c r="AG1071" s="45">
        <f t="shared" si="52"/>
        <v>-5966.4814814814818</v>
      </c>
      <c r="AH1071" s="55"/>
    </row>
    <row r="1072" spans="1:34" x14ac:dyDescent="0.25">
      <c r="A1072" t="s">
        <v>4055</v>
      </c>
      <c r="B1072" t="s">
        <v>4056</v>
      </c>
      <c r="C1072" t="s">
        <v>4057</v>
      </c>
      <c r="D1072" t="s">
        <v>4058</v>
      </c>
      <c r="E1072" t="s">
        <v>4059</v>
      </c>
      <c r="F1072" t="s">
        <v>4060</v>
      </c>
      <c r="G1072" t="s">
        <v>5</v>
      </c>
      <c r="H1072" t="s">
        <v>65</v>
      </c>
      <c r="I1072" t="s">
        <v>71</v>
      </c>
      <c r="J1072" t="s">
        <v>72</v>
      </c>
      <c r="K1072" t="s">
        <v>3</v>
      </c>
      <c r="L1072" t="s">
        <v>4</v>
      </c>
      <c r="M1072" t="s">
        <v>49</v>
      </c>
      <c r="N1072" t="s">
        <v>4061</v>
      </c>
      <c r="O1072" s="31" t="s">
        <v>4062</v>
      </c>
      <c r="P1072">
        <v>220</v>
      </c>
      <c r="Q1072" t="s">
        <v>70</v>
      </c>
      <c r="R1072">
        <v>1</v>
      </c>
      <c r="S1072" s="31">
        <v>59000</v>
      </c>
      <c r="T1072" s="39">
        <v>65000</v>
      </c>
      <c r="U1072">
        <v>5358</v>
      </c>
      <c r="V1072">
        <v>6500</v>
      </c>
      <c r="W1072">
        <v>0</v>
      </c>
      <c r="X1072" s="39">
        <v>17049.330000000002</v>
      </c>
      <c r="Y1072">
        <v>0</v>
      </c>
      <c r="Z1072" s="31">
        <v>53142</v>
      </c>
      <c r="AA1072">
        <v>8</v>
      </c>
      <c r="AB1072" s="3">
        <f t="shared" si="50"/>
        <v>53142</v>
      </c>
      <c r="AC1072" t="str">
        <f>IF(AB1072-S1072&lt;0,"YES","NO")</f>
        <v>YES</v>
      </c>
      <c r="AD1072">
        <f>IF(AC1072="NO",0,AB1072-S1072)</f>
        <v>-5858</v>
      </c>
      <c r="AE1072" s="43">
        <v>0.08</v>
      </c>
      <c r="AF1072" s="3">
        <f t="shared" si="51"/>
        <v>-5424.0740740740739</v>
      </c>
      <c r="AG1072" s="45">
        <f t="shared" si="52"/>
        <v>-5966.4814814814818</v>
      </c>
      <c r="AH1072" s="55"/>
    </row>
    <row r="1073" spans="1:34" x14ac:dyDescent="0.25">
      <c r="A1073" t="s">
        <v>4055</v>
      </c>
      <c r="B1073" t="s">
        <v>4056</v>
      </c>
      <c r="C1073" t="s">
        <v>4057</v>
      </c>
      <c r="D1073" t="s">
        <v>4058</v>
      </c>
      <c r="E1073" t="s">
        <v>4059</v>
      </c>
      <c r="F1073" t="s">
        <v>4060</v>
      </c>
      <c r="G1073" t="s">
        <v>5</v>
      </c>
      <c r="H1073" t="s">
        <v>65</v>
      </c>
      <c r="I1073" t="s">
        <v>73</v>
      </c>
      <c r="J1073" t="s">
        <v>74</v>
      </c>
      <c r="K1073" t="s">
        <v>3</v>
      </c>
      <c r="L1073" t="s">
        <v>4</v>
      </c>
      <c r="M1073" t="s">
        <v>49</v>
      </c>
      <c r="N1073" t="s">
        <v>4061</v>
      </c>
      <c r="O1073" s="31" t="s">
        <v>4062</v>
      </c>
      <c r="P1073">
        <v>220</v>
      </c>
      <c r="Q1073" t="s">
        <v>70</v>
      </c>
      <c r="R1073">
        <v>1</v>
      </c>
      <c r="S1073" s="31">
        <v>59000</v>
      </c>
      <c r="T1073" s="39">
        <v>65000</v>
      </c>
      <c r="U1073">
        <v>5358</v>
      </c>
      <c r="V1073">
        <v>6500</v>
      </c>
      <c r="W1073">
        <v>0</v>
      </c>
      <c r="X1073" s="39">
        <v>17049.330000000002</v>
      </c>
      <c r="Y1073">
        <v>0</v>
      </c>
      <c r="Z1073" s="31">
        <v>53142</v>
      </c>
      <c r="AA1073">
        <v>8</v>
      </c>
      <c r="AB1073" s="3">
        <f t="shared" si="50"/>
        <v>53142</v>
      </c>
      <c r="AC1073" t="str">
        <f>IF(AB1073-S1073&lt;0,"YES","NO")</f>
        <v>YES</v>
      </c>
      <c r="AD1073">
        <f>IF(AC1073="NO",0,AB1073-S1073)</f>
        <v>-5858</v>
      </c>
      <c r="AE1073" s="43">
        <v>0.08</v>
      </c>
      <c r="AF1073" s="3">
        <f t="shared" si="51"/>
        <v>-5424.0740740740739</v>
      </c>
      <c r="AG1073" s="45">
        <f t="shared" si="52"/>
        <v>-5966.4814814814818</v>
      </c>
      <c r="AH1073" s="55"/>
    </row>
    <row r="1074" spans="1:34" x14ac:dyDescent="0.25">
      <c r="A1074" t="s">
        <v>4055</v>
      </c>
      <c r="B1074" t="s">
        <v>4056</v>
      </c>
      <c r="C1074" t="s">
        <v>4057</v>
      </c>
      <c r="D1074" t="s">
        <v>4058</v>
      </c>
      <c r="E1074" t="s">
        <v>4059</v>
      </c>
      <c r="F1074" t="s">
        <v>4060</v>
      </c>
      <c r="G1074" t="s">
        <v>5</v>
      </c>
      <c r="H1074" t="s">
        <v>65</v>
      </c>
      <c r="I1074" t="s">
        <v>87</v>
      </c>
      <c r="J1074" t="s">
        <v>88</v>
      </c>
      <c r="K1074" t="s">
        <v>3</v>
      </c>
      <c r="L1074" t="s">
        <v>4</v>
      </c>
      <c r="M1074" t="s">
        <v>49</v>
      </c>
      <c r="N1074" t="s">
        <v>4061</v>
      </c>
      <c r="O1074" s="31" t="s">
        <v>4062</v>
      </c>
      <c r="P1074">
        <v>220</v>
      </c>
      <c r="Q1074" t="s">
        <v>89</v>
      </c>
      <c r="R1074">
        <v>1</v>
      </c>
      <c r="S1074" s="31">
        <v>59000</v>
      </c>
      <c r="T1074" s="39">
        <v>70000</v>
      </c>
      <c r="U1074">
        <v>5769.5</v>
      </c>
      <c r="V1074">
        <v>7000</v>
      </c>
      <c r="W1074">
        <v>0</v>
      </c>
      <c r="X1074" s="39">
        <v>18360</v>
      </c>
      <c r="Y1074">
        <v>0</v>
      </c>
      <c r="Z1074" s="31">
        <v>57230.5</v>
      </c>
      <c r="AA1074">
        <v>8</v>
      </c>
      <c r="AB1074" s="3">
        <f t="shared" si="50"/>
        <v>57230.5</v>
      </c>
      <c r="AC1074" t="str">
        <f>IF(AB1074-S1074&lt;0,"YES","NO")</f>
        <v>YES</v>
      </c>
      <c r="AD1074">
        <f>IF(AC1074="NO",0,AB1074-S1074)</f>
        <v>-1769.5</v>
      </c>
      <c r="AE1074" s="43">
        <v>0.08</v>
      </c>
      <c r="AF1074" s="3">
        <f t="shared" si="51"/>
        <v>-1638.4259259259259</v>
      </c>
      <c r="AG1074" s="45">
        <f t="shared" si="52"/>
        <v>-1802.2685185185187</v>
      </c>
      <c r="AH1074" s="55"/>
    </row>
    <row r="1075" spans="1:34" x14ac:dyDescent="0.25">
      <c r="A1075" t="s">
        <v>4055</v>
      </c>
      <c r="B1075" t="s">
        <v>4056</v>
      </c>
      <c r="C1075" t="s">
        <v>4057</v>
      </c>
      <c r="D1075" t="s">
        <v>4058</v>
      </c>
      <c r="E1075" t="s">
        <v>4059</v>
      </c>
      <c r="F1075" t="s">
        <v>4060</v>
      </c>
      <c r="G1075" t="s">
        <v>5</v>
      </c>
      <c r="H1075" t="s">
        <v>65</v>
      </c>
      <c r="I1075" t="s">
        <v>90</v>
      </c>
      <c r="J1075" t="s">
        <v>91</v>
      </c>
      <c r="K1075" t="s">
        <v>3</v>
      </c>
      <c r="L1075" t="s">
        <v>4</v>
      </c>
      <c r="M1075" t="s">
        <v>49</v>
      </c>
      <c r="N1075" t="s">
        <v>4061</v>
      </c>
      <c r="O1075" s="31" t="s">
        <v>4062</v>
      </c>
      <c r="P1075">
        <v>220</v>
      </c>
      <c r="Q1075" t="s">
        <v>92</v>
      </c>
      <c r="R1075">
        <v>1</v>
      </c>
      <c r="S1075" s="31">
        <v>59000</v>
      </c>
      <c r="T1075" s="39">
        <v>70000</v>
      </c>
      <c r="U1075">
        <v>5769.5</v>
      </c>
      <c r="V1075">
        <v>7000</v>
      </c>
      <c r="W1075">
        <v>0</v>
      </c>
      <c r="X1075" s="39">
        <v>18360</v>
      </c>
      <c r="Y1075">
        <v>0</v>
      </c>
      <c r="Z1075" s="31">
        <v>57230.5</v>
      </c>
      <c r="AA1075">
        <v>8</v>
      </c>
      <c r="AB1075" s="3">
        <f t="shared" si="50"/>
        <v>57230.5</v>
      </c>
      <c r="AC1075" t="str">
        <f>IF(AB1075-S1075&lt;0,"YES","NO")</f>
        <v>YES</v>
      </c>
      <c r="AD1075">
        <f>IF(AC1075="NO",0,AB1075-S1075)</f>
        <v>-1769.5</v>
      </c>
      <c r="AE1075" s="43">
        <v>0.08</v>
      </c>
      <c r="AF1075" s="3">
        <f t="shared" si="51"/>
        <v>-1638.4259259259259</v>
      </c>
      <c r="AG1075" s="45">
        <f t="shared" si="52"/>
        <v>-1802.2685185185187</v>
      </c>
      <c r="AH1075" s="55"/>
    </row>
    <row r="1076" spans="1:34" x14ac:dyDescent="0.25">
      <c r="A1076" t="s">
        <v>4055</v>
      </c>
      <c r="B1076" t="s">
        <v>4056</v>
      </c>
      <c r="C1076" t="s">
        <v>4057</v>
      </c>
      <c r="D1076" t="s">
        <v>4058</v>
      </c>
      <c r="E1076" t="s">
        <v>4059</v>
      </c>
      <c r="F1076" t="s">
        <v>4060</v>
      </c>
      <c r="G1076" t="s">
        <v>5</v>
      </c>
      <c r="H1076" t="s">
        <v>65</v>
      </c>
      <c r="I1076" t="s">
        <v>66</v>
      </c>
      <c r="J1076" t="s">
        <v>67</v>
      </c>
      <c r="K1076" t="s">
        <v>3</v>
      </c>
      <c r="L1076" t="s">
        <v>4</v>
      </c>
      <c r="M1076" t="s">
        <v>49</v>
      </c>
      <c r="N1076" t="s">
        <v>4061</v>
      </c>
      <c r="O1076" s="31" t="s">
        <v>4062</v>
      </c>
      <c r="P1076">
        <v>220</v>
      </c>
      <c r="R1076">
        <v>8</v>
      </c>
      <c r="S1076" s="31">
        <v>600000</v>
      </c>
      <c r="T1076" s="39">
        <v>640000</v>
      </c>
      <c r="U1076">
        <v>52387.040000000001</v>
      </c>
      <c r="V1076">
        <v>68000</v>
      </c>
      <c r="W1076">
        <v>0</v>
      </c>
      <c r="X1076" s="39">
        <v>166702</v>
      </c>
      <c r="Y1076">
        <v>0</v>
      </c>
      <c r="Z1076" s="31">
        <v>519612.96</v>
      </c>
      <c r="AA1076">
        <v>8</v>
      </c>
      <c r="AB1076" s="3">
        <f t="shared" si="50"/>
        <v>519612.96</v>
      </c>
      <c r="AC1076" t="str">
        <f>IF(AB1076-S1076&lt;0,"YES","NO")</f>
        <v>YES</v>
      </c>
      <c r="AD1076">
        <f>IF(AC1076="NO",0,AB1076-S1076)</f>
        <v>-80387.039999999979</v>
      </c>
      <c r="AE1076" s="43">
        <v>0.08</v>
      </c>
      <c r="AF1076" s="3">
        <f t="shared" si="51"/>
        <v>-74432.444444444423</v>
      </c>
      <c r="AG1076" s="45">
        <f t="shared" si="52"/>
        <v>-81875.688888888879</v>
      </c>
      <c r="AH1076" s="55"/>
    </row>
    <row r="1077" spans="1:34" x14ac:dyDescent="0.25">
      <c r="A1077" t="s">
        <v>4063</v>
      </c>
      <c r="B1077" t="s">
        <v>4064</v>
      </c>
      <c r="C1077" t="s">
        <v>4065</v>
      </c>
      <c r="D1077" t="s">
        <v>4066</v>
      </c>
      <c r="E1077" t="s">
        <v>4067</v>
      </c>
      <c r="F1077" t="s">
        <v>4068</v>
      </c>
      <c r="G1077" t="s">
        <v>5</v>
      </c>
      <c r="H1077" t="s">
        <v>61</v>
      </c>
      <c r="I1077" t="s">
        <v>62</v>
      </c>
      <c r="J1077" t="s">
        <v>63</v>
      </c>
      <c r="K1077" t="s">
        <v>3</v>
      </c>
      <c r="L1077" t="s">
        <v>4</v>
      </c>
      <c r="M1077" t="s">
        <v>49</v>
      </c>
      <c r="N1077" t="s">
        <v>4069</v>
      </c>
      <c r="O1077" s="31" t="s">
        <v>4070</v>
      </c>
      <c r="P1077">
        <v>20000</v>
      </c>
      <c r="Q1077" t="s">
        <v>64</v>
      </c>
      <c r="R1077">
        <v>1</v>
      </c>
      <c r="S1077" s="31">
        <v>0</v>
      </c>
      <c r="T1077" s="39">
        <v>0</v>
      </c>
      <c r="U1077">
        <v>0</v>
      </c>
      <c r="V1077">
        <v>0</v>
      </c>
      <c r="W1077">
        <v>0</v>
      </c>
      <c r="X1077" s="39">
        <v>0</v>
      </c>
      <c r="Y1077">
        <v>0</v>
      </c>
      <c r="Z1077" s="31">
        <v>0</v>
      </c>
      <c r="AA1077">
        <v>8</v>
      </c>
      <c r="AB1077" s="3">
        <f t="shared" si="50"/>
        <v>0</v>
      </c>
      <c r="AC1077" t="str">
        <f>IF(AB1077-S1077&lt;0,"YES","NO")</f>
        <v>NO</v>
      </c>
      <c r="AD1077">
        <f>IF(AC1077="NO",0,AB1077-S1077)</f>
        <v>0</v>
      </c>
      <c r="AE1077" s="43">
        <v>0.08</v>
      </c>
      <c r="AF1077" s="3">
        <f t="shared" si="51"/>
        <v>0</v>
      </c>
      <c r="AG1077" s="45">
        <f t="shared" si="52"/>
        <v>0</v>
      </c>
      <c r="AH1077" s="55"/>
    </row>
    <row r="1078" spans="1:34" x14ac:dyDescent="0.25">
      <c r="A1078" t="s">
        <v>4063</v>
      </c>
      <c r="B1078" t="s">
        <v>4064</v>
      </c>
      <c r="C1078" t="s">
        <v>4065</v>
      </c>
      <c r="D1078" t="s">
        <v>4066</v>
      </c>
      <c r="E1078" t="s">
        <v>4067</v>
      </c>
      <c r="F1078" t="s">
        <v>4068</v>
      </c>
      <c r="G1078" t="s">
        <v>5</v>
      </c>
      <c r="H1078" t="s">
        <v>65</v>
      </c>
      <c r="I1078" t="s">
        <v>87</v>
      </c>
      <c r="J1078" t="s">
        <v>88</v>
      </c>
      <c r="K1078" t="s">
        <v>3</v>
      </c>
      <c r="L1078" t="s">
        <v>4</v>
      </c>
      <c r="M1078" t="s">
        <v>49</v>
      </c>
      <c r="N1078" t="s">
        <v>4069</v>
      </c>
      <c r="O1078" s="31" t="s">
        <v>4070</v>
      </c>
      <c r="P1078">
        <v>220</v>
      </c>
      <c r="Q1078" t="s">
        <v>89</v>
      </c>
      <c r="R1078">
        <v>1</v>
      </c>
      <c r="S1078" s="31">
        <v>59000</v>
      </c>
      <c r="T1078" s="39">
        <v>70000</v>
      </c>
      <c r="U1078">
        <v>10000</v>
      </c>
      <c r="V1078">
        <v>7000</v>
      </c>
      <c r="W1078">
        <v>0</v>
      </c>
      <c r="X1078" s="39">
        <v>21660</v>
      </c>
      <c r="Y1078">
        <v>0</v>
      </c>
      <c r="Z1078" s="31">
        <v>53000</v>
      </c>
      <c r="AA1078">
        <v>8</v>
      </c>
      <c r="AB1078" s="3">
        <f t="shared" si="50"/>
        <v>53000</v>
      </c>
      <c r="AC1078" t="str">
        <f>IF(AB1078-S1078&lt;0,"YES","NO")</f>
        <v>YES</v>
      </c>
      <c r="AD1078">
        <f>IF(AC1078="NO",0,AB1078-S1078)</f>
        <v>-6000</v>
      </c>
      <c r="AE1078" s="43">
        <v>0.08</v>
      </c>
      <c r="AF1078" s="3">
        <f t="shared" si="51"/>
        <v>-5555.5555555555547</v>
      </c>
      <c r="AG1078" s="45">
        <f t="shared" si="52"/>
        <v>-6111.1111111111104</v>
      </c>
      <c r="AH1078" s="55"/>
    </row>
    <row r="1079" spans="1:34" x14ac:dyDescent="0.25">
      <c r="A1079" t="s">
        <v>4063</v>
      </c>
      <c r="B1079" t="s">
        <v>4064</v>
      </c>
      <c r="C1079" t="s">
        <v>4065</v>
      </c>
      <c r="D1079" t="s">
        <v>4066</v>
      </c>
      <c r="E1079" t="s">
        <v>4067</v>
      </c>
      <c r="F1079" t="s">
        <v>4068</v>
      </c>
      <c r="G1079" t="s">
        <v>5</v>
      </c>
      <c r="H1079" t="s">
        <v>65</v>
      </c>
      <c r="I1079" t="s">
        <v>90</v>
      </c>
      <c r="J1079" t="s">
        <v>91</v>
      </c>
      <c r="K1079" t="s">
        <v>3</v>
      </c>
      <c r="L1079" t="s">
        <v>4</v>
      </c>
      <c r="M1079" t="s">
        <v>49</v>
      </c>
      <c r="N1079" t="s">
        <v>4069</v>
      </c>
      <c r="O1079" s="31" t="s">
        <v>4070</v>
      </c>
      <c r="P1079">
        <v>220</v>
      </c>
      <c r="Q1079" t="s">
        <v>92</v>
      </c>
      <c r="R1079">
        <v>1</v>
      </c>
      <c r="S1079" s="31">
        <v>59000</v>
      </c>
      <c r="T1079" s="39">
        <v>70000</v>
      </c>
      <c r="U1079">
        <v>10000</v>
      </c>
      <c r="V1079">
        <v>7000</v>
      </c>
      <c r="W1079">
        <v>0</v>
      </c>
      <c r="X1079" s="39">
        <v>21660</v>
      </c>
      <c r="Y1079">
        <v>0</v>
      </c>
      <c r="Z1079" s="31">
        <v>53000</v>
      </c>
      <c r="AA1079">
        <v>8</v>
      </c>
      <c r="AB1079" s="3">
        <f t="shared" si="50"/>
        <v>53000</v>
      </c>
      <c r="AC1079" t="str">
        <f>IF(AB1079-S1079&lt;0,"YES","NO")</f>
        <v>YES</v>
      </c>
      <c r="AD1079">
        <f>IF(AC1079="NO",0,AB1079-S1079)</f>
        <v>-6000</v>
      </c>
      <c r="AE1079" s="43">
        <v>0.08</v>
      </c>
      <c r="AF1079" s="3">
        <f t="shared" si="51"/>
        <v>-5555.5555555555547</v>
      </c>
      <c r="AG1079" s="45">
        <f t="shared" si="52"/>
        <v>-6111.1111111111104</v>
      </c>
      <c r="AH1079" s="55"/>
    </row>
    <row r="1080" spans="1:34" x14ac:dyDescent="0.25">
      <c r="A1080" t="s">
        <v>4071</v>
      </c>
      <c r="B1080" t="s">
        <v>4072</v>
      </c>
      <c r="C1080" t="s">
        <v>4073</v>
      </c>
      <c r="D1080" t="s">
        <v>4074</v>
      </c>
      <c r="E1080" t="s">
        <v>4075</v>
      </c>
      <c r="F1080" t="s">
        <v>4076</v>
      </c>
      <c r="G1080" t="s">
        <v>5</v>
      </c>
      <c r="H1080" t="s">
        <v>61</v>
      </c>
      <c r="I1080" t="s">
        <v>62</v>
      </c>
      <c r="J1080" t="s">
        <v>63</v>
      </c>
      <c r="K1080" t="s">
        <v>3</v>
      </c>
      <c r="L1080" t="s">
        <v>4</v>
      </c>
      <c r="M1080" t="s">
        <v>49</v>
      </c>
      <c r="N1080" t="s">
        <v>4077</v>
      </c>
      <c r="O1080" s="31" t="s">
        <v>4078</v>
      </c>
      <c r="P1080">
        <v>20000</v>
      </c>
      <c r="Q1080" t="s">
        <v>64</v>
      </c>
      <c r="R1080">
        <v>1</v>
      </c>
      <c r="S1080" s="31">
        <v>0</v>
      </c>
      <c r="T1080" s="39">
        <v>0</v>
      </c>
      <c r="U1080">
        <v>0</v>
      </c>
      <c r="V1080">
        <v>0</v>
      </c>
      <c r="W1080">
        <v>0</v>
      </c>
      <c r="X1080" s="39">
        <v>0</v>
      </c>
      <c r="Y1080">
        <v>0</v>
      </c>
      <c r="Z1080" s="31">
        <v>0</v>
      </c>
      <c r="AA1080">
        <v>8</v>
      </c>
      <c r="AB1080" s="3">
        <f t="shared" si="50"/>
        <v>0</v>
      </c>
      <c r="AC1080" t="str">
        <f>IF(AB1080-S1080&lt;0,"YES","NO")</f>
        <v>NO</v>
      </c>
      <c r="AD1080">
        <f>IF(AC1080="NO",0,AB1080-S1080)</f>
        <v>0</v>
      </c>
      <c r="AE1080" s="43">
        <v>0.08</v>
      </c>
      <c r="AF1080" s="3">
        <f t="shared" si="51"/>
        <v>0</v>
      </c>
      <c r="AG1080" s="45">
        <f t="shared" si="52"/>
        <v>0</v>
      </c>
      <c r="AH1080" s="55"/>
    </row>
    <row r="1081" spans="1:34" x14ac:dyDescent="0.25">
      <c r="A1081" t="s">
        <v>4071</v>
      </c>
      <c r="B1081" t="s">
        <v>4072</v>
      </c>
      <c r="C1081" t="s">
        <v>4073</v>
      </c>
      <c r="D1081" t="s">
        <v>4074</v>
      </c>
      <c r="E1081" t="s">
        <v>4075</v>
      </c>
      <c r="F1081" t="s">
        <v>4076</v>
      </c>
      <c r="G1081" t="s">
        <v>5</v>
      </c>
      <c r="H1081" t="s">
        <v>65</v>
      </c>
      <c r="I1081" t="s">
        <v>90</v>
      </c>
      <c r="J1081" t="s">
        <v>91</v>
      </c>
      <c r="K1081" t="s">
        <v>3</v>
      </c>
      <c r="L1081" t="s">
        <v>4</v>
      </c>
      <c r="M1081" t="s">
        <v>49</v>
      </c>
      <c r="N1081" t="s">
        <v>4077</v>
      </c>
      <c r="O1081" s="31" t="s">
        <v>4078</v>
      </c>
      <c r="P1081">
        <v>220</v>
      </c>
      <c r="Q1081" t="s">
        <v>92</v>
      </c>
      <c r="R1081">
        <v>2</v>
      </c>
      <c r="S1081" s="31">
        <v>118000</v>
      </c>
      <c r="T1081" s="39">
        <v>140000</v>
      </c>
      <c r="U1081">
        <v>20000</v>
      </c>
      <c r="V1081">
        <v>14000</v>
      </c>
      <c r="W1081">
        <v>0</v>
      </c>
      <c r="X1081" s="39">
        <v>35000</v>
      </c>
      <c r="Y1081">
        <v>0</v>
      </c>
      <c r="Z1081" s="31">
        <v>106000</v>
      </c>
      <c r="AA1081">
        <v>8</v>
      </c>
      <c r="AB1081" s="3">
        <f t="shared" si="50"/>
        <v>106000</v>
      </c>
      <c r="AC1081" t="str">
        <f>IF(AB1081-S1081&lt;0,"YES","NO")</f>
        <v>YES</v>
      </c>
      <c r="AD1081">
        <f>IF(AC1081="NO",0,AB1081-S1081)</f>
        <v>-12000</v>
      </c>
      <c r="AE1081" s="43">
        <v>0.08</v>
      </c>
      <c r="AF1081" s="3">
        <f t="shared" si="51"/>
        <v>-11111.111111111109</v>
      </c>
      <c r="AG1081" s="45">
        <f t="shared" si="52"/>
        <v>-12222.222222222221</v>
      </c>
      <c r="AH1081" s="55"/>
    </row>
    <row r="1082" spans="1:34" x14ac:dyDescent="0.25">
      <c r="A1082" t="s">
        <v>4079</v>
      </c>
      <c r="B1082" t="s">
        <v>4080</v>
      </c>
      <c r="C1082" t="s">
        <v>4081</v>
      </c>
      <c r="D1082" t="s">
        <v>4082</v>
      </c>
      <c r="E1082" t="s">
        <v>4083</v>
      </c>
      <c r="F1082" t="s">
        <v>4084</v>
      </c>
      <c r="G1082" t="s">
        <v>5</v>
      </c>
      <c r="H1082" t="s">
        <v>65</v>
      </c>
      <c r="I1082" t="s">
        <v>112</v>
      </c>
      <c r="J1082" t="s">
        <v>113</v>
      </c>
      <c r="K1082" t="s">
        <v>3</v>
      </c>
      <c r="L1082" t="s">
        <v>4</v>
      </c>
      <c r="M1082" t="s">
        <v>49</v>
      </c>
      <c r="N1082" t="s">
        <v>4085</v>
      </c>
      <c r="O1082" s="31" t="s">
        <v>4086</v>
      </c>
      <c r="P1082">
        <v>20</v>
      </c>
      <c r="Q1082" t="s">
        <v>114</v>
      </c>
      <c r="R1082">
        <v>1</v>
      </c>
      <c r="S1082" s="31">
        <v>0</v>
      </c>
      <c r="T1082" s="39">
        <v>0</v>
      </c>
      <c r="U1082">
        <v>0</v>
      </c>
      <c r="V1082">
        <v>0</v>
      </c>
      <c r="W1082">
        <v>0</v>
      </c>
      <c r="X1082" s="39">
        <v>0</v>
      </c>
      <c r="Y1082">
        <v>0</v>
      </c>
      <c r="Z1082" s="31">
        <v>0</v>
      </c>
      <c r="AA1082">
        <v>8</v>
      </c>
      <c r="AB1082" s="3">
        <f t="shared" si="50"/>
        <v>0</v>
      </c>
      <c r="AC1082" t="str">
        <f>IF(AB1082-S1082&lt;0,"YES","NO")</f>
        <v>NO</v>
      </c>
      <c r="AD1082">
        <f>IF(AC1082="NO",0,AB1082-S1082)</f>
        <v>0</v>
      </c>
      <c r="AE1082" s="43">
        <v>0.08</v>
      </c>
      <c r="AF1082" s="3">
        <f t="shared" si="51"/>
        <v>0</v>
      </c>
      <c r="AG1082" s="45">
        <f t="shared" si="52"/>
        <v>0</v>
      </c>
      <c r="AH1082" s="55"/>
    </row>
    <row r="1083" spans="1:34" x14ac:dyDescent="0.25">
      <c r="A1083" t="s">
        <v>4079</v>
      </c>
      <c r="B1083" t="s">
        <v>4080</v>
      </c>
      <c r="C1083" t="s">
        <v>4081</v>
      </c>
      <c r="D1083" t="s">
        <v>4082</v>
      </c>
      <c r="E1083" t="s">
        <v>4083</v>
      </c>
      <c r="F1083" t="s">
        <v>4084</v>
      </c>
      <c r="G1083" t="s">
        <v>5</v>
      </c>
      <c r="H1083" t="s">
        <v>65</v>
      </c>
      <c r="I1083" t="s">
        <v>115</v>
      </c>
      <c r="J1083" t="s">
        <v>116</v>
      </c>
      <c r="K1083" t="s">
        <v>3</v>
      </c>
      <c r="L1083" t="s">
        <v>4</v>
      </c>
      <c r="M1083" t="s">
        <v>49</v>
      </c>
      <c r="N1083" t="s">
        <v>4085</v>
      </c>
      <c r="O1083" s="31" t="s">
        <v>4086</v>
      </c>
      <c r="P1083">
        <v>200</v>
      </c>
      <c r="R1083">
        <v>6</v>
      </c>
      <c r="S1083" s="31">
        <v>432000</v>
      </c>
      <c r="T1083" s="39">
        <v>480000</v>
      </c>
      <c r="U1083">
        <v>75000</v>
      </c>
      <c r="V1083">
        <v>48000</v>
      </c>
      <c r="W1083">
        <v>0</v>
      </c>
      <c r="X1083" s="39">
        <v>117840</v>
      </c>
      <c r="Y1083">
        <v>0</v>
      </c>
      <c r="Z1083" s="31">
        <v>357000</v>
      </c>
      <c r="AA1083">
        <v>8</v>
      </c>
      <c r="AB1083" s="3">
        <f t="shared" si="50"/>
        <v>357000</v>
      </c>
      <c r="AC1083" t="str">
        <f>IF(AB1083-S1083&lt;0,"YES","NO")</f>
        <v>YES</v>
      </c>
      <c r="AD1083">
        <f>IF(AC1083="NO",0,AB1083-S1083)</f>
        <v>-75000</v>
      </c>
      <c r="AE1083" s="43">
        <v>0.08</v>
      </c>
      <c r="AF1083" s="3">
        <f t="shared" si="51"/>
        <v>-69444.444444444438</v>
      </c>
      <c r="AG1083" s="45">
        <f t="shared" si="52"/>
        <v>-76388.888888888891</v>
      </c>
      <c r="AH1083" s="55"/>
    </row>
    <row r="1084" spans="1:34" x14ac:dyDescent="0.25">
      <c r="A1084" t="s">
        <v>4087</v>
      </c>
      <c r="B1084" t="s">
        <v>4088</v>
      </c>
      <c r="C1084" t="s">
        <v>4089</v>
      </c>
      <c r="D1084" t="s">
        <v>4090</v>
      </c>
      <c r="E1084" t="s">
        <v>4091</v>
      </c>
      <c r="F1084" t="s">
        <v>4092</v>
      </c>
      <c r="G1084" t="s">
        <v>5</v>
      </c>
      <c r="H1084" t="s">
        <v>61</v>
      </c>
      <c r="I1084" t="s">
        <v>62</v>
      </c>
      <c r="J1084" t="s">
        <v>63</v>
      </c>
      <c r="K1084" t="s">
        <v>3</v>
      </c>
      <c r="L1084" t="s">
        <v>4</v>
      </c>
      <c r="M1084" t="s">
        <v>49</v>
      </c>
      <c r="N1084" t="s">
        <v>4093</v>
      </c>
      <c r="O1084" s="31" t="s">
        <v>4094</v>
      </c>
      <c r="P1084">
        <v>20000</v>
      </c>
      <c r="Q1084" t="s">
        <v>64</v>
      </c>
      <c r="R1084">
        <v>1</v>
      </c>
      <c r="S1084" s="31">
        <v>0</v>
      </c>
      <c r="T1084" s="39">
        <v>0</v>
      </c>
      <c r="U1084">
        <v>0</v>
      </c>
      <c r="V1084">
        <v>0</v>
      </c>
      <c r="W1084">
        <v>0</v>
      </c>
      <c r="X1084" s="39">
        <v>0</v>
      </c>
      <c r="Y1084">
        <v>0</v>
      </c>
      <c r="Z1084" s="31">
        <v>0</v>
      </c>
      <c r="AA1084">
        <v>8</v>
      </c>
      <c r="AB1084" s="3">
        <f t="shared" si="50"/>
        <v>0</v>
      </c>
      <c r="AC1084" t="str">
        <f>IF(AB1084-S1084&lt;0,"YES","NO")</f>
        <v>NO</v>
      </c>
      <c r="AD1084">
        <f>IF(AC1084="NO",0,AB1084-S1084)</f>
        <v>0</v>
      </c>
      <c r="AE1084" s="43">
        <v>0.08</v>
      </c>
      <c r="AF1084" s="3">
        <f t="shared" si="51"/>
        <v>0</v>
      </c>
      <c r="AG1084" s="45">
        <f t="shared" si="52"/>
        <v>0</v>
      </c>
      <c r="AH1084" s="55"/>
    </row>
    <row r="1085" spans="1:34" x14ac:dyDescent="0.25">
      <c r="A1085" t="s">
        <v>4087</v>
      </c>
      <c r="B1085" t="s">
        <v>4088</v>
      </c>
      <c r="C1085" t="s">
        <v>4089</v>
      </c>
      <c r="D1085" t="s">
        <v>4090</v>
      </c>
      <c r="E1085" t="s">
        <v>4091</v>
      </c>
      <c r="F1085" t="s">
        <v>4092</v>
      </c>
      <c r="G1085" t="s">
        <v>5</v>
      </c>
      <c r="H1085" t="s">
        <v>65</v>
      </c>
      <c r="I1085" t="s">
        <v>68</v>
      </c>
      <c r="J1085" t="s">
        <v>69</v>
      </c>
      <c r="K1085" t="s">
        <v>3</v>
      </c>
      <c r="L1085" t="s">
        <v>4</v>
      </c>
      <c r="M1085" t="s">
        <v>49</v>
      </c>
      <c r="N1085" t="s">
        <v>4093</v>
      </c>
      <c r="O1085" s="31" t="s">
        <v>4094</v>
      </c>
      <c r="P1085">
        <v>220</v>
      </c>
      <c r="Q1085" t="s">
        <v>70</v>
      </c>
      <c r="R1085">
        <v>1</v>
      </c>
      <c r="S1085" s="31">
        <v>59000</v>
      </c>
      <c r="T1085" s="39">
        <v>65000</v>
      </c>
      <c r="U1085">
        <v>11666.67</v>
      </c>
      <c r="V1085">
        <v>6500</v>
      </c>
      <c r="W1085">
        <v>0</v>
      </c>
      <c r="X1085" s="39">
        <v>21033.33</v>
      </c>
      <c r="Y1085">
        <v>0</v>
      </c>
      <c r="Z1085" s="31">
        <v>46833.33</v>
      </c>
      <c r="AA1085">
        <v>8</v>
      </c>
      <c r="AB1085" s="3">
        <f t="shared" si="50"/>
        <v>46833.33</v>
      </c>
      <c r="AC1085" t="str">
        <f>IF(AB1085-S1085&lt;0,"YES","NO")</f>
        <v>YES</v>
      </c>
      <c r="AD1085">
        <f>IF(AC1085="NO",0,AB1085-S1085)</f>
        <v>-12166.669999999998</v>
      </c>
      <c r="AE1085" s="43">
        <v>0.08</v>
      </c>
      <c r="AF1085" s="3">
        <f t="shared" si="51"/>
        <v>-11265.435185185182</v>
      </c>
      <c r="AG1085" s="45">
        <f t="shared" si="52"/>
        <v>-12391.978703703702</v>
      </c>
      <c r="AH1085" s="55"/>
    </row>
    <row r="1086" spans="1:34" x14ac:dyDescent="0.25">
      <c r="A1086" t="s">
        <v>4087</v>
      </c>
      <c r="B1086" t="s">
        <v>4088</v>
      </c>
      <c r="C1086" t="s">
        <v>4089</v>
      </c>
      <c r="D1086" t="s">
        <v>4090</v>
      </c>
      <c r="E1086" t="s">
        <v>4091</v>
      </c>
      <c r="F1086" t="s">
        <v>4092</v>
      </c>
      <c r="G1086" t="s">
        <v>5</v>
      </c>
      <c r="H1086" t="s">
        <v>65</v>
      </c>
      <c r="I1086" t="s">
        <v>71</v>
      </c>
      <c r="J1086" t="s">
        <v>72</v>
      </c>
      <c r="K1086" t="s">
        <v>3</v>
      </c>
      <c r="L1086" t="s">
        <v>4</v>
      </c>
      <c r="M1086" t="s">
        <v>49</v>
      </c>
      <c r="N1086" t="s">
        <v>4093</v>
      </c>
      <c r="O1086" s="31" t="s">
        <v>4094</v>
      </c>
      <c r="P1086">
        <v>220</v>
      </c>
      <c r="Q1086" t="s">
        <v>70</v>
      </c>
      <c r="R1086">
        <v>1</v>
      </c>
      <c r="S1086" s="31">
        <v>59000</v>
      </c>
      <c r="T1086" s="39">
        <v>65000</v>
      </c>
      <c r="U1086">
        <v>11666.67</v>
      </c>
      <c r="V1086">
        <v>6500</v>
      </c>
      <c r="W1086">
        <v>0</v>
      </c>
      <c r="X1086" s="39">
        <v>21033.33</v>
      </c>
      <c r="Y1086">
        <v>0</v>
      </c>
      <c r="Z1086" s="31">
        <v>46833.33</v>
      </c>
      <c r="AA1086">
        <v>8</v>
      </c>
      <c r="AB1086" s="3">
        <f t="shared" si="50"/>
        <v>46833.33</v>
      </c>
      <c r="AC1086" t="str">
        <f>IF(AB1086-S1086&lt;0,"YES","NO")</f>
        <v>YES</v>
      </c>
      <c r="AD1086">
        <f>IF(AC1086="NO",0,AB1086-S1086)</f>
        <v>-12166.669999999998</v>
      </c>
      <c r="AE1086" s="43">
        <v>0.08</v>
      </c>
      <c r="AF1086" s="3">
        <f t="shared" si="51"/>
        <v>-11265.435185185182</v>
      </c>
      <c r="AG1086" s="45">
        <f t="shared" si="52"/>
        <v>-12391.978703703702</v>
      </c>
      <c r="AH1086" s="55"/>
    </row>
    <row r="1087" spans="1:34" x14ac:dyDescent="0.25">
      <c r="A1087" t="s">
        <v>4087</v>
      </c>
      <c r="B1087" t="s">
        <v>4088</v>
      </c>
      <c r="C1087" t="s">
        <v>4089</v>
      </c>
      <c r="D1087" t="s">
        <v>4090</v>
      </c>
      <c r="E1087" t="s">
        <v>4091</v>
      </c>
      <c r="F1087" t="s">
        <v>4092</v>
      </c>
      <c r="G1087" t="s">
        <v>5</v>
      </c>
      <c r="H1087" t="s">
        <v>65</v>
      </c>
      <c r="I1087" t="s">
        <v>73</v>
      </c>
      <c r="J1087" t="s">
        <v>74</v>
      </c>
      <c r="K1087" t="s">
        <v>3</v>
      </c>
      <c r="L1087" t="s">
        <v>4</v>
      </c>
      <c r="M1087" t="s">
        <v>49</v>
      </c>
      <c r="N1087" t="s">
        <v>4093</v>
      </c>
      <c r="O1087" s="31" t="s">
        <v>4094</v>
      </c>
      <c r="P1087">
        <v>220</v>
      </c>
      <c r="Q1087" t="s">
        <v>70</v>
      </c>
      <c r="R1087">
        <v>1</v>
      </c>
      <c r="S1087" s="31">
        <v>59000</v>
      </c>
      <c r="T1087" s="39">
        <v>65000</v>
      </c>
      <c r="U1087">
        <v>11666.67</v>
      </c>
      <c r="V1087">
        <v>6500</v>
      </c>
      <c r="W1087">
        <v>0</v>
      </c>
      <c r="X1087" s="39">
        <v>21033.33</v>
      </c>
      <c r="Y1087">
        <v>0</v>
      </c>
      <c r="Z1087" s="31">
        <v>46833.33</v>
      </c>
      <c r="AA1087">
        <v>8</v>
      </c>
      <c r="AB1087" s="3">
        <f t="shared" si="50"/>
        <v>46833.33</v>
      </c>
      <c r="AC1087" t="str">
        <f>IF(AB1087-S1087&lt;0,"YES","NO")</f>
        <v>YES</v>
      </c>
      <c r="AD1087">
        <f>IF(AC1087="NO",0,AB1087-S1087)</f>
        <v>-12166.669999999998</v>
      </c>
      <c r="AE1087" s="43">
        <v>0.08</v>
      </c>
      <c r="AF1087" s="3">
        <f t="shared" si="51"/>
        <v>-11265.435185185182</v>
      </c>
      <c r="AG1087" s="45">
        <f t="shared" si="52"/>
        <v>-12391.978703703702</v>
      </c>
      <c r="AH1087" s="55"/>
    </row>
    <row r="1088" spans="1:34" x14ac:dyDescent="0.25">
      <c r="A1088" t="s">
        <v>4095</v>
      </c>
      <c r="B1088" t="s">
        <v>4096</v>
      </c>
      <c r="C1088" t="s">
        <v>4097</v>
      </c>
      <c r="D1088" t="s">
        <v>4098</v>
      </c>
      <c r="E1088" t="s">
        <v>4099</v>
      </c>
      <c r="F1088" t="s">
        <v>4100</v>
      </c>
      <c r="G1088" t="s">
        <v>5</v>
      </c>
      <c r="H1088" t="s">
        <v>61</v>
      </c>
      <c r="I1088" t="s">
        <v>62</v>
      </c>
      <c r="J1088" t="s">
        <v>63</v>
      </c>
      <c r="K1088" t="s">
        <v>3</v>
      </c>
      <c r="L1088" t="s">
        <v>4</v>
      </c>
      <c r="M1088" t="s">
        <v>49</v>
      </c>
      <c r="N1088" t="s">
        <v>4101</v>
      </c>
      <c r="O1088" s="31" t="s">
        <v>4102</v>
      </c>
      <c r="P1088">
        <v>20000</v>
      </c>
      <c r="Q1088" t="s">
        <v>64</v>
      </c>
      <c r="R1088">
        <v>1</v>
      </c>
      <c r="S1088" s="31">
        <v>0</v>
      </c>
      <c r="T1088" s="39">
        <v>0</v>
      </c>
      <c r="U1088">
        <v>0</v>
      </c>
      <c r="V1088">
        <v>0</v>
      </c>
      <c r="W1088">
        <v>0</v>
      </c>
      <c r="X1088" s="39">
        <v>0</v>
      </c>
      <c r="Y1088">
        <v>0</v>
      </c>
      <c r="Z1088" s="31">
        <v>0</v>
      </c>
      <c r="AA1088">
        <v>8</v>
      </c>
      <c r="AB1088" s="3">
        <f t="shared" si="50"/>
        <v>0</v>
      </c>
      <c r="AC1088" t="str">
        <f>IF(AB1088-S1088&lt;0,"YES","NO")</f>
        <v>NO</v>
      </c>
      <c r="AD1088">
        <f>IF(AC1088="NO",0,AB1088-S1088)</f>
        <v>0</v>
      </c>
      <c r="AE1088" s="43">
        <v>0.08</v>
      </c>
      <c r="AF1088" s="3">
        <f t="shared" si="51"/>
        <v>0</v>
      </c>
      <c r="AG1088" s="45">
        <f t="shared" si="52"/>
        <v>0</v>
      </c>
      <c r="AH1088" s="55"/>
    </row>
    <row r="1089" spans="1:34" x14ac:dyDescent="0.25">
      <c r="A1089" t="s">
        <v>4095</v>
      </c>
      <c r="B1089" t="s">
        <v>4096</v>
      </c>
      <c r="C1089" t="s">
        <v>4097</v>
      </c>
      <c r="D1089" t="s">
        <v>4098</v>
      </c>
      <c r="E1089" t="s">
        <v>4099</v>
      </c>
      <c r="F1089" t="s">
        <v>4100</v>
      </c>
      <c r="G1089" t="s">
        <v>5</v>
      </c>
      <c r="H1089" t="s">
        <v>65</v>
      </c>
      <c r="I1089" t="s">
        <v>66</v>
      </c>
      <c r="J1089" t="s">
        <v>67</v>
      </c>
      <c r="K1089" t="s">
        <v>3</v>
      </c>
      <c r="L1089" t="s">
        <v>4</v>
      </c>
      <c r="M1089" t="s">
        <v>49</v>
      </c>
      <c r="N1089" t="s">
        <v>4101</v>
      </c>
      <c r="O1089" s="31" t="s">
        <v>4102</v>
      </c>
      <c r="P1089">
        <v>220</v>
      </c>
      <c r="R1089">
        <v>3</v>
      </c>
      <c r="S1089" s="31">
        <v>225000</v>
      </c>
      <c r="T1089" s="39">
        <v>240000</v>
      </c>
      <c r="U1089">
        <v>35000.01</v>
      </c>
      <c r="V1089">
        <v>24000</v>
      </c>
      <c r="W1089">
        <v>0</v>
      </c>
      <c r="X1089" s="39">
        <v>71199.990000000005</v>
      </c>
      <c r="Y1089">
        <v>0</v>
      </c>
      <c r="Z1089" s="31">
        <v>180999.99</v>
      </c>
      <c r="AA1089">
        <v>8</v>
      </c>
      <c r="AB1089" s="3">
        <f t="shared" si="50"/>
        <v>180999.99</v>
      </c>
      <c r="AC1089" t="str">
        <f>IF(AB1089-S1089&lt;0,"YES","NO")</f>
        <v>YES</v>
      </c>
      <c r="AD1089">
        <f>IF(AC1089="NO",0,AB1089-S1089)</f>
        <v>-44000.010000000009</v>
      </c>
      <c r="AE1089" s="43">
        <v>0.08</v>
      </c>
      <c r="AF1089" s="3">
        <f t="shared" si="51"/>
        <v>-40740.750000000007</v>
      </c>
      <c r="AG1089" s="45">
        <f t="shared" si="52"/>
        <v>-44814.825000000012</v>
      </c>
      <c r="AH1089" s="55"/>
    </row>
    <row r="1090" spans="1:34" x14ac:dyDescent="0.25">
      <c r="A1090" t="s">
        <v>4103</v>
      </c>
      <c r="B1090" t="s">
        <v>4104</v>
      </c>
      <c r="C1090" t="s">
        <v>4105</v>
      </c>
      <c r="D1090" t="s">
        <v>4106</v>
      </c>
      <c r="E1090" t="s">
        <v>4107</v>
      </c>
      <c r="F1090" t="s">
        <v>4108</v>
      </c>
      <c r="G1090" t="s">
        <v>5</v>
      </c>
      <c r="H1090" t="s">
        <v>61</v>
      </c>
      <c r="I1090" t="s">
        <v>75</v>
      </c>
      <c r="J1090" t="s">
        <v>76</v>
      </c>
      <c r="K1090" t="s">
        <v>3</v>
      </c>
      <c r="L1090" t="s">
        <v>4</v>
      </c>
      <c r="M1090" t="s">
        <v>49</v>
      </c>
      <c r="N1090" t="s">
        <v>4109</v>
      </c>
      <c r="O1090" s="31" t="s">
        <v>4110</v>
      </c>
      <c r="P1090">
        <v>20</v>
      </c>
      <c r="Q1090" t="s">
        <v>77</v>
      </c>
      <c r="R1090">
        <v>1</v>
      </c>
      <c r="S1090" s="31">
        <v>0</v>
      </c>
      <c r="T1090" s="39">
        <v>0</v>
      </c>
      <c r="U1090">
        <v>0</v>
      </c>
      <c r="V1090">
        <v>0</v>
      </c>
      <c r="W1090">
        <v>0</v>
      </c>
      <c r="X1090" s="39">
        <v>0</v>
      </c>
      <c r="Y1090">
        <v>0</v>
      </c>
      <c r="Z1090" s="31">
        <v>0</v>
      </c>
      <c r="AA1090">
        <v>8</v>
      </c>
      <c r="AB1090" s="3">
        <f t="shared" si="50"/>
        <v>0</v>
      </c>
      <c r="AC1090" t="str">
        <f>IF(AB1090-S1090&lt;0,"YES","NO")</f>
        <v>NO</v>
      </c>
      <c r="AD1090">
        <f>IF(AC1090="NO",0,AB1090-S1090)</f>
        <v>0</v>
      </c>
      <c r="AE1090" s="43">
        <v>0.08</v>
      </c>
      <c r="AF1090" s="3">
        <f t="shared" si="51"/>
        <v>0</v>
      </c>
      <c r="AG1090" s="45">
        <f t="shared" si="52"/>
        <v>0</v>
      </c>
      <c r="AH1090" s="55"/>
    </row>
    <row r="1091" spans="1:34" x14ac:dyDescent="0.25">
      <c r="A1091" t="s">
        <v>4103</v>
      </c>
      <c r="B1091" t="s">
        <v>4104</v>
      </c>
      <c r="C1091" t="s">
        <v>4105</v>
      </c>
      <c r="D1091" t="s">
        <v>4106</v>
      </c>
      <c r="E1091" t="s">
        <v>4107</v>
      </c>
      <c r="F1091" t="s">
        <v>4108</v>
      </c>
      <c r="G1091" t="s">
        <v>5</v>
      </c>
      <c r="H1091" t="s">
        <v>65</v>
      </c>
      <c r="I1091" t="s">
        <v>66</v>
      </c>
      <c r="J1091" t="s">
        <v>67</v>
      </c>
      <c r="K1091" t="s">
        <v>3</v>
      </c>
      <c r="L1091" t="s">
        <v>4</v>
      </c>
      <c r="M1091" t="s">
        <v>49</v>
      </c>
      <c r="N1091" t="s">
        <v>4109</v>
      </c>
      <c r="O1091" s="31" t="s">
        <v>4110</v>
      </c>
      <c r="P1091">
        <v>220</v>
      </c>
      <c r="R1091">
        <v>6</v>
      </c>
      <c r="S1091" s="31">
        <v>450000</v>
      </c>
      <c r="T1091" s="39">
        <v>480000</v>
      </c>
      <c r="U1091">
        <v>75000</v>
      </c>
      <c r="V1091">
        <v>48000</v>
      </c>
      <c r="W1091">
        <v>0</v>
      </c>
      <c r="X1091" s="39">
        <v>146400</v>
      </c>
      <c r="Y1091">
        <v>0</v>
      </c>
      <c r="Z1091" s="31">
        <v>357000</v>
      </c>
      <c r="AA1091">
        <v>8</v>
      </c>
      <c r="AB1091" s="3">
        <f t="shared" si="50"/>
        <v>357000</v>
      </c>
      <c r="AC1091" t="str">
        <f>IF(AB1091-S1091&lt;0,"YES","NO")</f>
        <v>YES</v>
      </c>
      <c r="AD1091">
        <f>IF(AC1091="NO",0,AB1091-S1091)</f>
        <v>-93000</v>
      </c>
      <c r="AE1091" s="43">
        <v>0.08</v>
      </c>
      <c r="AF1091" s="3">
        <f t="shared" si="51"/>
        <v>-86111.111111111109</v>
      </c>
      <c r="AG1091" s="45">
        <f t="shared" si="52"/>
        <v>-94722.222222222234</v>
      </c>
      <c r="AH1091" s="55"/>
    </row>
    <row r="1092" spans="1:34" x14ac:dyDescent="0.25">
      <c r="A1092" t="s">
        <v>4111</v>
      </c>
      <c r="B1092" t="s">
        <v>4112</v>
      </c>
      <c r="C1092" t="s">
        <v>4113</v>
      </c>
      <c r="D1092" t="s">
        <v>4114</v>
      </c>
      <c r="E1092" t="s">
        <v>4115</v>
      </c>
      <c r="F1092" t="s">
        <v>4116</v>
      </c>
      <c r="G1092" t="s">
        <v>5</v>
      </c>
      <c r="H1092" t="s">
        <v>61</v>
      </c>
      <c r="I1092" t="s">
        <v>75</v>
      </c>
      <c r="J1092" t="s">
        <v>76</v>
      </c>
      <c r="K1092" t="s">
        <v>3</v>
      </c>
      <c r="L1092" t="s">
        <v>4</v>
      </c>
      <c r="M1092" t="s">
        <v>49</v>
      </c>
      <c r="N1092" t="s">
        <v>4117</v>
      </c>
      <c r="O1092" s="31" t="s">
        <v>4118</v>
      </c>
      <c r="P1092">
        <v>20</v>
      </c>
      <c r="Q1092" t="s">
        <v>77</v>
      </c>
      <c r="R1092">
        <v>1</v>
      </c>
      <c r="S1092" s="31">
        <v>0</v>
      </c>
      <c r="T1092" s="39">
        <v>0</v>
      </c>
      <c r="U1092">
        <v>0</v>
      </c>
      <c r="V1092">
        <v>0</v>
      </c>
      <c r="W1092">
        <v>0</v>
      </c>
      <c r="X1092" s="39">
        <v>0</v>
      </c>
      <c r="Y1092">
        <v>0</v>
      </c>
      <c r="Z1092" s="31">
        <v>0</v>
      </c>
      <c r="AA1092">
        <v>8</v>
      </c>
      <c r="AB1092" s="3">
        <f t="shared" si="50"/>
        <v>0</v>
      </c>
      <c r="AC1092" t="str">
        <f>IF(AB1092-S1092&lt;0,"YES","NO")</f>
        <v>NO</v>
      </c>
      <c r="AD1092">
        <f>IF(AC1092="NO",0,AB1092-S1092)</f>
        <v>0</v>
      </c>
      <c r="AE1092" s="43">
        <v>0.08</v>
      </c>
      <c r="AF1092" s="3">
        <f t="shared" si="51"/>
        <v>0</v>
      </c>
      <c r="AG1092" s="45">
        <f t="shared" si="52"/>
        <v>0</v>
      </c>
      <c r="AH1092" s="55"/>
    </row>
    <row r="1093" spans="1:34" x14ac:dyDescent="0.25">
      <c r="A1093" t="s">
        <v>4111</v>
      </c>
      <c r="B1093" t="s">
        <v>4112</v>
      </c>
      <c r="C1093" t="s">
        <v>4113</v>
      </c>
      <c r="D1093" t="s">
        <v>4114</v>
      </c>
      <c r="E1093" t="s">
        <v>4115</v>
      </c>
      <c r="F1093" t="s">
        <v>4116</v>
      </c>
      <c r="G1093" t="s">
        <v>5</v>
      </c>
      <c r="H1093" t="s">
        <v>65</v>
      </c>
      <c r="I1093" t="s">
        <v>68</v>
      </c>
      <c r="J1093" t="s">
        <v>69</v>
      </c>
      <c r="K1093" t="s">
        <v>3</v>
      </c>
      <c r="L1093" t="s">
        <v>4</v>
      </c>
      <c r="M1093" t="s">
        <v>49</v>
      </c>
      <c r="N1093" t="s">
        <v>4117</v>
      </c>
      <c r="O1093" s="31" t="s">
        <v>4118</v>
      </c>
      <c r="P1093">
        <v>220</v>
      </c>
      <c r="Q1093" t="s">
        <v>70</v>
      </c>
      <c r="R1093">
        <v>1</v>
      </c>
      <c r="S1093" s="31">
        <v>59000</v>
      </c>
      <c r="T1093" s="39">
        <v>65000</v>
      </c>
      <c r="U1093">
        <v>11666.67</v>
      </c>
      <c r="V1093">
        <v>6500</v>
      </c>
      <c r="W1093">
        <v>0</v>
      </c>
      <c r="X1093" s="39">
        <v>19160</v>
      </c>
      <c r="Y1093">
        <v>0</v>
      </c>
      <c r="Z1093" s="31">
        <v>46833.33</v>
      </c>
      <c r="AA1093">
        <v>8</v>
      </c>
      <c r="AB1093" s="3">
        <f t="shared" si="50"/>
        <v>46833.33</v>
      </c>
      <c r="AC1093" t="str">
        <f>IF(AB1093-S1093&lt;0,"YES","NO")</f>
        <v>YES</v>
      </c>
      <c r="AD1093">
        <f>IF(AC1093="NO",0,AB1093-S1093)</f>
        <v>-12166.669999999998</v>
      </c>
      <c r="AE1093" s="43">
        <v>0.08</v>
      </c>
      <c r="AF1093" s="3">
        <f t="shared" si="51"/>
        <v>-11265.435185185182</v>
      </c>
      <c r="AG1093" s="45">
        <f t="shared" si="52"/>
        <v>-12391.978703703702</v>
      </c>
      <c r="AH1093" s="55"/>
    </row>
    <row r="1094" spans="1:34" x14ac:dyDescent="0.25">
      <c r="A1094" t="s">
        <v>4111</v>
      </c>
      <c r="B1094" t="s">
        <v>4112</v>
      </c>
      <c r="C1094" t="s">
        <v>4113</v>
      </c>
      <c r="D1094" t="s">
        <v>4114</v>
      </c>
      <c r="E1094" t="s">
        <v>4115</v>
      </c>
      <c r="F1094" t="s">
        <v>4116</v>
      </c>
      <c r="G1094" t="s">
        <v>5</v>
      </c>
      <c r="H1094" t="s">
        <v>65</v>
      </c>
      <c r="I1094" t="s">
        <v>71</v>
      </c>
      <c r="J1094" t="s">
        <v>72</v>
      </c>
      <c r="K1094" t="s">
        <v>3</v>
      </c>
      <c r="L1094" t="s">
        <v>4</v>
      </c>
      <c r="M1094" t="s">
        <v>49</v>
      </c>
      <c r="N1094" t="s">
        <v>4117</v>
      </c>
      <c r="O1094" s="31" t="s">
        <v>4118</v>
      </c>
      <c r="P1094">
        <v>220</v>
      </c>
      <c r="Q1094" t="s">
        <v>70</v>
      </c>
      <c r="R1094">
        <v>1</v>
      </c>
      <c r="S1094" s="31">
        <v>59000</v>
      </c>
      <c r="T1094" s="39">
        <v>65000</v>
      </c>
      <c r="U1094">
        <v>11666.67</v>
      </c>
      <c r="V1094">
        <v>6500</v>
      </c>
      <c r="W1094">
        <v>0</v>
      </c>
      <c r="X1094" s="39">
        <v>19160</v>
      </c>
      <c r="Y1094">
        <v>0</v>
      </c>
      <c r="Z1094" s="31">
        <v>46833.33</v>
      </c>
      <c r="AA1094">
        <v>8</v>
      </c>
      <c r="AB1094" s="3">
        <f t="shared" ref="AB1094:AB1157" si="53">Z1094</f>
        <v>46833.33</v>
      </c>
      <c r="AC1094" t="str">
        <f>IF(AB1094-S1094&lt;0,"YES","NO")</f>
        <v>YES</v>
      </c>
      <c r="AD1094">
        <f>IF(AC1094="NO",0,AB1094-S1094)</f>
        <v>-12166.669999999998</v>
      </c>
      <c r="AE1094" s="43">
        <v>0.08</v>
      </c>
      <c r="AF1094" s="3">
        <f t="shared" ref="AF1094:AF1157" si="54">AD1094/(1+AE1094)</f>
        <v>-11265.435185185182</v>
      </c>
      <c r="AG1094" s="45">
        <f t="shared" ref="AG1094:AG1157" si="55">AF1094*1.1</f>
        <v>-12391.978703703702</v>
      </c>
      <c r="AH1094" s="55"/>
    </row>
    <row r="1095" spans="1:34" x14ac:dyDescent="0.25">
      <c r="A1095" t="s">
        <v>4111</v>
      </c>
      <c r="B1095" t="s">
        <v>4112</v>
      </c>
      <c r="C1095" t="s">
        <v>4113</v>
      </c>
      <c r="D1095" t="s">
        <v>4114</v>
      </c>
      <c r="E1095" t="s">
        <v>4115</v>
      </c>
      <c r="F1095" t="s">
        <v>4116</v>
      </c>
      <c r="G1095" t="s">
        <v>5</v>
      </c>
      <c r="H1095" t="s">
        <v>65</v>
      </c>
      <c r="I1095" t="s">
        <v>73</v>
      </c>
      <c r="J1095" t="s">
        <v>74</v>
      </c>
      <c r="K1095" t="s">
        <v>3</v>
      </c>
      <c r="L1095" t="s">
        <v>4</v>
      </c>
      <c r="M1095" t="s">
        <v>49</v>
      </c>
      <c r="N1095" t="s">
        <v>4117</v>
      </c>
      <c r="O1095" s="31" t="s">
        <v>4118</v>
      </c>
      <c r="P1095">
        <v>220</v>
      </c>
      <c r="Q1095" t="s">
        <v>70</v>
      </c>
      <c r="R1095">
        <v>1</v>
      </c>
      <c r="S1095" s="31">
        <v>59000</v>
      </c>
      <c r="T1095" s="39">
        <v>65000</v>
      </c>
      <c r="U1095">
        <v>11666.67</v>
      </c>
      <c r="V1095">
        <v>6500</v>
      </c>
      <c r="W1095">
        <v>0</v>
      </c>
      <c r="X1095" s="39">
        <v>19160</v>
      </c>
      <c r="Y1095">
        <v>0</v>
      </c>
      <c r="Z1095" s="31">
        <v>46833.33</v>
      </c>
      <c r="AA1095">
        <v>8</v>
      </c>
      <c r="AB1095" s="3">
        <f t="shared" si="53"/>
        <v>46833.33</v>
      </c>
      <c r="AC1095" t="str">
        <f>IF(AB1095-S1095&lt;0,"YES","NO")</f>
        <v>YES</v>
      </c>
      <c r="AD1095">
        <f>IF(AC1095="NO",0,AB1095-S1095)</f>
        <v>-12166.669999999998</v>
      </c>
      <c r="AE1095" s="43">
        <v>0.08</v>
      </c>
      <c r="AF1095" s="3">
        <f t="shared" si="54"/>
        <v>-11265.435185185182</v>
      </c>
      <c r="AG1095" s="45">
        <f t="shared" si="55"/>
        <v>-12391.978703703702</v>
      </c>
      <c r="AH1095" s="55"/>
    </row>
    <row r="1096" spans="1:34" x14ac:dyDescent="0.25">
      <c r="A1096" t="s">
        <v>4119</v>
      </c>
      <c r="B1096" t="s">
        <v>4120</v>
      </c>
      <c r="C1096" t="s">
        <v>4121</v>
      </c>
      <c r="D1096" t="s">
        <v>4122</v>
      </c>
      <c r="E1096" t="s">
        <v>4123</v>
      </c>
      <c r="F1096" t="s">
        <v>4124</v>
      </c>
      <c r="G1096" t="s">
        <v>5</v>
      </c>
      <c r="H1096" t="s">
        <v>61</v>
      </c>
      <c r="I1096" t="s">
        <v>84</v>
      </c>
      <c r="J1096" t="s">
        <v>85</v>
      </c>
      <c r="K1096" t="s">
        <v>3</v>
      </c>
      <c r="L1096" t="s">
        <v>4</v>
      </c>
      <c r="M1096" t="s">
        <v>49</v>
      </c>
      <c r="N1096" t="s">
        <v>4125</v>
      </c>
      <c r="O1096" s="31" t="s">
        <v>4126</v>
      </c>
      <c r="P1096">
        <v>100</v>
      </c>
      <c r="Q1096" t="s">
        <v>86</v>
      </c>
      <c r="R1096">
        <v>1</v>
      </c>
      <c r="S1096" s="31">
        <v>0</v>
      </c>
      <c r="T1096" s="39">
        <v>0</v>
      </c>
      <c r="U1096">
        <v>0</v>
      </c>
      <c r="V1096">
        <v>0</v>
      </c>
      <c r="W1096">
        <v>0</v>
      </c>
      <c r="X1096" s="39">
        <v>0</v>
      </c>
      <c r="Y1096">
        <v>0</v>
      </c>
      <c r="Z1096" s="31">
        <v>0</v>
      </c>
      <c r="AA1096">
        <v>8</v>
      </c>
      <c r="AB1096" s="3">
        <f t="shared" si="53"/>
        <v>0</v>
      </c>
      <c r="AC1096" t="str">
        <f>IF(AB1096-S1096&lt;0,"YES","NO")</f>
        <v>NO</v>
      </c>
      <c r="AD1096">
        <f>IF(AC1096="NO",0,AB1096-S1096)</f>
        <v>0</v>
      </c>
      <c r="AE1096" s="43">
        <v>0.08</v>
      </c>
      <c r="AF1096" s="3">
        <f t="shared" si="54"/>
        <v>0</v>
      </c>
      <c r="AG1096" s="45">
        <f t="shared" si="55"/>
        <v>0</v>
      </c>
      <c r="AH1096" s="55"/>
    </row>
    <row r="1097" spans="1:34" x14ac:dyDescent="0.25">
      <c r="A1097" t="s">
        <v>4119</v>
      </c>
      <c r="B1097" t="s">
        <v>4120</v>
      </c>
      <c r="C1097" t="s">
        <v>4121</v>
      </c>
      <c r="D1097" t="s">
        <v>4122</v>
      </c>
      <c r="E1097" t="s">
        <v>4123</v>
      </c>
      <c r="F1097" t="s">
        <v>4124</v>
      </c>
      <c r="G1097" t="s">
        <v>5</v>
      </c>
      <c r="H1097" t="s">
        <v>65</v>
      </c>
      <c r="I1097" t="s">
        <v>66</v>
      </c>
      <c r="J1097" t="s">
        <v>67</v>
      </c>
      <c r="K1097" t="s">
        <v>3</v>
      </c>
      <c r="L1097" t="s">
        <v>4</v>
      </c>
      <c r="M1097" t="s">
        <v>49</v>
      </c>
      <c r="N1097" t="s">
        <v>4125</v>
      </c>
      <c r="O1097" s="31" t="s">
        <v>4126</v>
      </c>
      <c r="P1097">
        <v>220</v>
      </c>
      <c r="R1097">
        <v>2</v>
      </c>
      <c r="S1097" s="31">
        <v>150000</v>
      </c>
      <c r="T1097" s="39">
        <v>160000</v>
      </c>
      <c r="U1097">
        <v>20000</v>
      </c>
      <c r="V1097">
        <v>17000</v>
      </c>
      <c r="W1097">
        <v>0</v>
      </c>
      <c r="X1097" s="39">
        <v>40910</v>
      </c>
      <c r="Y1097">
        <v>0</v>
      </c>
      <c r="Z1097" s="31">
        <v>123000</v>
      </c>
      <c r="AA1097">
        <v>8</v>
      </c>
      <c r="AB1097" s="3">
        <f t="shared" si="53"/>
        <v>123000</v>
      </c>
      <c r="AC1097" t="str">
        <f>IF(AB1097-S1097&lt;0,"YES","NO")</f>
        <v>YES</v>
      </c>
      <c r="AD1097">
        <f>IF(AC1097="NO",0,AB1097-S1097)</f>
        <v>-27000</v>
      </c>
      <c r="AE1097" s="43">
        <v>0.08</v>
      </c>
      <c r="AF1097" s="3">
        <f t="shared" si="54"/>
        <v>-25000</v>
      </c>
      <c r="AG1097" s="45">
        <f t="shared" si="55"/>
        <v>-27500.000000000004</v>
      </c>
      <c r="AH1097" s="55"/>
    </row>
    <row r="1098" spans="1:34" x14ac:dyDescent="0.25">
      <c r="A1098" t="s">
        <v>4127</v>
      </c>
      <c r="B1098" t="s">
        <v>4128</v>
      </c>
      <c r="C1098" t="s">
        <v>4129</v>
      </c>
      <c r="D1098" t="s">
        <v>4130</v>
      </c>
      <c r="E1098" t="s">
        <v>4131</v>
      </c>
      <c r="F1098" t="s">
        <v>4132</v>
      </c>
      <c r="G1098" t="s">
        <v>5</v>
      </c>
      <c r="H1098" t="s">
        <v>61</v>
      </c>
      <c r="I1098" t="s">
        <v>84</v>
      </c>
      <c r="J1098" t="s">
        <v>85</v>
      </c>
      <c r="K1098" t="s">
        <v>3</v>
      </c>
      <c r="L1098" t="s">
        <v>4</v>
      </c>
      <c r="M1098" t="s">
        <v>49</v>
      </c>
      <c r="N1098" t="s">
        <v>4133</v>
      </c>
      <c r="O1098" s="31" t="s">
        <v>4134</v>
      </c>
      <c r="P1098">
        <v>100</v>
      </c>
      <c r="Q1098" t="s">
        <v>86</v>
      </c>
      <c r="R1098">
        <v>1</v>
      </c>
      <c r="S1098" s="31">
        <v>0</v>
      </c>
      <c r="T1098" s="39">
        <v>0</v>
      </c>
      <c r="U1098">
        <v>0</v>
      </c>
      <c r="V1098">
        <v>0</v>
      </c>
      <c r="W1098">
        <v>0</v>
      </c>
      <c r="X1098" s="39">
        <v>0</v>
      </c>
      <c r="Y1098">
        <v>0</v>
      </c>
      <c r="Z1098" s="31">
        <v>0</v>
      </c>
      <c r="AA1098">
        <v>8</v>
      </c>
      <c r="AB1098" s="3">
        <f t="shared" si="53"/>
        <v>0</v>
      </c>
      <c r="AC1098" t="str">
        <f>IF(AB1098-S1098&lt;0,"YES","NO")</f>
        <v>NO</v>
      </c>
      <c r="AD1098">
        <f>IF(AC1098="NO",0,AB1098-S1098)</f>
        <v>0</v>
      </c>
      <c r="AE1098" s="43">
        <v>0.08</v>
      </c>
      <c r="AF1098" s="3">
        <f t="shared" si="54"/>
        <v>0</v>
      </c>
      <c r="AG1098" s="45">
        <f t="shared" si="55"/>
        <v>0</v>
      </c>
      <c r="AH1098" s="55"/>
    </row>
    <row r="1099" spans="1:34" x14ac:dyDescent="0.25">
      <c r="A1099" t="s">
        <v>4127</v>
      </c>
      <c r="B1099" t="s">
        <v>4128</v>
      </c>
      <c r="C1099" t="s">
        <v>4129</v>
      </c>
      <c r="D1099" t="s">
        <v>4130</v>
      </c>
      <c r="E1099" t="s">
        <v>4131</v>
      </c>
      <c r="F1099" t="s">
        <v>4132</v>
      </c>
      <c r="G1099" t="s">
        <v>5</v>
      </c>
      <c r="H1099" t="s">
        <v>65</v>
      </c>
      <c r="I1099" t="s">
        <v>66</v>
      </c>
      <c r="J1099" t="s">
        <v>67</v>
      </c>
      <c r="K1099" t="s">
        <v>3</v>
      </c>
      <c r="L1099" t="s">
        <v>4</v>
      </c>
      <c r="M1099" t="s">
        <v>49</v>
      </c>
      <c r="N1099" t="s">
        <v>4133</v>
      </c>
      <c r="O1099" s="31" t="s">
        <v>4134</v>
      </c>
      <c r="P1099">
        <v>220</v>
      </c>
      <c r="R1099">
        <v>1</v>
      </c>
      <c r="S1099" s="31">
        <v>75000</v>
      </c>
      <c r="T1099" s="39">
        <v>80000</v>
      </c>
      <c r="U1099">
        <v>11666.67</v>
      </c>
      <c r="V1099">
        <v>8000</v>
      </c>
      <c r="W1099">
        <v>0</v>
      </c>
      <c r="X1099" s="39">
        <v>20716.669999999998</v>
      </c>
      <c r="Y1099">
        <v>0</v>
      </c>
      <c r="Z1099" s="31">
        <v>60333.33</v>
      </c>
      <c r="AA1099">
        <v>8</v>
      </c>
      <c r="AB1099" s="3">
        <f t="shared" si="53"/>
        <v>60333.33</v>
      </c>
      <c r="AC1099" t="str">
        <f>IF(AB1099-S1099&lt;0,"YES","NO")</f>
        <v>YES</v>
      </c>
      <c r="AD1099">
        <f>IF(AC1099="NO",0,AB1099-S1099)</f>
        <v>-14666.669999999998</v>
      </c>
      <c r="AE1099" s="43">
        <v>0.08</v>
      </c>
      <c r="AF1099" s="3">
        <f t="shared" si="54"/>
        <v>-13580.249999999998</v>
      </c>
      <c r="AG1099" s="45">
        <f t="shared" si="55"/>
        <v>-14938.275</v>
      </c>
      <c r="AH1099" s="55"/>
    </row>
    <row r="1100" spans="1:34" x14ac:dyDescent="0.25">
      <c r="A1100" t="s">
        <v>4127</v>
      </c>
      <c r="B1100" t="s">
        <v>4128</v>
      </c>
      <c r="C1100" t="s">
        <v>4129</v>
      </c>
      <c r="D1100" t="s">
        <v>4130</v>
      </c>
      <c r="E1100" t="s">
        <v>4131</v>
      </c>
      <c r="F1100" t="s">
        <v>4132</v>
      </c>
      <c r="G1100" t="s">
        <v>5</v>
      </c>
      <c r="H1100" t="s">
        <v>65</v>
      </c>
      <c r="I1100" t="s">
        <v>78</v>
      </c>
      <c r="J1100" t="s">
        <v>79</v>
      </c>
      <c r="K1100" t="s">
        <v>3</v>
      </c>
      <c r="L1100" t="s">
        <v>4</v>
      </c>
      <c r="M1100" t="s">
        <v>49</v>
      </c>
      <c r="N1100" t="s">
        <v>4133</v>
      </c>
      <c r="O1100" s="31" t="s">
        <v>4134</v>
      </c>
      <c r="P1100">
        <v>220</v>
      </c>
      <c r="R1100">
        <v>1</v>
      </c>
      <c r="S1100" s="31">
        <v>75000</v>
      </c>
      <c r="T1100" s="39">
        <v>80000</v>
      </c>
      <c r="U1100">
        <v>11666.67</v>
      </c>
      <c r="V1100">
        <v>8000</v>
      </c>
      <c r="W1100">
        <v>0</v>
      </c>
      <c r="X1100" s="39">
        <v>20716.669999999998</v>
      </c>
      <c r="Y1100">
        <v>0</v>
      </c>
      <c r="Z1100" s="31">
        <v>60333.33</v>
      </c>
      <c r="AA1100">
        <v>8</v>
      </c>
      <c r="AB1100" s="3">
        <f t="shared" si="53"/>
        <v>60333.33</v>
      </c>
      <c r="AC1100" t="str">
        <f>IF(AB1100-S1100&lt;0,"YES","NO")</f>
        <v>YES</v>
      </c>
      <c r="AD1100">
        <f>IF(AC1100="NO",0,AB1100-S1100)</f>
        <v>-14666.669999999998</v>
      </c>
      <c r="AE1100" s="43">
        <v>0.08</v>
      </c>
      <c r="AF1100" s="3">
        <f t="shared" si="54"/>
        <v>-13580.249999999998</v>
      </c>
      <c r="AG1100" s="45">
        <f t="shared" si="55"/>
        <v>-14938.275</v>
      </c>
      <c r="AH1100" s="55"/>
    </row>
    <row r="1101" spans="1:34" x14ac:dyDescent="0.25">
      <c r="A1101" t="s">
        <v>4127</v>
      </c>
      <c r="B1101" t="s">
        <v>4128</v>
      </c>
      <c r="C1101" t="s">
        <v>4129</v>
      </c>
      <c r="D1101" t="s">
        <v>4130</v>
      </c>
      <c r="E1101" t="s">
        <v>4131</v>
      </c>
      <c r="F1101" t="s">
        <v>4132</v>
      </c>
      <c r="G1101" t="s">
        <v>5</v>
      </c>
      <c r="H1101" t="s">
        <v>65</v>
      </c>
      <c r="I1101" t="s">
        <v>80</v>
      </c>
      <c r="J1101" t="s">
        <v>81</v>
      </c>
      <c r="K1101" t="s">
        <v>3</v>
      </c>
      <c r="L1101" t="s">
        <v>4</v>
      </c>
      <c r="M1101" t="s">
        <v>49</v>
      </c>
      <c r="N1101" t="s">
        <v>4133</v>
      </c>
      <c r="O1101" s="31" t="s">
        <v>4134</v>
      </c>
      <c r="P1101">
        <v>220</v>
      </c>
      <c r="R1101">
        <v>1</v>
      </c>
      <c r="S1101" s="31">
        <v>75000</v>
      </c>
      <c r="T1101" s="39">
        <v>80000</v>
      </c>
      <c r="U1101">
        <v>11666.67</v>
      </c>
      <c r="V1101">
        <v>8000</v>
      </c>
      <c r="W1101">
        <v>0</v>
      </c>
      <c r="X1101" s="39">
        <v>20716.669999999998</v>
      </c>
      <c r="Y1101">
        <v>0</v>
      </c>
      <c r="Z1101" s="31">
        <v>60333.33</v>
      </c>
      <c r="AA1101">
        <v>8</v>
      </c>
      <c r="AB1101" s="3">
        <f t="shared" si="53"/>
        <v>60333.33</v>
      </c>
      <c r="AC1101" t="str">
        <f>IF(AB1101-S1101&lt;0,"YES","NO")</f>
        <v>YES</v>
      </c>
      <c r="AD1101">
        <f>IF(AC1101="NO",0,AB1101-S1101)</f>
        <v>-14666.669999999998</v>
      </c>
      <c r="AE1101" s="43">
        <v>0.08</v>
      </c>
      <c r="AF1101" s="3">
        <f t="shared" si="54"/>
        <v>-13580.249999999998</v>
      </c>
      <c r="AG1101" s="45">
        <f t="shared" si="55"/>
        <v>-14938.275</v>
      </c>
      <c r="AH1101" s="55"/>
    </row>
    <row r="1102" spans="1:34" x14ac:dyDescent="0.25">
      <c r="A1102" t="s">
        <v>4135</v>
      </c>
      <c r="B1102" t="s">
        <v>4136</v>
      </c>
      <c r="C1102" t="s">
        <v>4137</v>
      </c>
      <c r="D1102" t="s">
        <v>4138</v>
      </c>
      <c r="E1102" t="s">
        <v>4139</v>
      </c>
      <c r="F1102" t="s">
        <v>4140</v>
      </c>
      <c r="G1102" t="s">
        <v>5</v>
      </c>
      <c r="H1102" t="s">
        <v>61</v>
      </c>
      <c r="I1102" t="s">
        <v>62</v>
      </c>
      <c r="J1102" t="s">
        <v>63</v>
      </c>
      <c r="K1102" t="s">
        <v>3</v>
      </c>
      <c r="L1102" t="s">
        <v>4</v>
      </c>
      <c r="M1102" t="s">
        <v>49</v>
      </c>
      <c r="N1102" t="s">
        <v>4141</v>
      </c>
      <c r="O1102" s="31" t="s">
        <v>4142</v>
      </c>
      <c r="P1102">
        <v>20000</v>
      </c>
      <c r="Q1102" t="s">
        <v>64</v>
      </c>
      <c r="R1102">
        <v>1</v>
      </c>
      <c r="S1102" s="31">
        <v>0</v>
      </c>
      <c r="T1102" s="39">
        <v>0</v>
      </c>
      <c r="U1102">
        <v>0</v>
      </c>
      <c r="V1102">
        <v>0</v>
      </c>
      <c r="W1102">
        <v>0</v>
      </c>
      <c r="X1102" s="39">
        <v>0</v>
      </c>
      <c r="Y1102">
        <v>0</v>
      </c>
      <c r="Z1102" s="31">
        <v>0</v>
      </c>
      <c r="AA1102">
        <v>8</v>
      </c>
      <c r="AB1102" s="3">
        <f t="shared" si="53"/>
        <v>0</v>
      </c>
      <c r="AC1102" t="str">
        <f>IF(AB1102-S1102&lt;0,"YES","NO")</f>
        <v>NO</v>
      </c>
      <c r="AD1102">
        <f>IF(AC1102="NO",0,AB1102-S1102)</f>
        <v>0</v>
      </c>
      <c r="AE1102" s="43">
        <v>0.08</v>
      </c>
      <c r="AF1102" s="3">
        <f t="shared" si="54"/>
        <v>0</v>
      </c>
      <c r="AG1102" s="45">
        <f t="shared" si="55"/>
        <v>0</v>
      </c>
      <c r="AH1102" s="55"/>
    </row>
    <row r="1103" spans="1:34" x14ac:dyDescent="0.25">
      <c r="A1103" t="s">
        <v>4135</v>
      </c>
      <c r="B1103" t="s">
        <v>4136</v>
      </c>
      <c r="C1103" t="s">
        <v>4137</v>
      </c>
      <c r="D1103" t="s">
        <v>4138</v>
      </c>
      <c r="E1103" t="s">
        <v>4139</v>
      </c>
      <c r="F1103" t="s">
        <v>4140</v>
      </c>
      <c r="G1103" t="s">
        <v>5</v>
      </c>
      <c r="H1103" t="s">
        <v>61</v>
      </c>
      <c r="I1103" t="s">
        <v>62</v>
      </c>
      <c r="J1103" t="s">
        <v>63</v>
      </c>
      <c r="K1103" t="s">
        <v>3</v>
      </c>
      <c r="L1103" t="s">
        <v>4</v>
      </c>
      <c r="M1103" t="s">
        <v>49</v>
      </c>
      <c r="N1103" t="s">
        <v>4141</v>
      </c>
      <c r="O1103" s="31" t="s">
        <v>4142</v>
      </c>
      <c r="P1103">
        <v>20000</v>
      </c>
      <c r="Q1103" t="s">
        <v>64</v>
      </c>
      <c r="R1103">
        <v>1</v>
      </c>
      <c r="S1103" s="31">
        <v>0</v>
      </c>
      <c r="T1103" s="39">
        <v>0</v>
      </c>
      <c r="U1103">
        <v>0</v>
      </c>
      <c r="V1103">
        <v>0</v>
      </c>
      <c r="W1103">
        <v>0</v>
      </c>
      <c r="X1103" s="39">
        <v>0</v>
      </c>
      <c r="Y1103">
        <v>0</v>
      </c>
      <c r="Z1103" s="31">
        <v>0</v>
      </c>
      <c r="AA1103">
        <v>8</v>
      </c>
      <c r="AB1103" s="3">
        <f t="shared" si="53"/>
        <v>0</v>
      </c>
      <c r="AC1103" t="str">
        <f>IF(AB1103-S1103&lt;0,"YES","NO")</f>
        <v>NO</v>
      </c>
      <c r="AD1103">
        <f>IF(AC1103="NO",0,AB1103-S1103)</f>
        <v>0</v>
      </c>
      <c r="AE1103" s="43">
        <v>0.08</v>
      </c>
      <c r="AF1103" s="3">
        <f t="shared" si="54"/>
        <v>0</v>
      </c>
      <c r="AG1103" s="45">
        <f t="shared" si="55"/>
        <v>0</v>
      </c>
      <c r="AH1103" s="55"/>
    </row>
    <row r="1104" spans="1:34" x14ac:dyDescent="0.25">
      <c r="A1104" t="s">
        <v>4135</v>
      </c>
      <c r="B1104" t="s">
        <v>4136</v>
      </c>
      <c r="C1104" t="s">
        <v>4137</v>
      </c>
      <c r="D1104" t="s">
        <v>4138</v>
      </c>
      <c r="E1104" t="s">
        <v>4139</v>
      </c>
      <c r="F1104" t="s">
        <v>4140</v>
      </c>
      <c r="G1104" t="s">
        <v>5</v>
      </c>
      <c r="H1104" t="s">
        <v>65</v>
      </c>
      <c r="I1104" t="s">
        <v>87</v>
      </c>
      <c r="J1104" t="s">
        <v>88</v>
      </c>
      <c r="K1104" t="s">
        <v>3</v>
      </c>
      <c r="L1104" t="s">
        <v>4</v>
      </c>
      <c r="M1104" t="s">
        <v>49</v>
      </c>
      <c r="N1104" t="s">
        <v>4141</v>
      </c>
      <c r="O1104" s="31" t="s">
        <v>4142</v>
      </c>
      <c r="P1104">
        <v>220</v>
      </c>
      <c r="Q1104" t="s">
        <v>89</v>
      </c>
      <c r="R1104">
        <v>1</v>
      </c>
      <c r="S1104" s="31">
        <v>59000</v>
      </c>
      <c r="T1104" s="39">
        <v>70000</v>
      </c>
      <c r="U1104">
        <v>4684</v>
      </c>
      <c r="V1104">
        <v>7000</v>
      </c>
      <c r="W1104">
        <v>0</v>
      </c>
      <c r="X1104" s="39">
        <v>16347</v>
      </c>
      <c r="Y1104">
        <v>0</v>
      </c>
      <c r="Z1104" s="31">
        <v>58316</v>
      </c>
      <c r="AA1104">
        <v>8</v>
      </c>
      <c r="AB1104" s="3">
        <f t="shared" si="53"/>
        <v>58316</v>
      </c>
      <c r="AC1104" t="str">
        <f>IF(AB1104-S1104&lt;0,"YES","NO")</f>
        <v>YES</v>
      </c>
      <c r="AD1104">
        <f>IF(AC1104="NO",0,AB1104-S1104)</f>
        <v>-684</v>
      </c>
      <c r="AE1104" s="43">
        <v>0.08</v>
      </c>
      <c r="AF1104" s="3">
        <f t="shared" si="54"/>
        <v>-633.33333333333326</v>
      </c>
      <c r="AG1104" s="45">
        <f t="shared" si="55"/>
        <v>-696.66666666666663</v>
      </c>
      <c r="AH1104" s="55"/>
    </row>
    <row r="1105" spans="1:34" x14ac:dyDescent="0.25">
      <c r="A1105" t="s">
        <v>4135</v>
      </c>
      <c r="B1105" t="s">
        <v>4136</v>
      </c>
      <c r="C1105" t="s">
        <v>4137</v>
      </c>
      <c r="D1105" t="s">
        <v>4138</v>
      </c>
      <c r="E1105" t="s">
        <v>4139</v>
      </c>
      <c r="F1105" t="s">
        <v>4140</v>
      </c>
      <c r="G1105" t="s">
        <v>5</v>
      </c>
      <c r="H1105" t="s">
        <v>65</v>
      </c>
      <c r="I1105" t="s">
        <v>90</v>
      </c>
      <c r="J1105" t="s">
        <v>91</v>
      </c>
      <c r="K1105" t="s">
        <v>3</v>
      </c>
      <c r="L1105" t="s">
        <v>4</v>
      </c>
      <c r="M1105" t="s">
        <v>49</v>
      </c>
      <c r="N1105" t="s">
        <v>4141</v>
      </c>
      <c r="O1105" s="31" t="s">
        <v>4142</v>
      </c>
      <c r="P1105">
        <v>220</v>
      </c>
      <c r="Q1105" t="s">
        <v>92</v>
      </c>
      <c r="R1105">
        <v>1</v>
      </c>
      <c r="S1105" s="31">
        <v>59000</v>
      </c>
      <c r="T1105" s="39">
        <v>70000</v>
      </c>
      <c r="U1105">
        <v>4684</v>
      </c>
      <c r="V1105">
        <v>7000</v>
      </c>
      <c r="W1105">
        <v>0</v>
      </c>
      <c r="X1105" s="39">
        <v>16347</v>
      </c>
      <c r="Y1105">
        <v>0</v>
      </c>
      <c r="Z1105" s="31">
        <v>58316</v>
      </c>
      <c r="AA1105">
        <v>8</v>
      </c>
      <c r="AB1105" s="3">
        <f t="shared" si="53"/>
        <v>58316</v>
      </c>
      <c r="AC1105" t="str">
        <f>IF(AB1105-S1105&lt;0,"YES","NO")</f>
        <v>YES</v>
      </c>
      <c r="AD1105">
        <f>IF(AC1105="NO",0,AB1105-S1105)</f>
        <v>-684</v>
      </c>
      <c r="AE1105" s="43">
        <v>0.08</v>
      </c>
      <c r="AF1105" s="3">
        <f t="shared" si="54"/>
        <v>-633.33333333333326</v>
      </c>
      <c r="AG1105" s="45">
        <f t="shared" si="55"/>
        <v>-696.66666666666663</v>
      </c>
      <c r="AH1105" s="55"/>
    </row>
    <row r="1106" spans="1:34" x14ac:dyDescent="0.25">
      <c r="A1106" t="s">
        <v>4135</v>
      </c>
      <c r="B1106" t="s">
        <v>4136</v>
      </c>
      <c r="C1106" t="s">
        <v>4137</v>
      </c>
      <c r="D1106" t="s">
        <v>4138</v>
      </c>
      <c r="E1106" t="s">
        <v>4139</v>
      </c>
      <c r="F1106" t="s">
        <v>4140</v>
      </c>
      <c r="G1106" t="s">
        <v>5</v>
      </c>
      <c r="H1106" t="s">
        <v>65</v>
      </c>
      <c r="I1106" t="s">
        <v>82</v>
      </c>
      <c r="J1106" t="s">
        <v>83</v>
      </c>
      <c r="K1106" t="s">
        <v>3</v>
      </c>
      <c r="L1106" t="s">
        <v>4</v>
      </c>
      <c r="M1106" t="s">
        <v>49</v>
      </c>
      <c r="N1106" t="s">
        <v>4141</v>
      </c>
      <c r="O1106" s="31" t="s">
        <v>4142</v>
      </c>
      <c r="P1106">
        <v>220</v>
      </c>
      <c r="R1106">
        <v>2</v>
      </c>
      <c r="S1106" s="31">
        <v>150000</v>
      </c>
      <c r="T1106" s="39">
        <v>160000</v>
      </c>
      <c r="U1106">
        <v>10632</v>
      </c>
      <c r="V1106">
        <v>17000</v>
      </c>
      <c r="W1106">
        <v>0</v>
      </c>
      <c r="X1106" s="39">
        <v>37106</v>
      </c>
      <c r="Y1106">
        <v>0</v>
      </c>
      <c r="Z1106" s="31">
        <v>132368</v>
      </c>
      <c r="AA1106">
        <v>8</v>
      </c>
      <c r="AB1106" s="3">
        <f t="shared" si="53"/>
        <v>132368</v>
      </c>
      <c r="AC1106" t="str">
        <f>IF(AB1106-S1106&lt;0,"YES","NO")</f>
        <v>YES</v>
      </c>
      <c r="AD1106">
        <f>IF(AC1106="NO",0,AB1106-S1106)</f>
        <v>-17632</v>
      </c>
      <c r="AE1106" s="43">
        <v>0.08</v>
      </c>
      <c r="AF1106" s="3">
        <f t="shared" si="54"/>
        <v>-16325.925925925925</v>
      </c>
      <c r="AG1106" s="45">
        <f t="shared" si="55"/>
        <v>-17958.518518518518</v>
      </c>
      <c r="AH1106" s="55"/>
    </row>
    <row r="1107" spans="1:34" x14ac:dyDescent="0.25">
      <c r="A1107" t="s">
        <v>4143</v>
      </c>
      <c r="B1107" t="s">
        <v>4136</v>
      </c>
      <c r="C1107" t="s">
        <v>4144</v>
      </c>
      <c r="D1107" t="s">
        <v>4145</v>
      </c>
      <c r="E1107" t="s">
        <v>4146</v>
      </c>
      <c r="F1107" t="s">
        <v>4147</v>
      </c>
      <c r="G1107" t="s">
        <v>5</v>
      </c>
      <c r="H1107" t="s">
        <v>61</v>
      </c>
      <c r="I1107" t="s">
        <v>84</v>
      </c>
      <c r="J1107" t="s">
        <v>85</v>
      </c>
      <c r="K1107" t="s">
        <v>3</v>
      </c>
      <c r="L1107" t="s">
        <v>4</v>
      </c>
      <c r="M1107" t="s">
        <v>49</v>
      </c>
      <c r="N1107" t="s">
        <v>4148</v>
      </c>
      <c r="O1107" s="31" t="s">
        <v>4149</v>
      </c>
      <c r="P1107">
        <v>100</v>
      </c>
      <c r="Q1107" t="s">
        <v>86</v>
      </c>
      <c r="R1107">
        <v>1</v>
      </c>
      <c r="S1107" s="31">
        <v>0</v>
      </c>
      <c r="T1107" s="39">
        <v>0</v>
      </c>
      <c r="U1107">
        <v>0</v>
      </c>
      <c r="V1107">
        <v>0</v>
      </c>
      <c r="W1107">
        <v>0</v>
      </c>
      <c r="X1107" s="39">
        <v>0</v>
      </c>
      <c r="Y1107">
        <v>0</v>
      </c>
      <c r="Z1107" s="31">
        <v>0</v>
      </c>
      <c r="AA1107">
        <v>8</v>
      </c>
      <c r="AB1107" s="3">
        <f t="shared" si="53"/>
        <v>0</v>
      </c>
      <c r="AC1107" t="str">
        <f>IF(AB1107-S1107&lt;0,"YES","NO")</f>
        <v>NO</v>
      </c>
      <c r="AD1107">
        <f>IF(AC1107="NO",0,AB1107-S1107)</f>
        <v>0</v>
      </c>
      <c r="AE1107" s="43">
        <v>0.08</v>
      </c>
      <c r="AF1107" s="3">
        <f t="shared" si="54"/>
        <v>0</v>
      </c>
      <c r="AG1107" s="45">
        <f t="shared" si="55"/>
        <v>0</v>
      </c>
      <c r="AH1107" s="55"/>
    </row>
    <row r="1108" spans="1:34" x14ac:dyDescent="0.25">
      <c r="A1108" t="s">
        <v>4143</v>
      </c>
      <c r="B1108" t="s">
        <v>4136</v>
      </c>
      <c r="C1108" t="s">
        <v>4144</v>
      </c>
      <c r="D1108" t="s">
        <v>4145</v>
      </c>
      <c r="E1108" t="s">
        <v>4146</v>
      </c>
      <c r="F1108" t="s">
        <v>4147</v>
      </c>
      <c r="G1108" t="s">
        <v>5</v>
      </c>
      <c r="H1108" t="s">
        <v>65</v>
      </c>
      <c r="I1108" t="s">
        <v>82</v>
      </c>
      <c r="J1108" t="s">
        <v>83</v>
      </c>
      <c r="K1108" t="s">
        <v>3</v>
      </c>
      <c r="L1108" t="s">
        <v>4</v>
      </c>
      <c r="M1108" t="s">
        <v>49</v>
      </c>
      <c r="N1108" t="s">
        <v>4148</v>
      </c>
      <c r="O1108" s="31" t="s">
        <v>4149</v>
      </c>
      <c r="P1108">
        <v>220</v>
      </c>
      <c r="R1108">
        <v>6</v>
      </c>
      <c r="S1108" s="31">
        <v>450000</v>
      </c>
      <c r="T1108" s="39">
        <v>480000</v>
      </c>
      <c r="U1108">
        <v>75000</v>
      </c>
      <c r="V1108">
        <v>48000</v>
      </c>
      <c r="W1108">
        <v>0</v>
      </c>
      <c r="X1108" s="39">
        <v>153540</v>
      </c>
      <c r="Y1108">
        <v>0</v>
      </c>
      <c r="Z1108" s="31">
        <v>357000</v>
      </c>
      <c r="AA1108">
        <v>8</v>
      </c>
      <c r="AB1108" s="3">
        <f t="shared" si="53"/>
        <v>357000</v>
      </c>
      <c r="AC1108" t="str">
        <f>IF(AB1108-S1108&lt;0,"YES","NO")</f>
        <v>YES</v>
      </c>
      <c r="AD1108">
        <f>IF(AC1108="NO",0,AB1108-S1108)</f>
        <v>-93000</v>
      </c>
      <c r="AE1108" s="43">
        <v>0.08</v>
      </c>
      <c r="AF1108" s="3">
        <f t="shared" si="54"/>
        <v>-86111.111111111109</v>
      </c>
      <c r="AG1108" s="45">
        <f t="shared" si="55"/>
        <v>-94722.222222222234</v>
      </c>
      <c r="AH1108" s="55"/>
    </row>
    <row r="1109" spans="1:34" x14ac:dyDescent="0.25">
      <c r="A1109" t="s">
        <v>4150</v>
      </c>
      <c r="B1109" t="s">
        <v>4128</v>
      </c>
      <c r="C1109" t="s">
        <v>4151</v>
      </c>
      <c r="D1109" t="s">
        <v>4152</v>
      </c>
      <c r="E1109" t="s">
        <v>4153</v>
      </c>
      <c r="F1109" t="s">
        <v>4154</v>
      </c>
      <c r="G1109" t="s">
        <v>5</v>
      </c>
      <c r="H1109" t="s">
        <v>61</v>
      </c>
      <c r="I1109" t="s">
        <v>62</v>
      </c>
      <c r="J1109" t="s">
        <v>63</v>
      </c>
      <c r="K1109" t="s">
        <v>3</v>
      </c>
      <c r="L1109" t="s">
        <v>4</v>
      </c>
      <c r="M1109" t="s">
        <v>49</v>
      </c>
      <c r="N1109" t="s">
        <v>4155</v>
      </c>
      <c r="O1109" s="31" t="s">
        <v>4156</v>
      </c>
      <c r="P1109">
        <v>20000</v>
      </c>
      <c r="Q1109" t="s">
        <v>64</v>
      </c>
      <c r="R1109">
        <v>1</v>
      </c>
      <c r="S1109" s="31">
        <v>0</v>
      </c>
      <c r="T1109" s="39">
        <v>0</v>
      </c>
      <c r="U1109">
        <v>0</v>
      </c>
      <c r="V1109">
        <v>0</v>
      </c>
      <c r="W1109">
        <v>0</v>
      </c>
      <c r="X1109" s="39">
        <v>0</v>
      </c>
      <c r="Y1109">
        <v>0</v>
      </c>
      <c r="Z1109" s="31">
        <v>0</v>
      </c>
      <c r="AA1109">
        <v>8</v>
      </c>
      <c r="AB1109" s="3">
        <f t="shared" si="53"/>
        <v>0</v>
      </c>
      <c r="AC1109" t="str">
        <f>IF(AB1109-S1109&lt;0,"YES","NO")</f>
        <v>NO</v>
      </c>
      <c r="AD1109">
        <f>IF(AC1109="NO",0,AB1109-S1109)</f>
        <v>0</v>
      </c>
      <c r="AE1109" s="43">
        <v>0.08</v>
      </c>
      <c r="AF1109" s="3">
        <f t="shared" si="54"/>
        <v>0</v>
      </c>
      <c r="AG1109" s="45">
        <f t="shared" si="55"/>
        <v>0</v>
      </c>
      <c r="AH1109" s="55"/>
    </row>
    <row r="1110" spans="1:34" x14ac:dyDescent="0.25">
      <c r="A1110" t="s">
        <v>4150</v>
      </c>
      <c r="B1110" t="s">
        <v>4128</v>
      </c>
      <c r="C1110" t="s">
        <v>4151</v>
      </c>
      <c r="D1110" t="s">
        <v>4152</v>
      </c>
      <c r="E1110" t="s">
        <v>4153</v>
      </c>
      <c r="F1110" t="s">
        <v>4154</v>
      </c>
      <c r="G1110" t="s">
        <v>5</v>
      </c>
      <c r="H1110" t="s">
        <v>65</v>
      </c>
      <c r="I1110" t="s">
        <v>68</v>
      </c>
      <c r="J1110" t="s">
        <v>69</v>
      </c>
      <c r="K1110" t="s">
        <v>3</v>
      </c>
      <c r="L1110" t="s">
        <v>4</v>
      </c>
      <c r="M1110" t="s">
        <v>49</v>
      </c>
      <c r="N1110" t="s">
        <v>4155</v>
      </c>
      <c r="O1110" s="31" t="s">
        <v>4156</v>
      </c>
      <c r="P1110">
        <v>220</v>
      </c>
      <c r="Q1110" t="s">
        <v>70</v>
      </c>
      <c r="R1110">
        <v>1</v>
      </c>
      <c r="S1110" s="31">
        <v>59000</v>
      </c>
      <c r="T1110" s="39">
        <v>65000</v>
      </c>
      <c r="U1110">
        <v>11666.67</v>
      </c>
      <c r="V1110">
        <v>6500</v>
      </c>
      <c r="W1110">
        <v>0</v>
      </c>
      <c r="X1110" s="39">
        <v>21033.33</v>
      </c>
      <c r="Y1110">
        <v>0</v>
      </c>
      <c r="Z1110" s="31">
        <v>46833.33</v>
      </c>
      <c r="AA1110">
        <v>8</v>
      </c>
      <c r="AB1110" s="3">
        <f t="shared" si="53"/>
        <v>46833.33</v>
      </c>
      <c r="AC1110" t="str">
        <f>IF(AB1110-S1110&lt;0,"YES","NO")</f>
        <v>YES</v>
      </c>
      <c r="AD1110">
        <f>IF(AC1110="NO",0,AB1110-S1110)</f>
        <v>-12166.669999999998</v>
      </c>
      <c r="AE1110" s="43">
        <v>0.08</v>
      </c>
      <c r="AF1110" s="3">
        <f t="shared" si="54"/>
        <v>-11265.435185185182</v>
      </c>
      <c r="AG1110" s="45">
        <f t="shared" si="55"/>
        <v>-12391.978703703702</v>
      </c>
      <c r="AH1110" s="55"/>
    </row>
    <row r="1111" spans="1:34" x14ac:dyDescent="0.25">
      <c r="A1111" t="s">
        <v>4150</v>
      </c>
      <c r="B1111" t="s">
        <v>4128</v>
      </c>
      <c r="C1111" t="s">
        <v>4151</v>
      </c>
      <c r="D1111" t="s">
        <v>4152</v>
      </c>
      <c r="E1111" t="s">
        <v>4153</v>
      </c>
      <c r="F1111" t="s">
        <v>4154</v>
      </c>
      <c r="G1111" t="s">
        <v>5</v>
      </c>
      <c r="H1111" t="s">
        <v>65</v>
      </c>
      <c r="I1111" t="s">
        <v>71</v>
      </c>
      <c r="J1111" t="s">
        <v>72</v>
      </c>
      <c r="K1111" t="s">
        <v>3</v>
      </c>
      <c r="L1111" t="s">
        <v>4</v>
      </c>
      <c r="M1111" t="s">
        <v>49</v>
      </c>
      <c r="N1111" t="s">
        <v>4155</v>
      </c>
      <c r="O1111" s="31" t="s">
        <v>4156</v>
      </c>
      <c r="P1111">
        <v>220</v>
      </c>
      <c r="Q1111" t="s">
        <v>70</v>
      </c>
      <c r="R1111">
        <v>1</v>
      </c>
      <c r="S1111" s="31">
        <v>59000</v>
      </c>
      <c r="T1111" s="39">
        <v>65000</v>
      </c>
      <c r="U1111">
        <v>11666.67</v>
      </c>
      <c r="V1111">
        <v>6500</v>
      </c>
      <c r="W1111">
        <v>0</v>
      </c>
      <c r="X1111" s="39">
        <v>21033.33</v>
      </c>
      <c r="Y1111">
        <v>0</v>
      </c>
      <c r="Z1111" s="31">
        <v>46833.33</v>
      </c>
      <c r="AA1111">
        <v>8</v>
      </c>
      <c r="AB1111" s="3">
        <f t="shared" si="53"/>
        <v>46833.33</v>
      </c>
      <c r="AC1111" t="str">
        <f>IF(AB1111-S1111&lt;0,"YES","NO")</f>
        <v>YES</v>
      </c>
      <c r="AD1111">
        <f>IF(AC1111="NO",0,AB1111-S1111)</f>
        <v>-12166.669999999998</v>
      </c>
      <c r="AE1111" s="43">
        <v>0.08</v>
      </c>
      <c r="AF1111" s="3">
        <f t="shared" si="54"/>
        <v>-11265.435185185182</v>
      </c>
      <c r="AG1111" s="45">
        <f t="shared" si="55"/>
        <v>-12391.978703703702</v>
      </c>
      <c r="AH1111" s="55"/>
    </row>
    <row r="1112" spans="1:34" x14ac:dyDescent="0.25">
      <c r="A1112" t="s">
        <v>4150</v>
      </c>
      <c r="B1112" t="s">
        <v>4128</v>
      </c>
      <c r="C1112" t="s">
        <v>4151</v>
      </c>
      <c r="D1112" t="s">
        <v>4152</v>
      </c>
      <c r="E1112" t="s">
        <v>4153</v>
      </c>
      <c r="F1112" t="s">
        <v>4154</v>
      </c>
      <c r="G1112" t="s">
        <v>5</v>
      </c>
      <c r="H1112" t="s">
        <v>65</v>
      </c>
      <c r="I1112" t="s">
        <v>73</v>
      </c>
      <c r="J1112" t="s">
        <v>74</v>
      </c>
      <c r="K1112" t="s">
        <v>3</v>
      </c>
      <c r="L1112" t="s">
        <v>4</v>
      </c>
      <c r="M1112" t="s">
        <v>49</v>
      </c>
      <c r="N1112" t="s">
        <v>4155</v>
      </c>
      <c r="O1112" s="31" t="s">
        <v>4156</v>
      </c>
      <c r="P1112">
        <v>220</v>
      </c>
      <c r="Q1112" t="s">
        <v>70</v>
      </c>
      <c r="R1112">
        <v>1</v>
      </c>
      <c r="S1112" s="31">
        <v>59000</v>
      </c>
      <c r="T1112" s="39">
        <v>65000</v>
      </c>
      <c r="U1112">
        <v>11666.67</v>
      </c>
      <c r="V1112">
        <v>6500</v>
      </c>
      <c r="W1112">
        <v>0</v>
      </c>
      <c r="X1112" s="39">
        <v>21033.33</v>
      </c>
      <c r="Y1112">
        <v>0</v>
      </c>
      <c r="Z1112" s="31">
        <v>46833.33</v>
      </c>
      <c r="AA1112">
        <v>8</v>
      </c>
      <c r="AB1112" s="3">
        <f t="shared" si="53"/>
        <v>46833.33</v>
      </c>
      <c r="AC1112" t="str">
        <f>IF(AB1112-S1112&lt;0,"YES","NO")</f>
        <v>YES</v>
      </c>
      <c r="AD1112">
        <f>IF(AC1112="NO",0,AB1112-S1112)</f>
        <v>-12166.669999999998</v>
      </c>
      <c r="AE1112" s="43">
        <v>0.08</v>
      </c>
      <c r="AF1112" s="3">
        <f t="shared" si="54"/>
        <v>-11265.435185185182</v>
      </c>
      <c r="AG1112" s="45">
        <f t="shared" si="55"/>
        <v>-12391.978703703702</v>
      </c>
      <c r="AH1112" s="55"/>
    </row>
    <row r="1113" spans="1:34" x14ac:dyDescent="0.25">
      <c r="A1113" t="s">
        <v>4157</v>
      </c>
      <c r="B1113" t="s">
        <v>4136</v>
      </c>
      <c r="C1113" t="s">
        <v>4158</v>
      </c>
      <c r="D1113" t="s">
        <v>4159</v>
      </c>
      <c r="E1113" t="s">
        <v>4160</v>
      </c>
      <c r="F1113" t="s">
        <v>4161</v>
      </c>
      <c r="G1113" t="s">
        <v>5</v>
      </c>
      <c r="H1113" t="s">
        <v>65</v>
      </c>
      <c r="I1113" t="s">
        <v>68</v>
      </c>
      <c r="J1113" t="s">
        <v>69</v>
      </c>
      <c r="K1113" t="s">
        <v>3</v>
      </c>
      <c r="L1113" t="s">
        <v>4</v>
      </c>
      <c r="M1113" t="s">
        <v>49</v>
      </c>
      <c r="N1113" t="s">
        <v>4162</v>
      </c>
      <c r="O1113" s="31" t="s">
        <v>4163</v>
      </c>
      <c r="P1113">
        <v>220</v>
      </c>
      <c r="Q1113" t="s">
        <v>70</v>
      </c>
      <c r="R1113">
        <v>2</v>
      </c>
      <c r="S1113" s="31">
        <v>118000</v>
      </c>
      <c r="T1113" s="39">
        <v>130000</v>
      </c>
      <c r="U1113">
        <v>6187</v>
      </c>
      <c r="V1113">
        <v>14000</v>
      </c>
      <c r="W1113">
        <v>0</v>
      </c>
      <c r="X1113" s="39">
        <v>30344</v>
      </c>
      <c r="Y1113">
        <v>0</v>
      </c>
      <c r="Z1113" s="31">
        <v>109813</v>
      </c>
      <c r="AA1113">
        <v>8</v>
      </c>
      <c r="AB1113" s="3">
        <f t="shared" si="53"/>
        <v>109813</v>
      </c>
      <c r="AC1113" t="str">
        <f>IF(AB1113-S1113&lt;0,"YES","NO")</f>
        <v>YES</v>
      </c>
      <c r="AD1113">
        <f>IF(AC1113="NO",0,AB1113-S1113)</f>
        <v>-8187</v>
      </c>
      <c r="AE1113" s="43">
        <v>0.08</v>
      </c>
      <c r="AF1113" s="3">
        <f t="shared" si="54"/>
        <v>-7580.5555555555547</v>
      </c>
      <c r="AG1113" s="45">
        <f t="shared" si="55"/>
        <v>-8338.6111111111113</v>
      </c>
      <c r="AH1113" s="55"/>
    </row>
    <row r="1114" spans="1:34" x14ac:dyDescent="0.25">
      <c r="A1114" t="s">
        <v>4157</v>
      </c>
      <c r="B1114" t="s">
        <v>4136</v>
      </c>
      <c r="C1114" t="s">
        <v>4158</v>
      </c>
      <c r="D1114" t="s">
        <v>4159</v>
      </c>
      <c r="E1114" t="s">
        <v>4160</v>
      </c>
      <c r="F1114" t="s">
        <v>4161</v>
      </c>
      <c r="G1114" t="s">
        <v>5</v>
      </c>
      <c r="H1114" t="s">
        <v>65</v>
      </c>
      <c r="I1114" t="s">
        <v>73</v>
      </c>
      <c r="J1114" t="s">
        <v>74</v>
      </c>
      <c r="K1114" t="s">
        <v>3</v>
      </c>
      <c r="L1114" t="s">
        <v>4</v>
      </c>
      <c r="M1114" t="s">
        <v>49</v>
      </c>
      <c r="N1114" t="s">
        <v>4162</v>
      </c>
      <c r="O1114" s="31" t="s">
        <v>4163</v>
      </c>
      <c r="P1114">
        <v>220</v>
      </c>
      <c r="Q1114" t="s">
        <v>70</v>
      </c>
      <c r="R1114">
        <v>2</v>
      </c>
      <c r="S1114" s="31">
        <v>118000</v>
      </c>
      <c r="T1114" s="39">
        <v>130000</v>
      </c>
      <c r="U1114">
        <v>6186</v>
      </c>
      <c r="V1114">
        <v>14000</v>
      </c>
      <c r="W1114">
        <v>0</v>
      </c>
      <c r="X1114" s="39">
        <v>30346</v>
      </c>
      <c r="Y1114">
        <v>0</v>
      </c>
      <c r="Z1114" s="31">
        <v>109814</v>
      </c>
      <c r="AA1114">
        <v>8</v>
      </c>
      <c r="AB1114" s="3">
        <f t="shared" si="53"/>
        <v>109814</v>
      </c>
      <c r="AC1114" t="str">
        <f>IF(AB1114-S1114&lt;0,"YES","NO")</f>
        <v>YES</v>
      </c>
      <c r="AD1114">
        <f>IF(AC1114="NO",0,AB1114-S1114)</f>
        <v>-8186</v>
      </c>
      <c r="AE1114" s="43">
        <v>0.08</v>
      </c>
      <c r="AF1114" s="3">
        <f t="shared" si="54"/>
        <v>-7579.6296296296296</v>
      </c>
      <c r="AG1114" s="45">
        <f t="shared" si="55"/>
        <v>-8337.5925925925931</v>
      </c>
      <c r="AH1114" s="55"/>
    </row>
    <row r="1115" spans="1:34" x14ac:dyDescent="0.25">
      <c r="A1115" t="s">
        <v>4157</v>
      </c>
      <c r="B1115" t="s">
        <v>4136</v>
      </c>
      <c r="C1115" t="s">
        <v>4158</v>
      </c>
      <c r="D1115" t="s">
        <v>4159</v>
      </c>
      <c r="E1115" t="s">
        <v>4160</v>
      </c>
      <c r="F1115" t="s">
        <v>4161</v>
      </c>
      <c r="G1115" t="s">
        <v>5</v>
      </c>
      <c r="H1115" t="s">
        <v>65</v>
      </c>
      <c r="I1115" t="s">
        <v>66</v>
      </c>
      <c r="J1115" t="s">
        <v>67</v>
      </c>
      <c r="K1115" t="s">
        <v>3</v>
      </c>
      <c r="L1115" t="s">
        <v>4</v>
      </c>
      <c r="M1115" t="s">
        <v>49</v>
      </c>
      <c r="N1115" t="s">
        <v>4162</v>
      </c>
      <c r="O1115" s="31" t="s">
        <v>4163</v>
      </c>
      <c r="P1115">
        <v>220</v>
      </c>
      <c r="R1115">
        <v>2</v>
      </c>
      <c r="S1115" s="31">
        <v>150000</v>
      </c>
      <c r="T1115" s="39">
        <v>160000</v>
      </c>
      <c r="U1115">
        <v>7627</v>
      </c>
      <c r="V1115">
        <v>17000</v>
      </c>
      <c r="W1115">
        <v>0</v>
      </c>
      <c r="X1115" s="39">
        <v>37410</v>
      </c>
      <c r="Y1115">
        <v>0</v>
      </c>
      <c r="Z1115" s="31">
        <v>135373</v>
      </c>
      <c r="AA1115">
        <v>8</v>
      </c>
      <c r="AB1115" s="3">
        <f t="shared" si="53"/>
        <v>135373</v>
      </c>
      <c r="AC1115" t="str">
        <f>IF(AB1115-S1115&lt;0,"YES","NO")</f>
        <v>YES</v>
      </c>
      <c r="AD1115">
        <f>IF(AC1115="NO",0,AB1115-S1115)</f>
        <v>-14627</v>
      </c>
      <c r="AE1115" s="43">
        <v>0.08</v>
      </c>
      <c r="AF1115" s="3">
        <f t="shared" si="54"/>
        <v>-13543.518518518518</v>
      </c>
      <c r="AG1115" s="45">
        <f t="shared" si="55"/>
        <v>-14897.87037037037</v>
      </c>
      <c r="AH1115" s="55"/>
    </row>
    <row r="1116" spans="1:34" x14ac:dyDescent="0.25">
      <c r="A1116" t="s">
        <v>4164</v>
      </c>
      <c r="B1116" t="s">
        <v>4165</v>
      </c>
      <c r="C1116" t="s">
        <v>4166</v>
      </c>
      <c r="D1116" t="s">
        <v>4167</v>
      </c>
      <c r="E1116" t="s">
        <v>4168</v>
      </c>
      <c r="F1116" t="s">
        <v>4169</v>
      </c>
      <c r="G1116" t="s">
        <v>5</v>
      </c>
      <c r="H1116" t="s">
        <v>61</v>
      </c>
      <c r="I1116" t="s">
        <v>62</v>
      </c>
      <c r="J1116" t="s">
        <v>63</v>
      </c>
      <c r="K1116" t="s">
        <v>3</v>
      </c>
      <c r="L1116" t="s">
        <v>4</v>
      </c>
      <c r="M1116" t="s">
        <v>49</v>
      </c>
      <c r="N1116" t="s">
        <v>4170</v>
      </c>
      <c r="O1116" s="31" t="s">
        <v>4171</v>
      </c>
      <c r="P1116">
        <v>20000</v>
      </c>
      <c r="Q1116" t="s">
        <v>64</v>
      </c>
      <c r="R1116">
        <v>1</v>
      </c>
      <c r="S1116" s="31">
        <v>0</v>
      </c>
      <c r="T1116" s="39">
        <v>0</v>
      </c>
      <c r="U1116">
        <v>0</v>
      </c>
      <c r="V1116">
        <v>0</v>
      </c>
      <c r="W1116">
        <v>0</v>
      </c>
      <c r="X1116" s="39">
        <v>0</v>
      </c>
      <c r="Y1116">
        <v>0</v>
      </c>
      <c r="Z1116" s="31">
        <v>0</v>
      </c>
      <c r="AA1116">
        <v>8</v>
      </c>
      <c r="AB1116" s="3">
        <f t="shared" si="53"/>
        <v>0</v>
      </c>
      <c r="AC1116" t="str">
        <f>IF(AB1116-S1116&lt;0,"YES","NO")</f>
        <v>NO</v>
      </c>
      <c r="AD1116">
        <f>IF(AC1116="NO",0,AB1116-S1116)</f>
        <v>0</v>
      </c>
      <c r="AE1116" s="43">
        <v>0.08</v>
      </c>
      <c r="AF1116" s="3">
        <f t="shared" si="54"/>
        <v>0</v>
      </c>
      <c r="AG1116" s="45">
        <f t="shared" si="55"/>
        <v>0</v>
      </c>
      <c r="AH1116" s="55"/>
    </row>
    <row r="1117" spans="1:34" x14ac:dyDescent="0.25">
      <c r="A1117" t="s">
        <v>4164</v>
      </c>
      <c r="B1117" t="s">
        <v>4165</v>
      </c>
      <c r="C1117" t="s">
        <v>4166</v>
      </c>
      <c r="D1117" t="s">
        <v>4167</v>
      </c>
      <c r="E1117" t="s">
        <v>4168</v>
      </c>
      <c r="F1117" t="s">
        <v>4169</v>
      </c>
      <c r="G1117" t="s">
        <v>5</v>
      </c>
      <c r="H1117" t="s">
        <v>65</v>
      </c>
      <c r="I1117" t="s">
        <v>66</v>
      </c>
      <c r="J1117" t="s">
        <v>67</v>
      </c>
      <c r="K1117" t="s">
        <v>3</v>
      </c>
      <c r="L1117" t="s">
        <v>4</v>
      </c>
      <c r="M1117" t="s">
        <v>49</v>
      </c>
      <c r="N1117" t="s">
        <v>4170</v>
      </c>
      <c r="O1117" s="31" t="s">
        <v>4171</v>
      </c>
      <c r="P1117">
        <v>220</v>
      </c>
      <c r="R1117">
        <v>3</v>
      </c>
      <c r="S1117" s="31">
        <v>225000</v>
      </c>
      <c r="T1117" s="39">
        <v>240000</v>
      </c>
      <c r="U1117">
        <v>35000.01</v>
      </c>
      <c r="V1117">
        <v>24000</v>
      </c>
      <c r="W1117">
        <v>0</v>
      </c>
      <c r="X1117" s="39">
        <v>74820</v>
      </c>
      <c r="Y1117">
        <v>0</v>
      </c>
      <c r="Z1117" s="31">
        <v>180999.99</v>
      </c>
      <c r="AA1117">
        <v>8</v>
      </c>
      <c r="AB1117" s="3">
        <f t="shared" si="53"/>
        <v>180999.99</v>
      </c>
      <c r="AC1117" t="str">
        <f>IF(AB1117-S1117&lt;0,"YES","NO")</f>
        <v>YES</v>
      </c>
      <c r="AD1117">
        <f>IF(AC1117="NO",0,AB1117-S1117)</f>
        <v>-44000.010000000009</v>
      </c>
      <c r="AE1117" s="43">
        <v>0.08</v>
      </c>
      <c r="AF1117" s="3">
        <f t="shared" si="54"/>
        <v>-40740.750000000007</v>
      </c>
      <c r="AG1117" s="45">
        <f t="shared" si="55"/>
        <v>-44814.825000000012</v>
      </c>
      <c r="AH1117" s="55"/>
    </row>
    <row r="1118" spans="1:34" x14ac:dyDescent="0.25">
      <c r="A1118" t="s">
        <v>4172</v>
      </c>
      <c r="B1118" t="s">
        <v>4128</v>
      </c>
      <c r="C1118" t="s">
        <v>4173</v>
      </c>
      <c r="D1118" t="s">
        <v>4174</v>
      </c>
      <c r="E1118" t="s">
        <v>4175</v>
      </c>
      <c r="F1118" t="s">
        <v>4176</v>
      </c>
      <c r="G1118" t="s">
        <v>5</v>
      </c>
      <c r="H1118" t="s">
        <v>61</v>
      </c>
      <c r="I1118" t="s">
        <v>62</v>
      </c>
      <c r="J1118" t="s">
        <v>63</v>
      </c>
      <c r="K1118" t="s">
        <v>3</v>
      </c>
      <c r="L1118" t="s">
        <v>4</v>
      </c>
      <c r="M1118" t="s">
        <v>49</v>
      </c>
      <c r="N1118" t="s">
        <v>4177</v>
      </c>
      <c r="O1118" s="31" t="s">
        <v>4178</v>
      </c>
      <c r="P1118">
        <v>20000</v>
      </c>
      <c r="Q1118" t="s">
        <v>64</v>
      </c>
      <c r="R1118">
        <v>1</v>
      </c>
      <c r="S1118" s="31">
        <v>0</v>
      </c>
      <c r="T1118" s="39">
        <v>0</v>
      </c>
      <c r="U1118">
        <v>0</v>
      </c>
      <c r="V1118">
        <v>0</v>
      </c>
      <c r="W1118">
        <v>0</v>
      </c>
      <c r="X1118" s="39">
        <v>0</v>
      </c>
      <c r="Y1118">
        <v>0</v>
      </c>
      <c r="Z1118" s="31">
        <v>0</v>
      </c>
      <c r="AA1118">
        <v>8</v>
      </c>
      <c r="AB1118" s="3">
        <f t="shared" si="53"/>
        <v>0</v>
      </c>
      <c r="AC1118" t="str">
        <f>IF(AB1118-S1118&lt;0,"YES","NO")</f>
        <v>NO</v>
      </c>
      <c r="AD1118">
        <f>IF(AC1118="NO",0,AB1118-S1118)</f>
        <v>0</v>
      </c>
      <c r="AE1118" s="43">
        <v>0.08</v>
      </c>
      <c r="AF1118" s="3">
        <f t="shared" si="54"/>
        <v>0</v>
      </c>
      <c r="AG1118" s="45">
        <f t="shared" si="55"/>
        <v>0</v>
      </c>
      <c r="AH1118" s="55"/>
    </row>
    <row r="1119" spans="1:34" x14ac:dyDescent="0.25">
      <c r="A1119" t="s">
        <v>4172</v>
      </c>
      <c r="B1119" t="s">
        <v>4128</v>
      </c>
      <c r="C1119" t="s">
        <v>4173</v>
      </c>
      <c r="D1119" t="s">
        <v>4174</v>
      </c>
      <c r="E1119" t="s">
        <v>4175</v>
      </c>
      <c r="F1119" t="s">
        <v>4176</v>
      </c>
      <c r="G1119" t="s">
        <v>5</v>
      </c>
      <c r="H1119" t="s">
        <v>65</v>
      </c>
      <c r="I1119" t="s">
        <v>68</v>
      </c>
      <c r="J1119" t="s">
        <v>69</v>
      </c>
      <c r="K1119" t="s">
        <v>3</v>
      </c>
      <c r="L1119" t="s">
        <v>4</v>
      </c>
      <c r="M1119" t="s">
        <v>49</v>
      </c>
      <c r="N1119" t="s">
        <v>4177</v>
      </c>
      <c r="O1119" s="31" t="s">
        <v>4178</v>
      </c>
      <c r="P1119">
        <v>220</v>
      </c>
      <c r="Q1119" t="s">
        <v>70</v>
      </c>
      <c r="R1119">
        <v>1</v>
      </c>
      <c r="S1119" s="31">
        <v>59000</v>
      </c>
      <c r="T1119" s="39">
        <v>65000</v>
      </c>
      <c r="U1119">
        <v>11666.67</v>
      </c>
      <c r="V1119">
        <v>6500</v>
      </c>
      <c r="W1119">
        <v>0</v>
      </c>
      <c r="X1119" s="39">
        <v>21033.33</v>
      </c>
      <c r="Y1119">
        <v>0</v>
      </c>
      <c r="Z1119" s="31">
        <v>46833.33</v>
      </c>
      <c r="AA1119">
        <v>8</v>
      </c>
      <c r="AB1119" s="3">
        <f t="shared" si="53"/>
        <v>46833.33</v>
      </c>
      <c r="AC1119" t="str">
        <f>IF(AB1119-S1119&lt;0,"YES","NO")</f>
        <v>YES</v>
      </c>
      <c r="AD1119">
        <f>IF(AC1119="NO",0,AB1119-S1119)</f>
        <v>-12166.669999999998</v>
      </c>
      <c r="AE1119" s="43">
        <v>0.08</v>
      </c>
      <c r="AF1119" s="3">
        <f t="shared" si="54"/>
        <v>-11265.435185185182</v>
      </c>
      <c r="AG1119" s="45">
        <f t="shared" si="55"/>
        <v>-12391.978703703702</v>
      </c>
      <c r="AH1119" s="55"/>
    </row>
    <row r="1120" spans="1:34" x14ac:dyDescent="0.25">
      <c r="A1120" t="s">
        <v>4172</v>
      </c>
      <c r="B1120" t="s">
        <v>4128</v>
      </c>
      <c r="C1120" t="s">
        <v>4173</v>
      </c>
      <c r="D1120" t="s">
        <v>4174</v>
      </c>
      <c r="E1120" t="s">
        <v>4175</v>
      </c>
      <c r="F1120" t="s">
        <v>4176</v>
      </c>
      <c r="G1120" t="s">
        <v>5</v>
      </c>
      <c r="H1120" t="s">
        <v>65</v>
      </c>
      <c r="I1120" t="s">
        <v>71</v>
      </c>
      <c r="J1120" t="s">
        <v>72</v>
      </c>
      <c r="K1120" t="s">
        <v>3</v>
      </c>
      <c r="L1120" t="s">
        <v>4</v>
      </c>
      <c r="M1120" t="s">
        <v>49</v>
      </c>
      <c r="N1120" t="s">
        <v>4177</v>
      </c>
      <c r="O1120" s="31" t="s">
        <v>4178</v>
      </c>
      <c r="P1120">
        <v>220</v>
      </c>
      <c r="Q1120" t="s">
        <v>70</v>
      </c>
      <c r="R1120">
        <v>1</v>
      </c>
      <c r="S1120" s="31">
        <v>59000</v>
      </c>
      <c r="T1120" s="39">
        <v>65000</v>
      </c>
      <c r="U1120">
        <v>11666.67</v>
      </c>
      <c r="V1120">
        <v>6500</v>
      </c>
      <c r="W1120">
        <v>0</v>
      </c>
      <c r="X1120" s="39">
        <v>21033.33</v>
      </c>
      <c r="Y1120">
        <v>0</v>
      </c>
      <c r="Z1120" s="31">
        <v>46833.33</v>
      </c>
      <c r="AA1120">
        <v>8</v>
      </c>
      <c r="AB1120" s="3">
        <f t="shared" si="53"/>
        <v>46833.33</v>
      </c>
      <c r="AC1120" t="str">
        <f>IF(AB1120-S1120&lt;0,"YES","NO")</f>
        <v>YES</v>
      </c>
      <c r="AD1120">
        <f>IF(AC1120="NO",0,AB1120-S1120)</f>
        <v>-12166.669999999998</v>
      </c>
      <c r="AE1120" s="43">
        <v>0.08</v>
      </c>
      <c r="AF1120" s="3">
        <f t="shared" si="54"/>
        <v>-11265.435185185182</v>
      </c>
      <c r="AG1120" s="45">
        <f t="shared" si="55"/>
        <v>-12391.978703703702</v>
      </c>
      <c r="AH1120" s="55"/>
    </row>
    <row r="1121" spans="1:34" x14ac:dyDescent="0.25">
      <c r="A1121" t="s">
        <v>4172</v>
      </c>
      <c r="B1121" t="s">
        <v>4128</v>
      </c>
      <c r="C1121" t="s">
        <v>4173</v>
      </c>
      <c r="D1121" t="s">
        <v>4174</v>
      </c>
      <c r="E1121" t="s">
        <v>4175</v>
      </c>
      <c r="F1121" t="s">
        <v>4176</v>
      </c>
      <c r="G1121" t="s">
        <v>5</v>
      </c>
      <c r="H1121" t="s">
        <v>65</v>
      </c>
      <c r="I1121" t="s">
        <v>73</v>
      </c>
      <c r="J1121" t="s">
        <v>74</v>
      </c>
      <c r="K1121" t="s">
        <v>3</v>
      </c>
      <c r="L1121" t="s">
        <v>4</v>
      </c>
      <c r="M1121" t="s">
        <v>49</v>
      </c>
      <c r="N1121" t="s">
        <v>4177</v>
      </c>
      <c r="O1121" s="31" t="s">
        <v>4178</v>
      </c>
      <c r="P1121">
        <v>220</v>
      </c>
      <c r="Q1121" t="s">
        <v>70</v>
      </c>
      <c r="R1121">
        <v>1</v>
      </c>
      <c r="S1121" s="31">
        <v>59000</v>
      </c>
      <c r="T1121" s="39">
        <v>65000</v>
      </c>
      <c r="U1121">
        <v>11666.67</v>
      </c>
      <c r="V1121">
        <v>6500</v>
      </c>
      <c r="W1121">
        <v>0</v>
      </c>
      <c r="X1121" s="39">
        <v>21033.33</v>
      </c>
      <c r="Y1121">
        <v>0</v>
      </c>
      <c r="Z1121" s="31">
        <v>46833.33</v>
      </c>
      <c r="AA1121">
        <v>8</v>
      </c>
      <c r="AB1121" s="3">
        <f t="shared" si="53"/>
        <v>46833.33</v>
      </c>
      <c r="AC1121" t="str">
        <f>IF(AB1121-S1121&lt;0,"YES","NO")</f>
        <v>YES</v>
      </c>
      <c r="AD1121">
        <f>IF(AC1121="NO",0,AB1121-S1121)</f>
        <v>-12166.669999999998</v>
      </c>
      <c r="AE1121" s="43">
        <v>0.08</v>
      </c>
      <c r="AF1121" s="3">
        <f t="shared" si="54"/>
        <v>-11265.435185185182</v>
      </c>
      <c r="AG1121" s="45">
        <f t="shared" si="55"/>
        <v>-12391.978703703702</v>
      </c>
      <c r="AH1121" s="55"/>
    </row>
    <row r="1122" spans="1:34" x14ac:dyDescent="0.25">
      <c r="A1122" t="s">
        <v>4179</v>
      </c>
      <c r="B1122" t="s">
        <v>4120</v>
      </c>
      <c r="C1122" t="s">
        <v>4180</v>
      </c>
      <c r="D1122" t="s">
        <v>4181</v>
      </c>
      <c r="E1122" t="s">
        <v>4182</v>
      </c>
      <c r="F1122" t="s">
        <v>4183</v>
      </c>
      <c r="G1122" t="s">
        <v>5</v>
      </c>
      <c r="H1122" t="s">
        <v>65</v>
      </c>
      <c r="I1122" t="s">
        <v>66</v>
      </c>
      <c r="J1122" t="s">
        <v>67</v>
      </c>
      <c r="K1122" t="s">
        <v>3</v>
      </c>
      <c r="L1122" t="s">
        <v>4</v>
      </c>
      <c r="M1122" t="s">
        <v>49</v>
      </c>
      <c r="N1122" t="s">
        <v>4184</v>
      </c>
      <c r="O1122" s="31" t="s">
        <v>4185</v>
      </c>
      <c r="P1122">
        <v>220</v>
      </c>
      <c r="R1122">
        <v>2</v>
      </c>
      <c r="S1122" s="31">
        <v>150000</v>
      </c>
      <c r="T1122" s="39">
        <v>160000</v>
      </c>
      <c r="U1122">
        <v>20000</v>
      </c>
      <c r="V1122">
        <v>17000</v>
      </c>
      <c r="W1122">
        <v>0</v>
      </c>
      <c r="X1122" s="39">
        <v>50326</v>
      </c>
      <c r="Y1122">
        <v>0</v>
      </c>
      <c r="Z1122" s="31">
        <v>123000</v>
      </c>
      <c r="AA1122">
        <v>8</v>
      </c>
      <c r="AB1122" s="3">
        <f t="shared" si="53"/>
        <v>123000</v>
      </c>
      <c r="AC1122" t="str">
        <f>IF(AB1122-S1122&lt;0,"YES","NO")</f>
        <v>YES</v>
      </c>
      <c r="AD1122">
        <f>IF(AC1122="NO",0,AB1122-S1122)</f>
        <v>-27000</v>
      </c>
      <c r="AE1122" s="43">
        <v>0.08</v>
      </c>
      <c r="AF1122" s="3">
        <f t="shared" si="54"/>
        <v>-25000</v>
      </c>
      <c r="AG1122" s="45">
        <f t="shared" si="55"/>
        <v>-27500.000000000004</v>
      </c>
      <c r="AH1122" s="55"/>
    </row>
    <row r="1123" spans="1:34" x14ac:dyDescent="0.25">
      <c r="A1123" t="s">
        <v>4186</v>
      </c>
      <c r="B1123" t="s">
        <v>4120</v>
      </c>
      <c r="C1123" t="s">
        <v>4187</v>
      </c>
      <c r="D1123" t="s">
        <v>4188</v>
      </c>
      <c r="E1123" t="s">
        <v>4189</v>
      </c>
      <c r="F1123" t="s">
        <v>4190</v>
      </c>
      <c r="G1123" t="s">
        <v>5</v>
      </c>
      <c r="H1123" t="s">
        <v>61</v>
      </c>
      <c r="I1123" t="s">
        <v>62</v>
      </c>
      <c r="J1123" t="s">
        <v>63</v>
      </c>
      <c r="K1123" t="s">
        <v>3</v>
      </c>
      <c r="L1123" t="s">
        <v>4</v>
      </c>
      <c r="M1123" t="s">
        <v>49</v>
      </c>
      <c r="N1123" t="s">
        <v>4191</v>
      </c>
      <c r="O1123" s="31" t="s">
        <v>4192</v>
      </c>
      <c r="P1123">
        <v>20000</v>
      </c>
      <c r="Q1123" t="s">
        <v>64</v>
      </c>
      <c r="R1123">
        <v>1</v>
      </c>
      <c r="S1123" s="31">
        <v>0</v>
      </c>
      <c r="T1123" s="39">
        <v>0</v>
      </c>
      <c r="U1123">
        <v>0</v>
      </c>
      <c r="V1123">
        <v>0</v>
      </c>
      <c r="W1123">
        <v>0</v>
      </c>
      <c r="X1123" s="39">
        <v>0</v>
      </c>
      <c r="Y1123">
        <v>0</v>
      </c>
      <c r="Z1123" s="31">
        <v>0</v>
      </c>
      <c r="AA1123">
        <v>8</v>
      </c>
      <c r="AB1123" s="3">
        <f t="shared" si="53"/>
        <v>0</v>
      </c>
      <c r="AC1123" t="str">
        <f>IF(AB1123-S1123&lt;0,"YES","NO")</f>
        <v>NO</v>
      </c>
      <c r="AD1123">
        <f>IF(AC1123="NO",0,AB1123-S1123)</f>
        <v>0</v>
      </c>
      <c r="AE1123" s="43">
        <v>0.08</v>
      </c>
      <c r="AF1123" s="3">
        <f t="shared" si="54"/>
        <v>0</v>
      </c>
      <c r="AG1123" s="45">
        <f t="shared" si="55"/>
        <v>0</v>
      </c>
      <c r="AH1123" s="55"/>
    </row>
    <row r="1124" spans="1:34" x14ac:dyDescent="0.25">
      <c r="A1124" t="s">
        <v>4186</v>
      </c>
      <c r="B1124" t="s">
        <v>4120</v>
      </c>
      <c r="C1124" t="s">
        <v>4187</v>
      </c>
      <c r="D1124" t="s">
        <v>4188</v>
      </c>
      <c r="E1124" t="s">
        <v>4189</v>
      </c>
      <c r="F1124" t="s">
        <v>4190</v>
      </c>
      <c r="G1124" t="s">
        <v>5</v>
      </c>
      <c r="H1124" t="s">
        <v>65</v>
      </c>
      <c r="I1124" t="s">
        <v>66</v>
      </c>
      <c r="J1124" t="s">
        <v>67</v>
      </c>
      <c r="K1124" t="s">
        <v>3</v>
      </c>
      <c r="L1124" t="s">
        <v>4</v>
      </c>
      <c r="M1124" t="s">
        <v>49</v>
      </c>
      <c r="N1124" t="s">
        <v>4191</v>
      </c>
      <c r="O1124" s="31" t="s">
        <v>4192</v>
      </c>
      <c r="P1124">
        <v>220</v>
      </c>
      <c r="R1124">
        <v>6</v>
      </c>
      <c r="S1124" s="31">
        <v>450000</v>
      </c>
      <c r="T1124" s="39">
        <v>480000</v>
      </c>
      <c r="U1124">
        <v>79999.98</v>
      </c>
      <c r="V1124">
        <v>48000</v>
      </c>
      <c r="W1124">
        <v>0</v>
      </c>
      <c r="X1124" s="39">
        <v>168000</v>
      </c>
      <c r="Y1124">
        <v>0</v>
      </c>
      <c r="Z1124" s="31">
        <v>352000.02</v>
      </c>
      <c r="AA1124">
        <v>8</v>
      </c>
      <c r="AB1124" s="3">
        <f t="shared" si="53"/>
        <v>352000.02</v>
      </c>
      <c r="AC1124" t="str">
        <f>IF(AB1124-S1124&lt;0,"YES","NO")</f>
        <v>YES</v>
      </c>
      <c r="AD1124">
        <f>IF(AC1124="NO",0,AB1124-S1124)</f>
        <v>-97999.979999999981</v>
      </c>
      <c r="AE1124" s="43">
        <v>0.08</v>
      </c>
      <c r="AF1124" s="3">
        <f t="shared" si="54"/>
        <v>-90740.722222222204</v>
      </c>
      <c r="AG1124" s="45">
        <f t="shared" si="55"/>
        <v>-99814.794444444429</v>
      </c>
      <c r="AH1124" s="55"/>
    </row>
    <row r="1125" spans="1:34" x14ac:dyDescent="0.25">
      <c r="A1125" t="s">
        <v>4193</v>
      </c>
      <c r="B1125" t="s">
        <v>4104</v>
      </c>
      <c r="C1125" t="s">
        <v>4194</v>
      </c>
      <c r="D1125" t="s">
        <v>4195</v>
      </c>
      <c r="E1125" t="s">
        <v>4196</v>
      </c>
      <c r="F1125" t="s">
        <v>4197</v>
      </c>
      <c r="G1125" t="s">
        <v>5</v>
      </c>
      <c r="H1125" t="s">
        <v>61</v>
      </c>
      <c r="I1125" t="s">
        <v>62</v>
      </c>
      <c r="J1125" t="s">
        <v>63</v>
      </c>
      <c r="K1125" t="s">
        <v>3</v>
      </c>
      <c r="L1125" t="s">
        <v>4</v>
      </c>
      <c r="M1125" t="s">
        <v>49</v>
      </c>
      <c r="N1125" t="s">
        <v>4198</v>
      </c>
      <c r="O1125" s="31" t="s">
        <v>4199</v>
      </c>
      <c r="P1125">
        <v>20000</v>
      </c>
      <c r="Q1125" t="s">
        <v>64</v>
      </c>
      <c r="R1125">
        <v>1</v>
      </c>
      <c r="S1125" s="31">
        <v>0</v>
      </c>
      <c r="T1125" s="39">
        <v>0</v>
      </c>
      <c r="U1125">
        <v>0</v>
      </c>
      <c r="V1125">
        <v>0</v>
      </c>
      <c r="W1125">
        <v>0</v>
      </c>
      <c r="X1125" s="39">
        <v>0</v>
      </c>
      <c r="Y1125">
        <v>0</v>
      </c>
      <c r="Z1125" s="31">
        <v>0</v>
      </c>
      <c r="AA1125">
        <v>8</v>
      </c>
      <c r="AB1125" s="3">
        <f t="shared" si="53"/>
        <v>0</v>
      </c>
      <c r="AC1125" t="str">
        <f>IF(AB1125-S1125&lt;0,"YES","NO")</f>
        <v>NO</v>
      </c>
      <c r="AD1125">
        <f>IF(AC1125="NO",0,AB1125-S1125)</f>
        <v>0</v>
      </c>
      <c r="AE1125" s="43">
        <v>0.08</v>
      </c>
      <c r="AF1125" s="3">
        <f t="shared" si="54"/>
        <v>0</v>
      </c>
      <c r="AG1125" s="45">
        <f t="shared" si="55"/>
        <v>0</v>
      </c>
      <c r="AH1125" s="55"/>
    </row>
    <row r="1126" spans="1:34" x14ac:dyDescent="0.25">
      <c r="A1126" t="s">
        <v>4193</v>
      </c>
      <c r="B1126" t="s">
        <v>4104</v>
      </c>
      <c r="C1126" t="s">
        <v>4194</v>
      </c>
      <c r="D1126" t="s">
        <v>4195</v>
      </c>
      <c r="E1126" t="s">
        <v>4196</v>
      </c>
      <c r="F1126" t="s">
        <v>4197</v>
      </c>
      <c r="G1126" t="s">
        <v>5</v>
      </c>
      <c r="H1126" t="s">
        <v>65</v>
      </c>
      <c r="I1126" t="s">
        <v>87</v>
      </c>
      <c r="J1126" t="s">
        <v>88</v>
      </c>
      <c r="K1126" t="s">
        <v>3</v>
      </c>
      <c r="L1126" t="s">
        <v>4</v>
      </c>
      <c r="M1126" t="s">
        <v>49</v>
      </c>
      <c r="N1126" t="s">
        <v>4198</v>
      </c>
      <c r="O1126" s="31" t="s">
        <v>4199</v>
      </c>
      <c r="P1126">
        <v>220</v>
      </c>
      <c r="Q1126" t="s">
        <v>89</v>
      </c>
      <c r="R1126">
        <v>1</v>
      </c>
      <c r="S1126" s="31">
        <v>59000</v>
      </c>
      <c r="T1126" s="39">
        <v>70000</v>
      </c>
      <c r="U1126">
        <v>10000</v>
      </c>
      <c r="V1126">
        <v>7000</v>
      </c>
      <c r="W1126">
        <v>0</v>
      </c>
      <c r="X1126" s="39">
        <v>21660</v>
      </c>
      <c r="Y1126">
        <v>0</v>
      </c>
      <c r="Z1126" s="31">
        <v>53000</v>
      </c>
      <c r="AA1126">
        <v>8</v>
      </c>
      <c r="AB1126" s="3">
        <f t="shared" si="53"/>
        <v>53000</v>
      </c>
      <c r="AC1126" t="str">
        <f>IF(AB1126-S1126&lt;0,"YES","NO")</f>
        <v>YES</v>
      </c>
      <c r="AD1126">
        <f>IF(AC1126="NO",0,AB1126-S1126)</f>
        <v>-6000</v>
      </c>
      <c r="AE1126" s="43">
        <v>0.08</v>
      </c>
      <c r="AF1126" s="3">
        <f t="shared" si="54"/>
        <v>-5555.5555555555547</v>
      </c>
      <c r="AG1126" s="45">
        <f t="shared" si="55"/>
        <v>-6111.1111111111104</v>
      </c>
      <c r="AH1126" s="55"/>
    </row>
    <row r="1127" spans="1:34" x14ac:dyDescent="0.25">
      <c r="A1127" t="s">
        <v>4193</v>
      </c>
      <c r="B1127" t="s">
        <v>4104</v>
      </c>
      <c r="C1127" t="s">
        <v>4194</v>
      </c>
      <c r="D1127" t="s">
        <v>4195</v>
      </c>
      <c r="E1127" t="s">
        <v>4196</v>
      </c>
      <c r="F1127" t="s">
        <v>4197</v>
      </c>
      <c r="G1127" t="s">
        <v>5</v>
      </c>
      <c r="H1127" t="s">
        <v>65</v>
      </c>
      <c r="I1127" t="s">
        <v>90</v>
      </c>
      <c r="J1127" t="s">
        <v>91</v>
      </c>
      <c r="K1127" t="s">
        <v>3</v>
      </c>
      <c r="L1127" t="s">
        <v>4</v>
      </c>
      <c r="M1127" t="s">
        <v>49</v>
      </c>
      <c r="N1127" t="s">
        <v>4198</v>
      </c>
      <c r="O1127" s="31" t="s">
        <v>4199</v>
      </c>
      <c r="P1127">
        <v>220</v>
      </c>
      <c r="Q1127" t="s">
        <v>92</v>
      </c>
      <c r="R1127">
        <v>1</v>
      </c>
      <c r="S1127" s="31">
        <v>59000</v>
      </c>
      <c r="T1127" s="39">
        <v>70000</v>
      </c>
      <c r="U1127">
        <v>10000</v>
      </c>
      <c r="V1127">
        <v>7000</v>
      </c>
      <c r="W1127">
        <v>0</v>
      </c>
      <c r="X1127" s="39">
        <v>21660</v>
      </c>
      <c r="Y1127">
        <v>0</v>
      </c>
      <c r="Z1127" s="31">
        <v>53000</v>
      </c>
      <c r="AA1127">
        <v>8</v>
      </c>
      <c r="AB1127" s="3">
        <f t="shared" si="53"/>
        <v>53000</v>
      </c>
      <c r="AC1127" t="str">
        <f>IF(AB1127-S1127&lt;0,"YES","NO")</f>
        <v>YES</v>
      </c>
      <c r="AD1127">
        <f>IF(AC1127="NO",0,AB1127-S1127)</f>
        <v>-6000</v>
      </c>
      <c r="AE1127" s="43">
        <v>0.08</v>
      </c>
      <c r="AF1127" s="3">
        <f t="shared" si="54"/>
        <v>-5555.5555555555547</v>
      </c>
      <c r="AG1127" s="45">
        <f t="shared" si="55"/>
        <v>-6111.1111111111104</v>
      </c>
      <c r="AH1127" s="55"/>
    </row>
    <row r="1128" spans="1:34" x14ac:dyDescent="0.25">
      <c r="A1128" t="s">
        <v>4200</v>
      </c>
      <c r="B1128" t="s">
        <v>4104</v>
      </c>
      <c r="C1128" t="s">
        <v>4201</v>
      </c>
      <c r="D1128" t="s">
        <v>4202</v>
      </c>
      <c r="E1128" t="s">
        <v>4203</v>
      </c>
      <c r="F1128" t="s">
        <v>4204</v>
      </c>
      <c r="G1128" t="s">
        <v>5</v>
      </c>
      <c r="H1128" t="s">
        <v>61</v>
      </c>
      <c r="I1128" t="s">
        <v>84</v>
      </c>
      <c r="J1128" t="s">
        <v>85</v>
      </c>
      <c r="K1128" t="s">
        <v>3</v>
      </c>
      <c r="L1128" t="s">
        <v>4</v>
      </c>
      <c r="M1128" t="s">
        <v>49</v>
      </c>
      <c r="N1128" t="s">
        <v>4205</v>
      </c>
      <c r="O1128" s="31" t="s">
        <v>4206</v>
      </c>
      <c r="P1128">
        <v>100</v>
      </c>
      <c r="Q1128" t="s">
        <v>86</v>
      </c>
      <c r="R1128">
        <v>1</v>
      </c>
      <c r="S1128" s="31">
        <v>0</v>
      </c>
      <c r="T1128" s="39">
        <v>0</v>
      </c>
      <c r="U1128">
        <v>0</v>
      </c>
      <c r="V1128">
        <v>0</v>
      </c>
      <c r="W1128">
        <v>0</v>
      </c>
      <c r="X1128" s="39">
        <v>0</v>
      </c>
      <c r="Y1128">
        <v>0</v>
      </c>
      <c r="Z1128" s="31">
        <v>0</v>
      </c>
      <c r="AA1128">
        <v>8</v>
      </c>
      <c r="AB1128" s="3">
        <f t="shared" si="53"/>
        <v>0</v>
      </c>
      <c r="AC1128" t="str">
        <f>IF(AB1128-S1128&lt;0,"YES","NO")</f>
        <v>NO</v>
      </c>
      <c r="AD1128">
        <f>IF(AC1128="NO",0,AB1128-S1128)</f>
        <v>0</v>
      </c>
      <c r="AE1128" s="43">
        <v>0.08</v>
      </c>
      <c r="AF1128" s="3">
        <f t="shared" si="54"/>
        <v>0</v>
      </c>
      <c r="AG1128" s="45">
        <f t="shared" si="55"/>
        <v>0</v>
      </c>
      <c r="AH1128" s="55"/>
    </row>
    <row r="1129" spans="1:34" x14ac:dyDescent="0.25">
      <c r="A1129" t="s">
        <v>4200</v>
      </c>
      <c r="B1129" t="s">
        <v>4104</v>
      </c>
      <c r="C1129" t="s">
        <v>4201</v>
      </c>
      <c r="D1129" t="s">
        <v>4202</v>
      </c>
      <c r="E1129" t="s">
        <v>4203</v>
      </c>
      <c r="F1129" t="s">
        <v>4204</v>
      </c>
      <c r="G1129" t="s">
        <v>5</v>
      </c>
      <c r="H1129" t="s">
        <v>65</v>
      </c>
      <c r="I1129" t="s">
        <v>78</v>
      </c>
      <c r="J1129" t="s">
        <v>79</v>
      </c>
      <c r="K1129" t="s">
        <v>3</v>
      </c>
      <c r="L1129" t="s">
        <v>4</v>
      </c>
      <c r="M1129" t="s">
        <v>49</v>
      </c>
      <c r="N1129" t="s">
        <v>4205</v>
      </c>
      <c r="O1129" s="31" t="s">
        <v>4206</v>
      </c>
      <c r="P1129">
        <v>220</v>
      </c>
      <c r="R1129">
        <v>3</v>
      </c>
      <c r="S1129" s="31">
        <v>225000</v>
      </c>
      <c r="T1129" s="39">
        <v>240000</v>
      </c>
      <c r="U1129">
        <v>35000.01</v>
      </c>
      <c r="V1129">
        <v>24000</v>
      </c>
      <c r="W1129">
        <v>0</v>
      </c>
      <c r="X1129" s="39">
        <v>71199.990000000005</v>
      </c>
      <c r="Y1129">
        <v>0</v>
      </c>
      <c r="Z1129" s="31">
        <v>180999.99</v>
      </c>
      <c r="AA1129">
        <v>8</v>
      </c>
      <c r="AB1129" s="3">
        <f t="shared" si="53"/>
        <v>180999.99</v>
      </c>
      <c r="AC1129" t="str">
        <f>IF(AB1129-S1129&lt;0,"YES","NO")</f>
        <v>YES</v>
      </c>
      <c r="AD1129">
        <f>IF(AC1129="NO",0,AB1129-S1129)</f>
        <v>-44000.010000000009</v>
      </c>
      <c r="AE1129" s="43">
        <v>0.08</v>
      </c>
      <c r="AF1129" s="3">
        <f t="shared" si="54"/>
        <v>-40740.750000000007</v>
      </c>
      <c r="AG1129" s="45">
        <f t="shared" si="55"/>
        <v>-44814.825000000012</v>
      </c>
      <c r="AH1129" s="55"/>
    </row>
    <row r="1130" spans="1:34" x14ac:dyDescent="0.25">
      <c r="A1130" t="s">
        <v>4207</v>
      </c>
      <c r="B1130" t="s">
        <v>4104</v>
      </c>
      <c r="C1130" t="s">
        <v>4208</v>
      </c>
      <c r="D1130" t="s">
        <v>4209</v>
      </c>
      <c r="E1130" t="s">
        <v>4210</v>
      </c>
      <c r="F1130" t="s">
        <v>4211</v>
      </c>
      <c r="G1130" t="s">
        <v>5</v>
      </c>
      <c r="H1130" t="s">
        <v>61</v>
      </c>
      <c r="I1130" t="s">
        <v>62</v>
      </c>
      <c r="J1130" t="s">
        <v>63</v>
      </c>
      <c r="K1130" t="s">
        <v>3</v>
      </c>
      <c r="L1130" t="s">
        <v>4</v>
      </c>
      <c r="M1130" t="s">
        <v>49</v>
      </c>
      <c r="N1130" t="s">
        <v>4212</v>
      </c>
      <c r="O1130" s="31" t="s">
        <v>4213</v>
      </c>
      <c r="P1130">
        <v>20000</v>
      </c>
      <c r="Q1130" t="s">
        <v>64</v>
      </c>
      <c r="R1130">
        <v>1</v>
      </c>
      <c r="S1130" s="31">
        <v>0</v>
      </c>
      <c r="T1130" s="39">
        <v>0</v>
      </c>
      <c r="U1130">
        <v>0</v>
      </c>
      <c r="V1130">
        <v>0</v>
      </c>
      <c r="W1130">
        <v>0</v>
      </c>
      <c r="X1130" s="39">
        <v>0</v>
      </c>
      <c r="Y1130">
        <v>0</v>
      </c>
      <c r="Z1130" s="31">
        <v>0</v>
      </c>
      <c r="AA1130">
        <v>8</v>
      </c>
      <c r="AB1130" s="3">
        <f t="shared" si="53"/>
        <v>0</v>
      </c>
      <c r="AC1130" t="str">
        <f>IF(AB1130-S1130&lt;0,"YES","NO")</f>
        <v>NO</v>
      </c>
      <c r="AD1130">
        <f>IF(AC1130="NO",0,AB1130-S1130)</f>
        <v>0</v>
      </c>
      <c r="AE1130" s="43">
        <v>0.08</v>
      </c>
      <c r="AF1130" s="3">
        <f t="shared" si="54"/>
        <v>0</v>
      </c>
      <c r="AG1130" s="45">
        <f t="shared" si="55"/>
        <v>0</v>
      </c>
      <c r="AH1130" s="55"/>
    </row>
    <row r="1131" spans="1:34" x14ac:dyDescent="0.25">
      <c r="A1131" t="s">
        <v>4207</v>
      </c>
      <c r="B1131" t="s">
        <v>4104</v>
      </c>
      <c r="C1131" t="s">
        <v>4208</v>
      </c>
      <c r="D1131" t="s">
        <v>4209</v>
      </c>
      <c r="E1131" t="s">
        <v>4210</v>
      </c>
      <c r="F1131" t="s">
        <v>4211</v>
      </c>
      <c r="G1131" t="s">
        <v>5</v>
      </c>
      <c r="H1131" t="s">
        <v>65</v>
      </c>
      <c r="I1131" t="s">
        <v>90</v>
      </c>
      <c r="J1131" t="s">
        <v>91</v>
      </c>
      <c r="K1131" t="s">
        <v>3</v>
      </c>
      <c r="L1131" t="s">
        <v>4</v>
      </c>
      <c r="M1131" t="s">
        <v>49</v>
      </c>
      <c r="N1131" t="s">
        <v>4212</v>
      </c>
      <c r="O1131" s="31" t="s">
        <v>4213</v>
      </c>
      <c r="P1131">
        <v>220</v>
      </c>
      <c r="Q1131" t="s">
        <v>92</v>
      </c>
      <c r="R1131">
        <v>3</v>
      </c>
      <c r="S1131" s="31">
        <v>177000</v>
      </c>
      <c r="T1131" s="39">
        <v>210000</v>
      </c>
      <c r="U1131">
        <v>35000.01</v>
      </c>
      <c r="V1131">
        <v>21000</v>
      </c>
      <c r="W1131">
        <v>0</v>
      </c>
      <c r="X1131" s="39">
        <v>65799.990000000005</v>
      </c>
      <c r="Y1131">
        <v>0</v>
      </c>
      <c r="Z1131" s="31">
        <v>153999.99</v>
      </c>
      <c r="AA1131">
        <v>8</v>
      </c>
      <c r="AB1131" s="3">
        <f t="shared" si="53"/>
        <v>153999.99</v>
      </c>
      <c r="AC1131" t="str">
        <f>IF(AB1131-S1131&lt;0,"YES","NO")</f>
        <v>YES</v>
      </c>
      <c r="AD1131">
        <f>IF(AC1131="NO",0,AB1131-S1131)</f>
        <v>-23000.010000000009</v>
      </c>
      <c r="AE1131" s="43">
        <v>0.08</v>
      </c>
      <c r="AF1131" s="3">
        <f t="shared" si="54"/>
        <v>-21296.305555555562</v>
      </c>
      <c r="AG1131" s="45">
        <f t="shared" si="55"/>
        <v>-23425.936111111121</v>
      </c>
      <c r="AH1131" s="55"/>
    </row>
    <row r="1132" spans="1:34" x14ac:dyDescent="0.25">
      <c r="A1132" t="s">
        <v>4214</v>
      </c>
      <c r="B1132" t="s">
        <v>4215</v>
      </c>
      <c r="C1132" t="s">
        <v>4216</v>
      </c>
      <c r="D1132" t="s">
        <v>4217</v>
      </c>
      <c r="E1132" t="s">
        <v>4218</v>
      </c>
      <c r="F1132" t="s">
        <v>4219</v>
      </c>
      <c r="G1132" t="s">
        <v>5</v>
      </c>
      <c r="H1132" t="s">
        <v>65</v>
      </c>
      <c r="I1132" t="s">
        <v>106</v>
      </c>
      <c r="J1132" t="s">
        <v>107</v>
      </c>
      <c r="K1132" t="s">
        <v>3</v>
      </c>
      <c r="L1132" t="s">
        <v>4</v>
      </c>
      <c r="M1132" t="s">
        <v>49</v>
      </c>
      <c r="N1132" t="s">
        <v>4220</v>
      </c>
      <c r="O1132" s="31" t="s">
        <v>4221</v>
      </c>
      <c r="P1132">
        <v>20</v>
      </c>
      <c r="Q1132" t="s">
        <v>108</v>
      </c>
      <c r="R1132">
        <v>1</v>
      </c>
      <c r="S1132" s="31">
        <v>0</v>
      </c>
      <c r="T1132" s="39">
        <v>0</v>
      </c>
      <c r="U1132">
        <v>0</v>
      </c>
      <c r="V1132">
        <v>0</v>
      </c>
      <c r="W1132">
        <v>0</v>
      </c>
      <c r="X1132" s="39">
        <v>0</v>
      </c>
      <c r="Y1132">
        <v>0</v>
      </c>
      <c r="Z1132" s="31">
        <v>0</v>
      </c>
      <c r="AA1132">
        <v>8</v>
      </c>
      <c r="AB1132" s="3">
        <f t="shared" si="53"/>
        <v>0</v>
      </c>
      <c r="AC1132" t="str">
        <f>IF(AB1132-S1132&lt;0,"YES","NO")</f>
        <v>NO</v>
      </c>
      <c r="AD1132">
        <f>IF(AC1132="NO",0,AB1132-S1132)</f>
        <v>0</v>
      </c>
      <c r="AE1132" s="43">
        <v>0.08</v>
      </c>
      <c r="AF1132" s="3">
        <f t="shared" si="54"/>
        <v>0</v>
      </c>
      <c r="AG1132" s="45">
        <f t="shared" si="55"/>
        <v>0</v>
      </c>
      <c r="AH1132" s="55"/>
    </row>
    <row r="1133" spans="1:34" x14ac:dyDescent="0.25">
      <c r="A1133" t="s">
        <v>4214</v>
      </c>
      <c r="B1133" t="s">
        <v>4215</v>
      </c>
      <c r="C1133" t="s">
        <v>4216</v>
      </c>
      <c r="D1133" t="s">
        <v>4217</v>
      </c>
      <c r="E1133" t="s">
        <v>4218</v>
      </c>
      <c r="F1133" t="s">
        <v>4219</v>
      </c>
      <c r="G1133" t="s">
        <v>5</v>
      </c>
      <c r="H1133" t="s">
        <v>65</v>
      </c>
      <c r="I1133" t="s">
        <v>71</v>
      </c>
      <c r="J1133" t="s">
        <v>72</v>
      </c>
      <c r="K1133" t="s">
        <v>3</v>
      </c>
      <c r="L1133" t="s">
        <v>4</v>
      </c>
      <c r="M1133" t="s">
        <v>49</v>
      </c>
      <c r="N1133" t="s">
        <v>4220</v>
      </c>
      <c r="O1133" s="31" t="s">
        <v>4221</v>
      </c>
      <c r="P1133">
        <v>220</v>
      </c>
      <c r="Q1133" t="s">
        <v>70</v>
      </c>
      <c r="R1133">
        <v>6</v>
      </c>
      <c r="S1133" s="31">
        <v>354000</v>
      </c>
      <c r="T1133" s="39">
        <v>390000</v>
      </c>
      <c r="U1133">
        <v>75000</v>
      </c>
      <c r="V1133">
        <v>39000</v>
      </c>
      <c r="W1133">
        <v>0</v>
      </c>
      <c r="X1133" s="39">
        <v>124999.98</v>
      </c>
      <c r="Y1133">
        <v>0</v>
      </c>
      <c r="Z1133" s="31">
        <v>276000</v>
      </c>
      <c r="AA1133">
        <v>8</v>
      </c>
      <c r="AB1133" s="3">
        <f t="shared" si="53"/>
        <v>276000</v>
      </c>
      <c r="AC1133" t="str">
        <f>IF(AB1133-S1133&lt;0,"YES","NO")</f>
        <v>YES</v>
      </c>
      <c r="AD1133">
        <f>IF(AC1133="NO",0,AB1133-S1133)</f>
        <v>-78000</v>
      </c>
      <c r="AE1133" s="43">
        <v>0.08</v>
      </c>
      <c r="AF1133" s="3">
        <f t="shared" si="54"/>
        <v>-72222.222222222219</v>
      </c>
      <c r="AG1133" s="45">
        <f t="shared" si="55"/>
        <v>-79444.444444444453</v>
      </c>
      <c r="AH1133" s="55"/>
    </row>
    <row r="1134" spans="1:34" x14ac:dyDescent="0.25">
      <c r="A1134" t="s">
        <v>4222</v>
      </c>
      <c r="B1134" t="s">
        <v>4215</v>
      </c>
      <c r="C1134" t="s">
        <v>4223</v>
      </c>
      <c r="D1134" t="s">
        <v>4224</v>
      </c>
      <c r="E1134" t="s">
        <v>4225</v>
      </c>
      <c r="F1134" t="s">
        <v>4226</v>
      </c>
      <c r="G1134" t="s">
        <v>5</v>
      </c>
      <c r="H1134" t="s">
        <v>65</v>
      </c>
      <c r="I1134" t="s">
        <v>106</v>
      </c>
      <c r="J1134" t="s">
        <v>107</v>
      </c>
      <c r="K1134" t="s">
        <v>3</v>
      </c>
      <c r="L1134" t="s">
        <v>4</v>
      </c>
      <c r="M1134" t="s">
        <v>49</v>
      </c>
      <c r="N1134" t="s">
        <v>4227</v>
      </c>
      <c r="O1134" s="31" t="s">
        <v>4228</v>
      </c>
      <c r="P1134">
        <v>20</v>
      </c>
      <c r="Q1134" t="s">
        <v>108</v>
      </c>
      <c r="R1134">
        <v>1</v>
      </c>
      <c r="S1134" s="31">
        <v>0</v>
      </c>
      <c r="T1134" s="39">
        <v>0</v>
      </c>
      <c r="U1134">
        <v>0</v>
      </c>
      <c r="V1134">
        <v>0</v>
      </c>
      <c r="W1134">
        <v>0</v>
      </c>
      <c r="X1134" s="39">
        <v>0</v>
      </c>
      <c r="Y1134">
        <v>0</v>
      </c>
      <c r="Z1134" s="31">
        <v>0</v>
      </c>
      <c r="AA1134">
        <v>8</v>
      </c>
      <c r="AB1134" s="3">
        <f t="shared" si="53"/>
        <v>0</v>
      </c>
      <c r="AC1134" t="str">
        <f>IF(AB1134-S1134&lt;0,"YES","NO")</f>
        <v>NO</v>
      </c>
      <c r="AD1134">
        <f>IF(AC1134="NO",0,AB1134-S1134)</f>
        <v>0</v>
      </c>
      <c r="AE1134" s="43">
        <v>0.08</v>
      </c>
      <c r="AF1134" s="3">
        <f t="shared" si="54"/>
        <v>0</v>
      </c>
      <c r="AG1134" s="45">
        <f t="shared" si="55"/>
        <v>0</v>
      </c>
      <c r="AH1134" s="55"/>
    </row>
    <row r="1135" spans="1:34" x14ac:dyDescent="0.25">
      <c r="A1135" t="s">
        <v>4222</v>
      </c>
      <c r="B1135" t="s">
        <v>4215</v>
      </c>
      <c r="C1135" t="s">
        <v>4223</v>
      </c>
      <c r="D1135" t="s">
        <v>4224</v>
      </c>
      <c r="E1135" t="s">
        <v>4225</v>
      </c>
      <c r="F1135" t="s">
        <v>4226</v>
      </c>
      <c r="G1135" t="s">
        <v>5</v>
      </c>
      <c r="H1135" t="s">
        <v>65</v>
      </c>
      <c r="I1135" t="s">
        <v>95</v>
      </c>
      <c r="J1135" t="s">
        <v>96</v>
      </c>
      <c r="K1135" t="s">
        <v>3</v>
      </c>
      <c r="L1135" t="s">
        <v>4</v>
      </c>
      <c r="M1135" t="s">
        <v>49</v>
      </c>
      <c r="N1135" t="s">
        <v>4227</v>
      </c>
      <c r="O1135" s="31" t="s">
        <v>4228</v>
      </c>
      <c r="P1135">
        <v>200</v>
      </c>
      <c r="R1135">
        <v>6</v>
      </c>
      <c r="S1135" s="31">
        <v>432000</v>
      </c>
      <c r="T1135" s="39">
        <v>480000</v>
      </c>
      <c r="U1135">
        <v>75000</v>
      </c>
      <c r="V1135">
        <v>40000.019999999997</v>
      </c>
      <c r="W1135">
        <v>0</v>
      </c>
      <c r="X1135" s="39">
        <v>147999.96</v>
      </c>
      <c r="Y1135">
        <v>0</v>
      </c>
      <c r="Z1135" s="31">
        <v>364999.98</v>
      </c>
      <c r="AA1135">
        <v>8</v>
      </c>
      <c r="AB1135" s="3">
        <f t="shared" si="53"/>
        <v>364999.98</v>
      </c>
      <c r="AC1135" t="str">
        <f>IF(AB1135-S1135&lt;0,"YES","NO")</f>
        <v>YES</v>
      </c>
      <c r="AD1135">
        <f>IF(AC1135="NO",0,AB1135-S1135)</f>
        <v>-67000.020000000019</v>
      </c>
      <c r="AE1135" s="43">
        <v>0.08</v>
      </c>
      <c r="AF1135" s="3">
        <f t="shared" si="54"/>
        <v>-62037.055555555569</v>
      </c>
      <c r="AG1135" s="45">
        <f t="shared" si="55"/>
        <v>-68240.761111111133</v>
      </c>
      <c r="AH1135" s="55"/>
    </row>
    <row r="1136" spans="1:34" x14ac:dyDescent="0.25">
      <c r="A1136" t="s">
        <v>4229</v>
      </c>
      <c r="B1136" t="s">
        <v>4215</v>
      </c>
      <c r="C1136" t="s">
        <v>4230</v>
      </c>
      <c r="D1136" t="s">
        <v>4231</v>
      </c>
      <c r="E1136" t="s">
        <v>4232</v>
      </c>
      <c r="F1136" t="s">
        <v>4233</v>
      </c>
      <c r="G1136" t="s">
        <v>5</v>
      </c>
      <c r="H1136" t="s">
        <v>61</v>
      </c>
      <c r="I1136" t="s">
        <v>62</v>
      </c>
      <c r="J1136" t="s">
        <v>63</v>
      </c>
      <c r="K1136" t="s">
        <v>3</v>
      </c>
      <c r="L1136" t="s">
        <v>4</v>
      </c>
      <c r="M1136" t="s">
        <v>49</v>
      </c>
      <c r="N1136" t="s">
        <v>4234</v>
      </c>
      <c r="O1136" s="31" t="s">
        <v>4235</v>
      </c>
      <c r="P1136">
        <v>20000</v>
      </c>
      <c r="Q1136" t="s">
        <v>64</v>
      </c>
      <c r="R1136">
        <v>1</v>
      </c>
      <c r="S1136" s="31">
        <v>0</v>
      </c>
      <c r="T1136" s="39">
        <v>0</v>
      </c>
      <c r="U1136">
        <v>0</v>
      </c>
      <c r="V1136">
        <v>0</v>
      </c>
      <c r="W1136">
        <v>0</v>
      </c>
      <c r="X1136" s="39">
        <v>0</v>
      </c>
      <c r="Y1136">
        <v>0</v>
      </c>
      <c r="Z1136" s="31">
        <v>0</v>
      </c>
      <c r="AA1136">
        <v>8</v>
      </c>
      <c r="AB1136" s="3">
        <f t="shared" si="53"/>
        <v>0</v>
      </c>
      <c r="AC1136" t="str">
        <f>IF(AB1136-S1136&lt;0,"YES","NO")</f>
        <v>NO</v>
      </c>
      <c r="AD1136">
        <f>IF(AC1136="NO",0,AB1136-S1136)</f>
        <v>0</v>
      </c>
      <c r="AE1136" s="43">
        <v>0.08</v>
      </c>
      <c r="AF1136" s="3">
        <f t="shared" si="54"/>
        <v>0</v>
      </c>
      <c r="AG1136" s="45">
        <f t="shared" si="55"/>
        <v>0</v>
      </c>
      <c r="AH1136" s="55"/>
    </row>
    <row r="1137" spans="1:34" x14ac:dyDescent="0.25">
      <c r="A1137" t="s">
        <v>4229</v>
      </c>
      <c r="B1137" t="s">
        <v>4215</v>
      </c>
      <c r="C1137" t="s">
        <v>4230</v>
      </c>
      <c r="D1137" t="s">
        <v>4231</v>
      </c>
      <c r="E1137" t="s">
        <v>4232</v>
      </c>
      <c r="F1137" t="s">
        <v>4233</v>
      </c>
      <c r="G1137" t="s">
        <v>5</v>
      </c>
      <c r="H1137" t="s">
        <v>65</v>
      </c>
      <c r="I1137" t="s">
        <v>66</v>
      </c>
      <c r="J1137" t="s">
        <v>67</v>
      </c>
      <c r="K1137" t="s">
        <v>3</v>
      </c>
      <c r="L1137" t="s">
        <v>4</v>
      </c>
      <c r="M1137" t="s">
        <v>49</v>
      </c>
      <c r="N1137" t="s">
        <v>4234</v>
      </c>
      <c r="O1137" s="31" t="s">
        <v>4235</v>
      </c>
      <c r="P1137">
        <v>220</v>
      </c>
      <c r="R1137">
        <v>2</v>
      </c>
      <c r="S1137" s="31">
        <v>150000</v>
      </c>
      <c r="T1137" s="39">
        <v>160000</v>
      </c>
      <c r="U1137">
        <v>20000</v>
      </c>
      <c r="V1137">
        <v>16000</v>
      </c>
      <c r="W1137">
        <v>0</v>
      </c>
      <c r="X1137" s="39">
        <v>44800</v>
      </c>
      <c r="Y1137">
        <v>0</v>
      </c>
      <c r="Z1137" s="31">
        <v>124000</v>
      </c>
      <c r="AA1137">
        <v>8</v>
      </c>
      <c r="AB1137" s="3">
        <f t="shared" si="53"/>
        <v>124000</v>
      </c>
      <c r="AC1137" t="str">
        <f>IF(AB1137-S1137&lt;0,"YES","NO")</f>
        <v>YES</v>
      </c>
      <c r="AD1137">
        <f>IF(AC1137="NO",0,AB1137-S1137)</f>
        <v>-26000</v>
      </c>
      <c r="AE1137" s="43">
        <v>0.08</v>
      </c>
      <c r="AF1137" s="3">
        <f t="shared" si="54"/>
        <v>-24074.074074074073</v>
      </c>
      <c r="AG1137" s="45">
        <f t="shared" si="55"/>
        <v>-26481.481481481482</v>
      </c>
      <c r="AH1137" s="55"/>
    </row>
    <row r="1138" spans="1:34" x14ac:dyDescent="0.25">
      <c r="A1138" t="s">
        <v>4236</v>
      </c>
      <c r="B1138" t="s">
        <v>4215</v>
      </c>
      <c r="C1138" t="s">
        <v>4237</v>
      </c>
      <c r="D1138" t="s">
        <v>4043</v>
      </c>
      <c r="E1138" t="s">
        <v>4238</v>
      </c>
      <c r="F1138" t="s">
        <v>4239</v>
      </c>
      <c r="G1138" t="s">
        <v>5</v>
      </c>
      <c r="H1138" t="s">
        <v>65</v>
      </c>
      <c r="I1138" t="s">
        <v>66</v>
      </c>
      <c r="J1138" t="s">
        <v>67</v>
      </c>
      <c r="K1138" t="s">
        <v>3</v>
      </c>
      <c r="L1138" t="s">
        <v>4</v>
      </c>
      <c r="M1138" t="s">
        <v>49</v>
      </c>
      <c r="N1138" t="s">
        <v>4240</v>
      </c>
      <c r="O1138" s="31" t="s">
        <v>4241</v>
      </c>
      <c r="P1138">
        <v>220</v>
      </c>
      <c r="R1138">
        <v>2</v>
      </c>
      <c r="S1138" s="31">
        <v>150000</v>
      </c>
      <c r="T1138" s="39">
        <v>160000</v>
      </c>
      <c r="U1138">
        <v>20000</v>
      </c>
      <c r="V1138">
        <v>16000</v>
      </c>
      <c r="W1138">
        <v>0</v>
      </c>
      <c r="X1138" s="39">
        <v>120000</v>
      </c>
      <c r="Y1138">
        <v>0</v>
      </c>
      <c r="Z1138" s="31">
        <v>124000</v>
      </c>
      <c r="AA1138">
        <v>8</v>
      </c>
      <c r="AB1138" s="3">
        <f t="shared" si="53"/>
        <v>124000</v>
      </c>
      <c r="AC1138" t="str">
        <f>IF(AB1138-S1138&lt;0,"YES","NO")</f>
        <v>YES</v>
      </c>
      <c r="AD1138">
        <f>IF(AC1138="NO",0,AB1138-S1138)</f>
        <v>-26000</v>
      </c>
      <c r="AE1138" s="43">
        <v>0.08</v>
      </c>
      <c r="AF1138" s="3">
        <f t="shared" si="54"/>
        <v>-24074.074074074073</v>
      </c>
      <c r="AG1138" s="45">
        <f t="shared" si="55"/>
        <v>-26481.481481481482</v>
      </c>
      <c r="AH1138" s="55"/>
    </row>
    <row r="1139" spans="1:34" x14ac:dyDescent="0.25">
      <c r="A1139" t="s">
        <v>4242</v>
      </c>
      <c r="B1139" t="s">
        <v>4243</v>
      </c>
      <c r="C1139" t="s">
        <v>4244</v>
      </c>
      <c r="D1139" t="s">
        <v>4245</v>
      </c>
      <c r="E1139" t="s">
        <v>4246</v>
      </c>
      <c r="F1139" t="s">
        <v>4247</v>
      </c>
      <c r="G1139" t="s">
        <v>5</v>
      </c>
      <c r="H1139" t="s">
        <v>65</v>
      </c>
      <c r="I1139" t="s">
        <v>82</v>
      </c>
      <c r="J1139" t="s">
        <v>83</v>
      </c>
      <c r="K1139" t="s">
        <v>3</v>
      </c>
      <c r="L1139" t="s">
        <v>4</v>
      </c>
      <c r="M1139" t="s">
        <v>49</v>
      </c>
      <c r="N1139" t="s">
        <v>4248</v>
      </c>
      <c r="O1139" s="31" t="s">
        <v>4249</v>
      </c>
      <c r="P1139">
        <v>220</v>
      </c>
      <c r="R1139">
        <v>6</v>
      </c>
      <c r="S1139" s="31">
        <v>450000</v>
      </c>
      <c r="T1139" s="39">
        <v>480000</v>
      </c>
      <c r="U1139">
        <v>75000</v>
      </c>
      <c r="V1139">
        <v>25000.02</v>
      </c>
      <c r="W1139">
        <v>0</v>
      </c>
      <c r="X1139" s="39">
        <v>207999.96</v>
      </c>
      <c r="Y1139">
        <v>0</v>
      </c>
      <c r="Z1139" s="31">
        <v>379999.98</v>
      </c>
      <c r="AA1139">
        <v>8</v>
      </c>
      <c r="AB1139" s="3">
        <f t="shared" si="53"/>
        <v>379999.98</v>
      </c>
      <c r="AC1139" t="str">
        <f>IF(AB1139-S1139&lt;0,"YES","NO")</f>
        <v>YES</v>
      </c>
      <c r="AD1139">
        <f>IF(AC1139="NO",0,AB1139-S1139)</f>
        <v>-70000.020000000019</v>
      </c>
      <c r="AE1139" s="43">
        <v>0.08</v>
      </c>
      <c r="AF1139" s="3">
        <f t="shared" si="54"/>
        <v>-64814.833333333343</v>
      </c>
      <c r="AG1139" s="45">
        <f t="shared" si="55"/>
        <v>-71296.31666666668</v>
      </c>
      <c r="AH1139" s="55"/>
    </row>
    <row r="1140" spans="1:34" x14ac:dyDescent="0.25">
      <c r="A1140" t="s">
        <v>4250</v>
      </c>
      <c r="B1140" t="s">
        <v>4243</v>
      </c>
      <c r="C1140" t="s">
        <v>4251</v>
      </c>
      <c r="D1140" t="s">
        <v>4252</v>
      </c>
      <c r="E1140" t="s">
        <v>4253</v>
      </c>
      <c r="F1140" t="s">
        <v>4254</v>
      </c>
      <c r="G1140" t="s">
        <v>5</v>
      </c>
      <c r="H1140" t="s">
        <v>61</v>
      </c>
      <c r="I1140" t="s">
        <v>62</v>
      </c>
      <c r="J1140" t="s">
        <v>63</v>
      </c>
      <c r="K1140" t="s">
        <v>3</v>
      </c>
      <c r="L1140" t="s">
        <v>4</v>
      </c>
      <c r="M1140" t="s">
        <v>49</v>
      </c>
      <c r="N1140" t="s">
        <v>4255</v>
      </c>
      <c r="O1140" s="31" t="s">
        <v>4256</v>
      </c>
      <c r="P1140">
        <v>20000</v>
      </c>
      <c r="Q1140" t="s">
        <v>64</v>
      </c>
      <c r="R1140">
        <v>1</v>
      </c>
      <c r="S1140" s="31">
        <v>0</v>
      </c>
      <c r="T1140" s="39">
        <v>0</v>
      </c>
      <c r="U1140">
        <v>0</v>
      </c>
      <c r="V1140">
        <v>0</v>
      </c>
      <c r="W1140">
        <v>0</v>
      </c>
      <c r="X1140" s="39">
        <v>0</v>
      </c>
      <c r="Y1140">
        <v>0</v>
      </c>
      <c r="Z1140" s="31">
        <v>0</v>
      </c>
      <c r="AA1140">
        <v>8</v>
      </c>
      <c r="AB1140" s="3">
        <f t="shared" si="53"/>
        <v>0</v>
      </c>
      <c r="AC1140" t="str">
        <f>IF(AB1140-S1140&lt;0,"YES","NO")</f>
        <v>NO</v>
      </c>
      <c r="AD1140">
        <f>IF(AC1140="NO",0,AB1140-S1140)</f>
        <v>0</v>
      </c>
      <c r="AE1140" s="43">
        <v>0.08</v>
      </c>
      <c r="AF1140" s="3">
        <f t="shared" si="54"/>
        <v>0</v>
      </c>
      <c r="AG1140" s="45">
        <f t="shared" si="55"/>
        <v>0</v>
      </c>
      <c r="AH1140" s="55"/>
    </row>
    <row r="1141" spans="1:34" x14ac:dyDescent="0.25">
      <c r="A1141" t="s">
        <v>4250</v>
      </c>
      <c r="B1141" t="s">
        <v>4243</v>
      </c>
      <c r="C1141" t="s">
        <v>4251</v>
      </c>
      <c r="D1141" t="s">
        <v>4252</v>
      </c>
      <c r="E1141" t="s">
        <v>4253</v>
      </c>
      <c r="F1141" t="s">
        <v>4254</v>
      </c>
      <c r="G1141" t="s">
        <v>5</v>
      </c>
      <c r="H1141" t="s">
        <v>65</v>
      </c>
      <c r="I1141" t="s">
        <v>66</v>
      </c>
      <c r="J1141" t="s">
        <v>67</v>
      </c>
      <c r="K1141" t="s">
        <v>3</v>
      </c>
      <c r="L1141" t="s">
        <v>4</v>
      </c>
      <c r="M1141" t="s">
        <v>49</v>
      </c>
      <c r="N1141" t="s">
        <v>4255</v>
      </c>
      <c r="O1141" s="31" t="s">
        <v>4256</v>
      </c>
      <c r="P1141">
        <v>220</v>
      </c>
      <c r="R1141">
        <v>1</v>
      </c>
      <c r="S1141" s="31">
        <v>75000</v>
      </c>
      <c r="T1141" s="39">
        <v>80000</v>
      </c>
      <c r="U1141">
        <v>11666.67</v>
      </c>
      <c r="V1141">
        <v>4333.33</v>
      </c>
      <c r="W1141">
        <v>0</v>
      </c>
      <c r="X1141" s="39">
        <v>33547</v>
      </c>
      <c r="Y1141">
        <v>0</v>
      </c>
      <c r="Z1141" s="31">
        <v>64000</v>
      </c>
      <c r="AA1141">
        <v>8</v>
      </c>
      <c r="AB1141" s="3">
        <f t="shared" si="53"/>
        <v>64000</v>
      </c>
      <c r="AC1141" t="str">
        <f>IF(AB1141-S1141&lt;0,"YES","NO")</f>
        <v>YES</v>
      </c>
      <c r="AD1141">
        <f>IF(AC1141="NO",0,AB1141-S1141)</f>
        <v>-11000</v>
      </c>
      <c r="AE1141" s="43">
        <v>0.08</v>
      </c>
      <c r="AF1141" s="3">
        <f t="shared" si="54"/>
        <v>-10185.185185185184</v>
      </c>
      <c r="AG1141" s="45">
        <f t="shared" si="55"/>
        <v>-11203.703703703704</v>
      </c>
      <c r="AH1141" s="55"/>
    </row>
    <row r="1142" spans="1:34" x14ac:dyDescent="0.25">
      <c r="A1142" t="s">
        <v>4250</v>
      </c>
      <c r="B1142" t="s">
        <v>4243</v>
      </c>
      <c r="C1142" t="s">
        <v>4251</v>
      </c>
      <c r="D1142" t="s">
        <v>4252</v>
      </c>
      <c r="E1142" t="s">
        <v>4253</v>
      </c>
      <c r="F1142" t="s">
        <v>4254</v>
      </c>
      <c r="G1142" t="s">
        <v>5</v>
      </c>
      <c r="H1142" t="s">
        <v>65</v>
      </c>
      <c r="I1142" t="s">
        <v>78</v>
      </c>
      <c r="J1142" t="s">
        <v>79</v>
      </c>
      <c r="K1142" t="s">
        <v>3</v>
      </c>
      <c r="L1142" t="s">
        <v>4</v>
      </c>
      <c r="M1142" t="s">
        <v>49</v>
      </c>
      <c r="N1142" t="s">
        <v>4255</v>
      </c>
      <c r="O1142" s="31" t="s">
        <v>4256</v>
      </c>
      <c r="P1142">
        <v>220</v>
      </c>
      <c r="R1142">
        <v>1</v>
      </c>
      <c r="S1142" s="31">
        <v>75000</v>
      </c>
      <c r="T1142" s="39">
        <v>80000</v>
      </c>
      <c r="U1142">
        <v>11666.67</v>
      </c>
      <c r="V1142">
        <v>4333.33</v>
      </c>
      <c r="W1142">
        <v>0</v>
      </c>
      <c r="X1142" s="39">
        <v>33547</v>
      </c>
      <c r="Y1142">
        <v>0</v>
      </c>
      <c r="Z1142" s="31">
        <v>64000</v>
      </c>
      <c r="AA1142">
        <v>8</v>
      </c>
      <c r="AB1142" s="3">
        <f t="shared" si="53"/>
        <v>64000</v>
      </c>
      <c r="AC1142" t="str">
        <f>IF(AB1142-S1142&lt;0,"YES","NO")</f>
        <v>YES</v>
      </c>
      <c r="AD1142">
        <f>IF(AC1142="NO",0,AB1142-S1142)</f>
        <v>-11000</v>
      </c>
      <c r="AE1142" s="43">
        <v>0.08</v>
      </c>
      <c r="AF1142" s="3">
        <f t="shared" si="54"/>
        <v>-10185.185185185184</v>
      </c>
      <c r="AG1142" s="45">
        <f t="shared" si="55"/>
        <v>-11203.703703703704</v>
      </c>
      <c r="AH1142" s="55"/>
    </row>
    <row r="1143" spans="1:34" x14ac:dyDescent="0.25">
      <c r="A1143" t="s">
        <v>4250</v>
      </c>
      <c r="B1143" t="s">
        <v>4243</v>
      </c>
      <c r="C1143" t="s">
        <v>4251</v>
      </c>
      <c r="D1143" t="s">
        <v>4252</v>
      </c>
      <c r="E1143" t="s">
        <v>4253</v>
      </c>
      <c r="F1143" t="s">
        <v>4254</v>
      </c>
      <c r="G1143" t="s">
        <v>5</v>
      </c>
      <c r="H1143" t="s">
        <v>65</v>
      </c>
      <c r="I1143" t="s">
        <v>80</v>
      </c>
      <c r="J1143" t="s">
        <v>81</v>
      </c>
      <c r="K1143" t="s">
        <v>3</v>
      </c>
      <c r="L1143" t="s">
        <v>4</v>
      </c>
      <c r="M1143" t="s">
        <v>49</v>
      </c>
      <c r="N1143" t="s">
        <v>4255</v>
      </c>
      <c r="O1143" s="31" t="s">
        <v>4256</v>
      </c>
      <c r="P1143">
        <v>220</v>
      </c>
      <c r="R1143">
        <v>1</v>
      </c>
      <c r="S1143" s="31">
        <v>75000</v>
      </c>
      <c r="T1143" s="39">
        <v>80000</v>
      </c>
      <c r="U1143">
        <v>11666.67</v>
      </c>
      <c r="V1143">
        <v>4333.33</v>
      </c>
      <c r="W1143">
        <v>0</v>
      </c>
      <c r="X1143" s="39">
        <v>33547</v>
      </c>
      <c r="Y1143">
        <v>0</v>
      </c>
      <c r="Z1143" s="31">
        <v>64000</v>
      </c>
      <c r="AA1143">
        <v>8</v>
      </c>
      <c r="AB1143" s="3">
        <f t="shared" si="53"/>
        <v>64000</v>
      </c>
      <c r="AC1143" t="str">
        <f>IF(AB1143-S1143&lt;0,"YES","NO")</f>
        <v>YES</v>
      </c>
      <c r="AD1143">
        <f>IF(AC1143="NO",0,AB1143-S1143)</f>
        <v>-11000</v>
      </c>
      <c r="AE1143" s="43">
        <v>0.08</v>
      </c>
      <c r="AF1143" s="3">
        <f t="shared" si="54"/>
        <v>-10185.185185185184</v>
      </c>
      <c r="AG1143" s="45">
        <f t="shared" si="55"/>
        <v>-11203.703703703704</v>
      </c>
      <c r="AH1143" s="55"/>
    </row>
    <row r="1144" spans="1:34" x14ac:dyDescent="0.25">
      <c r="A1144" t="s">
        <v>4257</v>
      </c>
      <c r="B1144" t="s">
        <v>4243</v>
      </c>
      <c r="C1144" t="s">
        <v>4258</v>
      </c>
      <c r="D1144" t="s">
        <v>4259</v>
      </c>
      <c r="E1144" t="s">
        <v>4260</v>
      </c>
      <c r="F1144" t="s">
        <v>4261</v>
      </c>
      <c r="G1144" t="s">
        <v>5</v>
      </c>
      <c r="H1144" t="s">
        <v>61</v>
      </c>
      <c r="I1144" t="s">
        <v>75</v>
      </c>
      <c r="J1144" t="s">
        <v>76</v>
      </c>
      <c r="K1144" t="s">
        <v>3</v>
      </c>
      <c r="L1144" t="s">
        <v>4</v>
      </c>
      <c r="M1144" t="s">
        <v>49</v>
      </c>
      <c r="N1144" t="s">
        <v>4262</v>
      </c>
      <c r="O1144" s="31" t="s">
        <v>4263</v>
      </c>
      <c r="P1144">
        <v>20</v>
      </c>
      <c r="Q1144" t="s">
        <v>77</v>
      </c>
      <c r="R1144">
        <v>1</v>
      </c>
      <c r="S1144" s="31">
        <v>0</v>
      </c>
      <c r="T1144" s="39">
        <v>0</v>
      </c>
      <c r="U1144">
        <v>0</v>
      </c>
      <c r="V1144">
        <v>0</v>
      </c>
      <c r="W1144">
        <v>0</v>
      </c>
      <c r="X1144" s="39">
        <v>0</v>
      </c>
      <c r="Y1144">
        <v>0</v>
      </c>
      <c r="Z1144" s="31">
        <v>0</v>
      </c>
      <c r="AA1144">
        <v>8</v>
      </c>
      <c r="AB1144" s="3">
        <f t="shared" si="53"/>
        <v>0</v>
      </c>
      <c r="AC1144" t="str">
        <f>IF(AB1144-S1144&lt;0,"YES","NO")</f>
        <v>NO</v>
      </c>
      <c r="AD1144">
        <f>IF(AC1144="NO",0,AB1144-S1144)</f>
        <v>0</v>
      </c>
      <c r="AE1144" s="43">
        <v>0.08</v>
      </c>
      <c r="AF1144" s="3">
        <f t="shared" si="54"/>
        <v>0</v>
      </c>
      <c r="AG1144" s="45">
        <f t="shared" si="55"/>
        <v>0</v>
      </c>
      <c r="AH1144" s="55"/>
    </row>
    <row r="1145" spans="1:34" x14ac:dyDescent="0.25">
      <c r="A1145" t="s">
        <v>4257</v>
      </c>
      <c r="B1145" t="s">
        <v>4243</v>
      </c>
      <c r="C1145" t="s">
        <v>4258</v>
      </c>
      <c r="D1145" t="s">
        <v>4259</v>
      </c>
      <c r="E1145" t="s">
        <v>4260</v>
      </c>
      <c r="F1145" t="s">
        <v>4261</v>
      </c>
      <c r="G1145" t="s">
        <v>5</v>
      </c>
      <c r="H1145" t="s">
        <v>65</v>
      </c>
      <c r="I1145" t="s">
        <v>95</v>
      </c>
      <c r="J1145" t="s">
        <v>96</v>
      </c>
      <c r="K1145" t="s">
        <v>3</v>
      </c>
      <c r="L1145" t="s">
        <v>4</v>
      </c>
      <c r="M1145" t="s">
        <v>49</v>
      </c>
      <c r="N1145" t="s">
        <v>4262</v>
      </c>
      <c r="O1145" s="31" t="s">
        <v>4263</v>
      </c>
      <c r="P1145">
        <v>200</v>
      </c>
      <c r="R1145">
        <v>6</v>
      </c>
      <c r="S1145" s="31">
        <v>432000</v>
      </c>
      <c r="T1145" s="39">
        <v>480000</v>
      </c>
      <c r="U1145">
        <v>75000</v>
      </c>
      <c r="V1145">
        <v>40000.019999999997</v>
      </c>
      <c r="W1145">
        <v>0</v>
      </c>
      <c r="X1145" s="39">
        <v>202749.96</v>
      </c>
      <c r="Y1145">
        <v>0</v>
      </c>
      <c r="Z1145" s="31">
        <v>364999.98</v>
      </c>
      <c r="AA1145">
        <v>8</v>
      </c>
      <c r="AB1145" s="3">
        <f t="shared" si="53"/>
        <v>364999.98</v>
      </c>
      <c r="AC1145" t="str">
        <f>IF(AB1145-S1145&lt;0,"YES","NO")</f>
        <v>YES</v>
      </c>
      <c r="AD1145">
        <f>IF(AC1145="NO",0,AB1145-S1145)</f>
        <v>-67000.020000000019</v>
      </c>
      <c r="AE1145" s="43">
        <v>0.08</v>
      </c>
      <c r="AF1145" s="3">
        <f t="shared" si="54"/>
        <v>-62037.055555555569</v>
      </c>
      <c r="AG1145" s="45">
        <f t="shared" si="55"/>
        <v>-68240.761111111133</v>
      </c>
      <c r="AH1145" s="55"/>
    </row>
    <row r="1146" spans="1:34" x14ac:dyDescent="0.25">
      <c r="A1146" t="s">
        <v>4264</v>
      </c>
      <c r="B1146" t="s">
        <v>4265</v>
      </c>
      <c r="C1146" t="s">
        <v>4266</v>
      </c>
      <c r="D1146" t="s">
        <v>4267</v>
      </c>
      <c r="E1146" t="s">
        <v>4268</v>
      </c>
      <c r="F1146" t="s">
        <v>4269</v>
      </c>
      <c r="G1146" t="s">
        <v>5</v>
      </c>
      <c r="H1146" t="s">
        <v>65</v>
      </c>
      <c r="I1146" t="s">
        <v>66</v>
      </c>
      <c r="J1146" t="s">
        <v>67</v>
      </c>
      <c r="K1146" t="s">
        <v>3</v>
      </c>
      <c r="L1146" t="s">
        <v>4</v>
      </c>
      <c r="M1146" t="s">
        <v>49</v>
      </c>
      <c r="N1146" t="s">
        <v>4270</v>
      </c>
      <c r="O1146" s="31" t="s">
        <v>4271</v>
      </c>
      <c r="P1146">
        <v>220</v>
      </c>
      <c r="R1146">
        <v>2</v>
      </c>
      <c r="S1146" s="31">
        <v>150000</v>
      </c>
      <c r="T1146" s="39">
        <v>160000</v>
      </c>
      <c r="U1146">
        <v>9795</v>
      </c>
      <c r="V1146">
        <v>16000</v>
      </c>
      <c r="W1146">
        <v>0</v>
      </c>
      <c r="X1146" s="39">
        <v>27241</v>
      </c>
      <c r="Y1146">
        <v>0</v>
      </c>
      <c r="Z1146" s="31">
        <v>134205</v>
      </c>
      <c r="AA1146">
        <v>8</v>
      </c>
      <c r="AB1146" s="3">
        <f t="shared" si="53"/>
        <v>134205</v>
      </c>
      <c r="AC1146" t="str">
        <f>IF(AB1146-S1146&lt;0,"YES","NO")</f>
        <v>YES</v>
      </c>
      <c r="AD1146">
        <f>IF(AC1146="NO",0,AB1146-S1146)</f>
        <v>-15795</v>
      </c>
      <c r="AE1146" s="43">
        <v>0.08</v>
      </c>
      <c r="AF1146" s="3">
        <f t="shared" si="54"/>
        <v>-14624.999999999998</v>
      </c>
      <c r="AG1146" s="45">
        <f t="shared" si="55"/>
        <v>-16087.5</v>
      </c>
      <c r="AH1146" s="55"/>
    </row>
    <row r="1147" spans="1:34" x14ac:dyDescent="0.25">
      <c r="A1147" t="s">
        <v>4264</v>
      </c>
      <c r="B1147" t="s">
        <v>4265</v>
      </c>
      <c r="C1147" t="s">
        <v>4266</v>
      </c>
      <c r="D1147" t="s">
        <v>4267</v>
      </c>
      <c r="E1147" t="s">
        <v>4268</v>
      </c>
      <c r="F1147" t="s">
        <v>4269</v>
      </c>
      <c r="G1147" t="s">
        <v>5</v>
      </c>
      <c r="H1147" t="s">
        <v>65</v>
      </c>
      <c r="I1147" t="s">
        <v>82</v>
      </c>
      <c r="J1147" t="s">
        <v>83</v>
      </c>
      <c r="K1147" t="s">
        <v>3</v>
      </c>
      <c r="L1147" t="s">
        <v>4</v>
      </c>
      <c r="M1147" t="s">
        <v>49</v>
      </c>
      <c r="N1147" t="s">
        <v>4270</v>
      </c>
      <c r="O1147" s="31" t="s">
        <v>4271</v>
      </c>
      <c r="P1147">
        <v>220</v>
      </c>
      <c r="R1147">
        <v>2</v>
      </c>
      <c r="S1147" s="31">
        <v>150000</v>
      </c>
      <c r="T1147" s="39">
        <v>160000</v>
      </c>
      <c r="U1147">
        <v>10205</v>
      </c>
      <c r="V1147">
        <v>10000</v>
      </c>
      <c r="W1147">
        <v>0</v>
      </c>
      <c r="X1147" s="39">
        <v>28379</v>
      </c>
      <c r="Y1147">
        <v>0</v>
      </c>
      <c r="Z1147" s="31">
        <v>139795</v>
      </c>
      <c r="AA1147">
        <v>8</v>
      </c>
      <c r="AB1147" s="3">
        <f t="shared" si="53"/>
        <v>139795</v>
      </c>
      <c r="AC1147" t="str">
        <f>IF(AB1147-S1147&lt;0,"YES","NO")</f>
        <v>YES</v>
      </c>
      <c r="AD1147">
        <f>IF(AC1147="NO",0,AB1147-S1147)</f>
        <v>-10205</v>
      </c>
      <c r="AE1147" s="43">
        <v>0.08</v>
      </c>
      <c r="AF1147" s="3">
        <f t="shared" si="54"/>
        <v>-9449.074074074073</v>
      </c>
      <c r="AG1147" s="45">
        <f t="shared" si="55"/>
        <v>-10393.981481481482</v>
      </c>
      <c r="AH1147" s="55"/>
    </row>
    <row r="1148" spans="1:34" x14ac:dyDescent="0.25">
      <c r="A1148" t="s">
        <v>4272</v>
      </c>
      <c r="B1148" t="s">
        <v>4273</v>
      </c>
      <c r="C1148" t="s">
        <v>4274</v>
      </c>
      <c r="D1148" t="s">
        <v>4275</v>
      </c>
      <c r="E1148" t="s">
        <v>4276</v>
      </c>
      <c r="F1148" t="s">
        <v>4277</v>
      </c>
      <c r="G1148" t="s">
        <v>5</v>
      </c>
      <c r="H1148" t="s">
        <v>65</v>
      </c>
      <c r="I1148" t="s">
        <v>68</v>
      </c>
      <c r="J1148" t="s">
        <v>69</v>
      </c>
      <c r="K1148" t="s">
        <v>3</v>
      </c>
      <c r="L1148" t="s">
        <v>4</v>
      </c>
      <c r="M1148" t="s">
        <v>49</v>
      </c>
      <c r="N1148" t="s">
        <v>4278</v>
      </c>
      <c r="O1148" s="31" t="s">
        <v>4279</v>
      </c>
      <c r="P1148">
        <v>220</v>
      </c>
      <c r="Q1148" t="s">
        <v>70</v>
      </c>
      <c r="R1148">
        <v>1</v>
      </c>
      <c r="S1148" s="31">
        <v>59000</v>
      </c>
      <c r="T1148" s="39">
        <v>65000</v>
      </c>
      <c r="U1148">
        <v>11666.67</v>
      </c>
      <c r="V1148">
        <v>5000</v>
      </c>
      <c r="W1148">
        <v>0</v>
      </c>
      <c r="X1148" s="39">
        <v>21333.33</v>
      </c>
      <c r="Y1148">
        <v>0</v>
      </c>
      <c r="Z1148" s="31">
        <v>48333.33</v>
      </c>
      <c r="AA1148">
        <v>8</v>
      </c>
      <c r="AB1148" s="3">
        <f t="shared" si="53"/>
        <v>48333.33</v>
      </c>
      <c r="AC1148" t="str">
        <f>IF(AB1148-S1148&lt;0,"YES","NO")</f>
        <v>YES</v>
      </c>
      <c r="AD1148">
        <f>IF(AC1148="NO",0,AB1148-S1148)</f>
        <v>-10666.669999999998</v>
      </c>
      <c r="AE1148" s="43">
        <v>0.08</v>
      </c>
      <c r="AF1148" s="3">
        <f t="shared" si="54"/>
        <v>-9876.5462962962938</v>
      </c>
      <c r="AG1148" s="45">
        <f t="shared" si="55"/>
        <v>-10864.200925925925</v>
      </c>
      <c r="AH1148" s="55"/>
    </row>
    <row r="1149" spans="1:34" x14ac:dyDescent="0.25">
      <c r="A1149" t="s">
        <v>4272</v>
      </c>
      <c r="B1149" t="s">
        <v>4273</v>
      </c>
      <c r="C1149" t="s">
        <v>4274</v>
      </c>
      <c r="D1149" t="s">
        <v>4275</v>
      </c>
      <c r="E1149" t="s">
        <v>4276</v>
      </c>
      <c r="F1149" t="s">
        <v>4277</v>
      </c>
      <c r="G1149" t="s">
        <v>5</v>
      </c>
      <c r="H1149" t="s">
        <v>65</v>
      </c>
      <c r="I1149" t="s">
        <v>71</v>
      </c>
      <c r="J1149" t="s">
        <v>72</v>
      </c>
      <c r="K1149" t="s">
        <v>3</v>
      </c>
      <c r="L1149" t="s">
        <v>4</v>
      </c>
      <c r="M1149" t="s">
        <v>49</v>
      </c>
      <c r="N1149" t="s">
        <v>4278</v>
      </c>
      <c r="O1149" s="31" t="s">
        <v>4279</v>
      </c>
      <c r="P1149">
        <v>220</v>
      </c>
      <c r="Q1149" t="s">
        <v>70</v>
      </c>
      <c r="R1149">
        <v>1</v>
      </c>
      <c r="S1149" s="31">
        <v>59000</v>
      </c>
      <c r="T1149" s="39">
        <v>65000</v>
      </c>
      <c r="U1149">
        <v>11666.67</v>
      </c>
      <c r="V1149">
        <v>5000</v>
      </c>
      <c r="W1149">
        <v>0</v>
      </c>
      <c r="X1149" s="39">
        <v>21333.33</v>
      </c>
      <c r="Y1149">
        <v>0</v>
      </c>
      <c r="Z1149" s="31">
        <v>48333.33</v>
      </c>
      <c r="AA1149">
        <v>8</v>
      </c>
      <c r="AB1149" s="3">
        <f t="shared" si="53"/>
        <v>48333.33</v>
      </c>
      <c r="AC1149" t="str">
        <f>IF(AB1149-S1149&lt;0,"YES","NO")</f>
        <v>YES</v>
      </c>
      <c r="AD1149">
        <f>IF(AC1149="NO",0,AB1149-S1149)</f>
        <v>-10666.669999999998</v>
      </c>
      <c r="AE1149" s="43">
        <v>0.08</v>
      </c>
      <c r="AF1149" s="3">
        <f t="shared" si="54"/>
        <v>-9876.5462962962938</v>
      </c>
      <c r="AG1149" s="45">
        <f t="shared" si="55"/>
        <v>-10864.200925925925</v>
      </c>
      <c r="AH1149" s="55"/>
    </row>
    <row r="1150" spans="1:34" x14ac:dyDescent="0.25">
      <c r="A1150" t="s">
        <v>4272</v>
      </c>
      <c r="B1150" t="s">
        <v>4273</v>
      </c>
      <c r="C1150" t="s">
        <v>4274</v>
      </c>
      <c r="D1150" t="s">
        <v>4275</v>
      </c>
      <c r="E1150" t="s">
        <v>4276</v>
      </c>
      <c r="F1150" t="s">
        <v>4277</v>
      </c>
      <c r="G1150" t="s">
        <v>5</v>
      </c>
      <c r="H1150" t="s">
        <v>65</v>
      </c>
      <c r="I1150" t="s">
        <v>73</v>
      </c>
      <c r="J1150" t="s">
        <v>74</v>
      </c>
      <c r="K1150" t="s">
        <v>3</v>
      </c>
      <c r="L1150" t="s">
        <v>4</v>
      </c>
      <c r="M1150" t="s">
        <v>49</v>
      </c>
      <c r="N1150" t="s">
        <v>4278</v>
      </c>
      <c r="O1150" s="31" t="s">
        <v>4279</v>
      </c>
      <c r="P1150">
        <v>220</v>
      </c>
      <c r="Q1150" t="s">
        <v>70</v>
      </c>
      <c r="R1150">
        <v>1</v>
      </c>
      <c r="S1150" s="31">
        <v>59000</v>
      </c>
      <c r="T1150" s="39">
        <v>65000</v>
      </c>
      <c r="U1150">
        <v>11666.67</v>
      </c>
      <c r="V1150">
        <v>5000</v>
      </c>
      <c r="W1150">
        <v>0</v>
      </c>
      <c r="X1150" s="39">
        <v>21333.33</v>
      </c>
      <c r="Y1150">
        <v>0</v>
      </c>
      <c r="Z1150" s="31">
        <v>48333.33</v>
      </c>
      <c r="AA1150">
        <v>8</v>
      </c>
      <c r="AB1150" s="3">
        <f t="shared" si="53"/>
        <v>48333.33</v>
      </c>
      <c r="AC1150" t="str">
        <f>IF(AB1150-S1150&lt;0,"YES","NO")</f>
        <v>YES</v>
      </c>
      <c r="AD1150">
        <f>IF(AC1150="NO",0,AB1150-S1150)</f>
        <v>-10666.669999999998</v>
      </c>
      <c r="AE1150" s="43">
        <v>0.08</v>
      </c>
      <c r="AF1150" s="3">
        <f t="shared" si="54"/>
        <v>-9876.5462962962938</v>
      </c>
      <c r="AG1150" s="45">
        <f t="shared" si="55"/>
        <v>-10864.200925925925</v>
      </c>
      <c r="AH1150" s="55"/>
    </row>
    <row r="1151" spans="1:34" x14ac:dyDescent="0.25">
      <c r="A1151" t="s">
        <v>4280</v>
      </c>
      <c r="B1151" t="s">
        <v>4281</v>
      </c>
      <c r="C1151" t="s">
        <v>4282</v>
      </c>
      <c r="D1151" t="s">
        <v>4283</v>
      </c>
      <c r="E1151" t="s">
        <v>4284</v>
      </c>
      <c r="F1151" t="s">
        <v>4285</v>
      </c>
      <c r="G1151" t="s">
        <v>5</v>
      </c>
      <c r="H1151" t="s">
        <v>65</v>
      </c>
      <c r="I1151" t="s">
        <v>68</v>
      </c>
      <c r="J1151" t="s">
        <v>69</v>
      </c>
      <c r="K1151" t="s">
        <v>3</v>
      </c>
      <c r="L1151" t="s">
        <v>4</v>
      </c>
      <c r="M1151" t="s">
        <v>49</v>
      </c>
      <c r="N1151" t="s">
        <v>4286</v>
      </c>
      <c r="O1151" s="31" t="s">
        <v>4287</v>
      </c>
      <c r="P1151">
        <v>220</v>
      </c>
      <c r="Q1151" t="s">
        <v>70</v>
      </c>
      <c r="R1151">
        <v>1</v>
      </c>
      <c r="S1151" s="31">
        <v>59000</v>
      </c>
      <c r="T1151" s="39">
        <v>65000</v>
      </c>
      <c r="U1151">
        <v>11666.67</v>
      </c>
      <c r="V1151">
        <v>5000</v>
      </c>
      <c r="W1151">
        <v>0</v>
      </c>
      <c r="X1151" s="39">
        <v>21333.33</v>
      </c>
      <c r="Y1151">
        <v>0</v>
      </c>
      <c r="Z1151" s="31">
        <v>48333.33</v>
      </c>
      <c r="AA1151">
        <v>8</v>
      </c>
      <c r="AB1151" s="3">
        <f t="shared" si="53"/>
        <v>48333.33</v>
      </c>
      <c r="AC1151" t="str">
        <f>IF(AB1151-S1151&lt;0,"YES","NO")</f>
        <v>YES</v>
      </c>
      <c r="AD1151">
        <f>IF(AC1151="NO",0,AB1151-S1151)</f>
        <v>-10666.669999999998</v>
      </c>
      <c r="AE1151" s="43">
        <v>0.08</v>
      </c>
      <c r="AF1151" s="3">
        <f t="shared" si="54"/>
        <v>-9876.5462962962938</v>
      </c>
      <c r="AG1151" s="45">
        <f t="shared" si="55"/>
        <v>-10864.200925925925</v>
      </c>
      <c r="AH1151" s="55"/>
    </row>
    <row r="1152" spans="1:34" x14ac:dyDescent="0.25">
      <c r="A1152" t="s">
        <v>4280</v>
      </c>
      <c r="B1152" t="s">
        <v>4281</v>
      </c>
      <c r="C1152" t="s">
        <v>4282</v>
      </c>
      <c r="D1152" t="s">
        <v>4283</v>
      </c>
      <c r="E1152" t="s">
        <v>4284</v>
      </c>
      <c r="F1152" t="s">
        <v>4285</v>
      </c>
      <c r="G1152" t="s">
        <v>5</v>
      </c>
      <c r="H1152" t="s">
        <v>65</v>
      </c>
      <c r="I1152" t="s">
        <v>71</v>
      </c>
      <c r="J1152" t="s">
        <v>72</v>
      </c>
      <c r="K1152" t="s">
        <v>3</v>
      </c>
      <c r="L1152" t="s">
        <v>4</v>
      </c>
      <c r="M1152" t="s">
        <v>49</v>
      </c>
      <c r="N1152" t="s">
        <v>4286</v>
      </c>
      <c r="O1152" s="31" t="s">
        <v>4287</v>
      </c>
      <c r="P1152">
        <v>220</v>
      </c>
      <c r="Q1152" t="s">
        <v>70</v>
      </c>
      <c r="R1152">
        <v>1</v>
      </c>
      <c r="S1152" s="31">
        <v>59000</v>
      </c>
      <c r="T1152" s="39">
        <v>65000</v>
      </c>
      <c r="U1152">
        <v>11666.67</v>
      </c>
      <c r="V1152">
        <v>5000</v>
      </c>
      <c r="W1152">
        <v>0</v>
      </c>
      <c r="X1152" s="39">
        <v>21333.33</v>
      </c>
      <c r="Y1152">
        <v>0</v>
      </c>
      <c r="Z1152" s="31">
        <v>48333.33</v>
      </c>
      <c r="AA1152">
        <v>8</v>
      </c>
      <c r="AB1152" s="3">
        <f t="shared" si="53"/>
        <v>48333.33</v>
      </c>
      <c r="AC1152" t="str">
        <f>IF(AB1152-S1152&lt;0,"YES","NO")</f>
        <v>YES</v>
      </c>
      <c r="AD1152">
        <f>IF(AC1152="NO",0,AB1152-S1152)</f>
        <v>-10666.669999999998</v>
      </c>
      <c r="AE1152" s="43">
        <v>0.08</v>
      </c>
      <c r="AF1152" s="3">
        <f t="shared" si="54"/>
        <v>-9876.5462962962938</v>
      </c>
      <c r="AG1152" s="45">
        <f t="shared" si="55"/>
        <v>-10864.200925925925</v>
      </c>
      <c r="AH1152" s="55"/>
    </row>
    <row r="1153" spans="1:34" x14ac:dyDescent="0.25">
      <c r="A1153" t="s">
        <v>4280</v>
      </c>
      <c r="B1153" t="s">
        <v>4281</v>
      </c>
      <c r="C1153" t="s">
        <v>4282</v>
      </c>
      <c r="D1153" t="s">
        <v>4283</v>
      </c>
      <c r="E1153" t="s">
        <v>4284</v>
      </c>
      <c r="F1153" t="s">
        <v>4285</v>
      </c>
      <c r="G1153" t="s">
        <v>5</v>
      </c>
      <c r="H1153" t="s">
        <v>65</v>
      </c>
      <c r="I1153" t="s">
        <v>73</v>
      </c>
      <c r="J1153" t="s">
        <v>74</v>
      </c>
      <c r="K1153" t="s">
        <v>3</v>
      </c>
      <c r="L1153" t="s">
        <v>4</v>
      </c>
      <c r="M1153" t="s">
        <v>49</v>
      </c>
      <c r="N1153" t="s">
        <v>4286</v>
      </c>
      <c r="O1153" s="31" t="s">
        <v>4287</v>
      </c>
      <c r="P1153">
        <v>220</v>
      </c>
      <c r="Q1153" t="s">
        <v>70</v>
      </c>
      <c r="R1153">
        <v>1</v>
      </c>
      <c r="S1153" s="31">
        <v>59000</v>
      </c>
      <c r="T1153" s="39">
        <v>65000</v>
      </c>
      <c r="U1153">
        <v>11666.67</v>
      </c>
      <c r="V1153">
        <v>5000</v>
      </c>
      <c r="W1153">
        <v>0</v>
      </c>
      <c r="X1153" s="39">
        <v>21333.33</v>
      </c>
      <c r="Y1153">
        <v>0</v>
      </c>
      <c r="Z1153" s="31">
        <v>48333.33</v>
      </c>
      <c r="AA1153">
        <v>8</v>
      </c>
      <c r="AB1153" s="3">
        <f t="shared" si="53"/>
        <v>48333.33</v>
      </c>
      <c r="AC1153" t="str">
        <f>IF(AB1153-S1153&lt;0,"YES","NO")</f>
        <v>YES</v>
      </c>
      <c r="AD1153">
        <f>IF(AC1153="NO",0,AB1153-S1153)</f>
        <v>-10666.669999999998</v>
      </c>
      <c r="AE1153" s="43">
        <v>0.08</v>
      </c>
      <c r="AF1153" s="3">
        <f t="shared" si="54"/>
        <v>-9876.5462962962938</v>
      </c>
      <c r="AG1153" s="45">
        <f t="shared" si="55"/>
        <v>-10864.200925925925</v>
      </c>
      <c r="AH1153" s="55"/>
    </row>
    <row r="1154" spans="1:34" x14ac:dyDescent="0.25">
      <c r="A1154" t="s">
        <v>4288</v>
      </c>
      <c r="B1154" t="s">
        <v>4289</v>
      </c>
      <c r="C1154" t="s">
        <v>4290</v>
      </c>
      <c r="D1154" t="s">
        <v>4291</v>
      </c>
      <c r="E1154" t="s">
        <v>4292</v>
      </c>
      <c r="F1154" t="s">
        <v>4293</v>
      </c>
      <c r="G1154" t="s">
        <v>5</v>
      </c>
      <c r="H1154" t="s">
        <v>61</v>
      </c>
      <c r="I1154" t="s">
        <v>62</v>
      </c>
      <c r="J1154" t="s">
        <v>63</v>
      </c>
      <c r="K1154" t="s">
        <v>3</v>
      </c>
      <c r="L1154" t="s">
        <v>4</v>
      </c>
      <c r="M1154" t="s">
        <v>49</v>
      </c>
      <c r="N1154" t="s">
        <v>4294</v>
      </c>
      <c r="O1154" s="31" t="s">
        <v>4295</v>
      </c>
      <c r="P1154">
        <v>20000</v>
      </c>
      <c r="Q1154" t="s">
        <v>64</v>
      </c>
      <c r="R1154">
        <v>1</v>
      </c>
      <c r="S1154" s="31">
        <v>0</v>
      </c>
      <c r="T1154" s="39">
        <v>0</v>
      </c>
      <c r="U1154">
        <v>0</v>
      </c>
      <c r="V1154">
        <v>0</v>
      </c>
      <c r="W1154">
        <v>0</v>
      </c>
      <c r="X1154" s="39">
        <v>0</v>
      </c>
      <c r="Y1154">
        <v>0</v>
      </c>
      <c r="Z1154" s="31">
        <v>0</v>
      </c>
      <c r="AA1154">
        <v>8</v>
      </c>
      <c r="AB1154" s="3">
        <f t="shared" si="53"/>
        <v>0</v>
      </c>
      <c r="AC1154" t="str">
        <f>IF(AB1154-S1154&lt;0,"YES","NO")</f>
        <v>NO</v>
      </c>
      <c r="AD1154">
        <f>IF(AC1154="NO",0,AB1154-S1154)</f>
        <v>0</v>
      </c>
      <c r="AE1154" s="43">
        <v>0.08</v>
      </c>
      <c r="AF1154" s="3">
        <f t="shared" si="54"/>
        <v>0</v>
      </c>
      <c r="AG1154" s="45">
        <f t="shared" si="55"/>
        <v>0</v>
      </c>
      <c r="AH1154" s="55"/>
    </row>
    <row r="1155" spans="1:34" x14ac:dyDescent="0.25">
      <c r="A1155" t="s">
        <v>4288</v>
      </c>
      <c r="B1155" t="s">
        <v>4289</v>
      </c>
      <c r="C1155" t="s">
        <v>4290</v>
      </c>
      <c r="D1155" t="s">
        <v>4291</v>
      </c>
      <c r="E1155" t="s">
        <v>4292</v>
      </c>
      <c r="F1155" t="s">
        <v>4293</v>
      </c>
      <c r="G1155" t="s">
        <v>5</v>
      </c>
      <c r="H1155" t="s">
        <v>65</v>
      </c>
      <c r="I1155" t="s">
        <v>87</v>
      </c>
      <c r="J1155" t="s">
        <v>88</v>
      </c>
      <c r="K1155" t="s">
        <v>3</v>
      </c>
      <c r="L1155" t="s">
        <v>4</v>
      </c>
      <c r="M1155" t="s">
        <v>49</v>
      </c>
      <c r="N1155" t="s">
        <v>4294</v>
      </c>
      <c r="O1155" s="31" t="s">
        <v>4295</v>
      </c>
      <c r="P1155">
        <v>220</v>
      </c>
      <c r="Q1155" t="s">
        <v>89</v>
      </c>
      <c r="R1155">
        <v>1</v>
      </c>
      <c r="S1155" s="31">
        <v>59000</v>
      </c>
      <c r="T1155" s="39">
        <v>70000</v>
      </c>
      <c r="U1155">
        <v>0</v>
      </c>
      <c r="V1155">
        <v>6500</v>
      </c>
      <c r="W1155">
        <v>0</v>
      </c>
      <c r="X1155" s="39">
        <v>16509.5</v>
      </c>
      <c r="Y1155">
        <v>0</v>
      </c>
      <c r="Z1155" s="31">
        <v>63500</v>
      </c>
      <c r="AA1155">
        <v>8</v>
      </c>
      <c r="AB1155" s="3">
        <f t="shared" si="53"/>
        <v>63500</v>
      </c>
      <c r="AC1155" t="str">
        <f>IF(AB1155-S1155&lt;0,"YES","NO")</f>
        <v>NO</v>
      </c>
      <c r="AD1155">
        <f>IF(AC1155="NO",0,AB1155-S1155)</f>
        <v>0</v>
      </c>
      <c r="AE1155" s="43">
        <v>0.08</v>
      </c>
      <c r="AF1155" s="3">
        <f t="shared" si="54"/>
        <v>0</v>
      </c>
      <c r="AG1155" s="45">
        <f t="shared" si="55"/>
        <v>0</v>
      </c>
      <c r="AH1155" s="55"/>
    </row>
    <row r="1156" spans="1:34" x14ac:dyDescent="0.25">
      <c r="A1156" t="s">
        <v>4288</v>
      </c>
      <c r="B1156" t="s">
        <v>4289</v>
      </c>
      <c r="C1156" t="s">
        <v>4290</v>
      </c>
      <c r="D1156" t="s">
        <v>4291</v>
      </c>
      <c r="E1156" t="s">
        <v>4292</v>
      </c>
      <c r="F1156" t="s">
        <v>4293</v>
      </c>
      <c r="G1156" t="s">
        <v>5</v>
      </c>
      <c r="H1156" t="s">
        <v>65</v>
      </c>
      <c r="I1156" t="s">
        <v>90</v>
      </c>
      <c r="J1156" t="s">
        <v>91</v>
      </c>
      <c r="K1156" t="s">
        <v>3</v>
      </c>
      <c r="L1156" t="s">
        <v>4</v>
      </c>
      <c r="M1156" t="s">
        <v>49</v>
      </c>
      <c r="N1156" t="s">
        <v>4294</v>
      </c>
      <c r="O1156" s="31" t="s">
        <v>4295</v>
      </c>
      <c r="P1156">
        <v>220</v>
      </c>
      <c r="Q1156" t="s">
        <v>92</v>
      </c>
      <c r="R1156">
        <v>1</v>
      </c>
      <c r="S1156" s="31">
        <v>59000</v>
      </c>
      <c r="T1156" s="39">
        <v>70000</v>
      </c>
      <c r="U1156">
        <v>0</v>
      </c>
      <c r="V1156">
        <v>6500</v>
      </c>
      <c r="W1156">
        <v>0</v>
      </c>
      <c r="X1156" s="39">
        <v>16509.5</v>
      </c>
      <c r="Y1156">
        <v>0</v>
      </c>
      <c r="Z1156" s="31">
        <v>63500</v>
      </c>
      <c r="AA1156">
        <v>8</v>
      </c>
      <c r="AB1156" s="3">
        <f t="shared" si="53"/>
        <v>63500</v>
      </c>
      <c r="AC1156" t="str">
        <f>IF(AB1156-S1156&lt;0,"YES","NO")</f>
        <v>NO</v>
      </c>
      <c r="AD1156">
        <f>IF(AC1156="NO",0,AB1156-S1156)</f>
        <v>0</v>
      </c>
      <c r="AE1156" s="43">
        <v>0.08</v>
      </c>
      <c r="AF1156" s="3">
        <f t="shared" si="54"/>
        <v>0</v>
      </c>
      <c r="AG1156" s="45">
        <f t="shared" si="55"/>
        <v>0</v>
      </c>
      <c r="AH1156" s="55"/>
    </row>
    <row r="1157" spans="1:34" x14ac:dyDescent="0.25">
      <c r="A1157" t="s">
        <v>4288</v>
      </c>
      <c r="B1157" t="s">
        <v>4289</v>
      </c>
      <c r="C1157" t="s">
        <v>4290</v>
      </c>
      <c r="D1157" t="s">
        <v>4291</v>
      </c>
      <c r="E1157" t="s">
        <v>4292</v>
      </c>
      <c r="F1157" t="s">
        <v>4293</v>
      </c>
      <c r="G1157" t="s">
        <v>5</v>
      </c>
      <c r="H1157" t="s">
        <v>65</v>
      </c>
      <c r="I1157" t="s">
        <v>68</v>
      </c>
      <c r="J1157" t="s">
        <v>69</v>
      </c>
      <c r="K1157" t="s">
        <v>3</v>
      </c>
      <c r="L1157" t="s">
        <v>4</v>
      </c>
      <c r="M1157" t="s">
        <v>49</v>
      </c>
      <c r="N1157" t="s">
        <v>4294</v>
      </c>
      <c r="O1157" s="31" t="s">
        <v>4295</v>
      </c>
      <c r="P1157">
        <v>220</v>
      </c>
      <c r="Q1157" t="s">
        <v>70</v>
      </c>
      <c r="R1157">
        <v>3</v>
      </c>
      <c r="S1157" s="31">
        <v>177000</v>
      </c>
      <c r="T1157" s="39">
        <v>195000</v>
      </c>
      <c r="U1157">
        <v>35000.01</v>
      </c>
      <c r="V1157">
        <v>19500</v>
      </c>
      <c r="W1157">
        <v>0</v>
      </c>
      <c r="X1157" s="39">
        <v>71529.990000000005</v>
      </c>
      <c r="Y1157">
        <v>0</v>
      </c>
      <c r="Z1157" s="31">
        <v>140499.99</v>
      </c>
      <c r="AA1157">
        <v>8</v>
      </c>
      <c r="AB1157" s="3">
        <f t="shared" si="53"/>
        <v>140499.99</v>
      </c>
      <c r="AC1157" t="str">
        <f>IF(AB1157-S1157&lt;0,"YES","NO")</f>
        <v>YES</v>
      </c>
      <c r="AD1157">
        <f>IF(AC1157="NO",0,AB1157-S1157)</f>
        <v>-36500.010000000009</v>
      </c>
      <c r="AE1157" s="43">
        <v>0.08</v>
      </c>
      <c r="AF1157" s="3">
        <f t="shared" si="54"/>
        <v>-33796.305555555562</v>
      </c>
      <c r="AG1157" s="45">
        <f t="shared" si="55"/>
        <v>-37175.936111111121</v>
      </c>
      <c r="AH1157" s="55"/>
    </row>
    <row r="1158" spans="1:34" x14ac:dyDescent="0.25">
      <c r="A1158" t="s">
        <v>4296</v>
      </c>
      <c r="B1158" t="s">
        <v>4297</v>
      </c>
      <c r="C1158" t="s">
        <v>4298</v>
      </c>
      <c r="D1158" t="s">
        <v>4299</v>
      </c>
      <c r="E1158" t="s">
        <v>4300</v>
      </c>
      <c r="F1158" t="s">
        <v>4301</v>
      </c>
      <c r="G1158" t="s">
        <v>5</v>
      </c>
      <c r="H1158" t="s">
        <v>65</v>
      </c>
      <c r="I1158" t="s">
        <v>66</v>
      </c>
      <c r="J1158" t="s">
        <v>67</v>
      </c>
      <c r="K1158" t="s">
        <v>3</v>
      </c>
      <c r="L1158" t="s">
        <v>4</v>
      </c>
      <c r="M1158" t="s">
        <v>49</v>
      </c>
      <c r="N1158" t="s">
        <v>4302</v>
      </c>
      <c r="O1158" s="31" t="s">
        <v>4303</v>
      </c>
      <c r="P1158">
        <v>220</v>
      </c>
      <c r="R1158">
        <v>2</v>
      </c>
      <c r="S1158" s="31">
        <v>150000</v>
      </c>
      <c r="T1158" s="39">
        <v>160000</v>
      </c>
      <c r="U1158">
        <v>20000</v>
      </c>
      <c r="V1158">
        <v>16000</v>
      </c>
      <c r="W1158">
        <v>0</v>
      </c>
      <c r="X1158" s="39">
        <v>44800</v>
      </c>
      <c r="Y1158">
        <v>0</v>
      </c>
      <c r="Z1158" s="31">
        <v>124000</v>
      </c>
      <c r="AA1158">
        <v>8</v>
      </c>
      <c r="AB1158" s="3">
        <f t="shared" ref="AB1158:AB1221" si="56">Z1158</f>
        <v>124000</v>
      </c>
      <c r="AC1158" t="str">
        <f>IF(AB1158-S1158&lt;0,"YES","NO")</f>
        <v>YES</v>
      </c>
      <c r="AD1158">
        <f>IF(AC1158="NO",0,AB1158-S1158)</f>
        <v>-26000</v>
      </c>
      <c r="AE1158" s="43">
        <v>0.08</v>
      </c>
      <c r="AF1158" s="3">
        <f t="shared" ref="AF1158:AF1221" si="57">AD1158/(1+AE1158)</f>
        <v>-24074.074074074073</v>
      </c>
      <c r="AG1158" s="45">
        <f t="shared" ref="AG1158:AG1221" si="58">AF1158*1.1</f>
        <v>-26481.481481481482</v>
      </c>
      <c r="AH1158" s="55"/>
    </row>
    <row r="1159" spans="1:34" x14ac:dyDescent="0.25">
      <c r="A1159" t="s">
        <v>4304</v>
      </c>
      <c r="B1159" t="s">
        <v>4305</v>
      </c>
      <c r="C1159" t="s">
        <v>4306</v>
      </c>
      <c r="D1159" t="s">
        <v>4307</v>
      </c>
      <c r="E1159" t="s">
        <v>4308</v>
      </c>
      <c r="F1159" t="s">
        <v>4309</v>
      </c>
      <c r="G1159" t="s">
        <v>5</v>
      </c>
      <c r="H1159" t="s">
        <v>65</v>
      </c>
      <c r="I1159" t="s">
        <v>66</v>
      </c>
      <c r="J1159" t="s">
        <v>67</v>
      </c>
      <c r="K1159" t="s">
        <v>3</v>
      </c>
      <c r="L1159" t="s">
        <v>4</v>
      </c>
      <c r="M1159" t="s">
        <v>49</v>
      </c>
      <c r="N1159" t="s">
        <v>4310</v>
      </c>
      <c r="O1159" s="31" t="s">
        <v>4311</v>
      </c>
      <c r="P1159">
        <v>220</v>
      </c>
      <c r="R1159">
        <v>2</v>
      </c>
      <c r="S1159" s="31">
        <v>150000</v>
      </c>
      <c r="T1159" s="39">
        <v>160000</v>
      </c>
      <c r="U1159">
        <v>26666.66</v>
      </c>
      <c r="V1159">
        <v>8333.34</v>
      </c>
      <c r="W1159">
        <v>0</v>
      </c>
      <c r="X1159" s="39">
        <v>42916.66</v>
      </c>
      <c r="Y1159">
        <v>0</v>
      </c>
      <c r="Z1159" s="31">
        <v>125000</v>
      </c>
      <c r="AA1159">
        <v>8</v>
      </c>
      <c r="AB1159" s="3">
        <f t="shared" si="56"/>
        <v>125000</v>
      </c>
      <c r="AC1159" t="str">
        <f>IF(AB1159-S1159&lt;0,"YES","NO")</f>
        <v>YES</v>
      </c>
      <c r="AD1159">
        <f>IF(AC1159="NO",0,AB1159-S1159)</f>
        <v>-25000</v>
      </c>
      <c r="AE1159" s="43">
        <v>0.08</v>
      </c>
      <c r="AF1159" s="3">
        <f t="shared" si="57"/>
        <v>-23148.148148148146</v>
      </c>
      <c r="AG1159" s="45">
        <f t="shared" si="58"/>
        <v>-25462.962962962964</v>
      </c>
      <c r="AH1159" s="55"/>
    </row>
    <row r="1160" spans="1:34" x14ac:dyDescent="0.25">
      <c r="A1160" t="s">
        <v>4304</v>
      </c>
      <c r="B1160" t="s">
        <v>4305</v>
      </c>
      <c r="C1160" t="s">
        <v>4306</v>
      </c>
      <c r="D1160" t="s">
        <v>4307</v>
      </c>
      <c r="E1160" t="s">
        <v>4308</v>
      </c>
      <c r="F1160" t="s">
        <v>4309</v>
      </c>
      <c r="G1160" t="s">
        <v>5</v>
      </c>
      <c r="H1160" t="s">
        <v>65</v>
      </c>
      <c r="I1160" t="s">
        <v>78</v>
      </c>
      <c r="J1160" t="s">
        <v>79</v>
      </c>
      <c r="K1160" t="s">
        <v>3</v>
      </c>
      <c r="L1160" t="s">
        <v>4</v>
      </c>
      <c r="M1160" t="s">
        <v>49</v>
      </c>
      <c r="N1160" t="s">
        <v>4310</v>
      </c>
      <c r="O1160" s="31" t="s">
        <v>4311</v>
      </c>
      <c r="P1160">
        <v>220</v>
      </c>
      <c r="R1160">
        <v>2</v>
      </c>
      <c r="S1160" s="31">
        <v>150000</v>
      </c>
      <c r="T1160" s="39">
        <v>160000</v>
      </c>
      <c r="U1160">
        <v>26666.66</v>
      </c>
      <c r="V1160">
        <v>8333.34</v>
      </c>
      <c r="W1160">
        <v>0</v>
      </c>
      <c r="X1160" s="39">
        <v>42916.66</v>
      </c>
      <c r="Y1160">
        <v>0</v>
      </c>
      <c r="Z1160" s="31">
        <v>125000</v>
      </c>
      <c r="AA1160">
        <v>8</v>
      </c>
      <c r="AB1160" s="3">
        <f t="shared" si="56"/>
        <v>125000</v>
      </c>
      <c r="AC1160" t="str">
        <f>IF(AB1160-S1160&lt;0,"YES","NO")</f>
        <v>YES</v>
      </c>
      <c r="AD1160">
        <f>IF(AC1160="NO",0,AB1160-S1160)</f>
        <v>-25000</v>
      </c>
      <c r="AE1160" s="43">
        <v>0.08</v>
      </c>
      <c r="AF1160" s="3">
        <f t="shared" si="57"/>
        <v>-23148.148148148146</v>
      </c>
      <c r="AG1160" s="45">
        <f t="shared" si="58"/>
        <v>-25462.962962962964</v>
      </c>
      <c r="AH1160" s="55"/>
    </row>
    <row r="1161" spans="1:34" x14ac:dyDescent="0.25">
      <c r="A1161" t="s">
        <v>4304</v>
      </c>
      <c r="B1161" t="s">
        <v>4305</v>
      </c>
      <c r="C1161" t="s">
        <v>4306</v>
      </c>
      <c r="D1161" t="s">
        <v>4307</v>
      </c>
      <c r="E1161" t="s">
        <v>4308</v>
      </c>
      <c r="F1161" t="s">
        <v>4309</v>
      </c>
      <c r="G1161" t="s">
        <v>5</v>
      </c>
      <c r="H1161" t="s">
        <v>65</v>
      </c>
      <c r="I1161" t="s">
        <v>80</v>
      </c>
      <c r="J1161" t="s">
        <v>81</v>
      </c>
      <c r="K1161" t="s">
        <v>3</v>
      </c>
      <c r="L1161" t="s">
        <v>4</v>
      </c>
      <c r="M1161" t="s">
        <v>49</v>
      </c>
      <c r="N1161" t="s">
        <v>4310</v>
      </c>
      <c r="O1161" s="31" t="s">
        <v>4311</v>
      </c>
      <c r="P1161">
        <v>220</v>
      </c>
      <c r="R1161">
        <v>2</v>
      </c>
      <c r="S1161" s="31">
        <v>150000</v>
      </c>
      <c r="T1161" s="39">
        <v>160000</v>
      </c>
      <c r="U1161">
        <v>26666.66</v>
      </c>
      <c r="V1161">
        <v>8333.34</v>
      </c>
      <c r="W1161">
        <v>0</v>
      </c>
      <c r="X1161" s="39">
        <v>42916.66</v>
      </c>
      <c r="Y1161">
        <v>0</v>
      </c>
      <c r="Z1161" s="31">
        <v>125000</v>
      </c>
      <c r="AA1161">
        <v>8</v>
      </c>
      <c r="AB1161" s="3">
        <f t="shared" si="56"/>
        <v>125000</v>
      </c>
      <c r="AC1161" t="str">
        <f>IF(AB1161-S1161&lt;0,"YES","NO")</f>
        <v>YES</v>
      </c>
      <c r="AD1161">
        <f>IF(AC1161="NO",0,AB1161-S1161)</f>
        <v>-25000</v>
      </c>
      <c r="AE1161" s="43">
        <v>0.08</v>
      </c>
      <c r="AF1161" s="3">
        <f t="shared" si="57"/>
        <v>-23148.148148148146</v>
      </c>
      <c r="AG1161" s="45">
        <f t="shared" si="58"/>
        <v>-25462.962962962964</v>
      </c>
      <c r="AH1161" s="55"/>
    </row>
    <row r="1162" spans="1:34" x14ac:dyDescent="0.25">
      <c r="A1162" t="s">
        <v>4312</v>
      </c>
      <c r="B1162" t="s">
        <v>4313</v>
      </c>
      <c r="C1162" t="s">
        <v>4314</v>
      </c>
      <c r="D1162" t="s">
        <v>4315</v>
      </c>
      <c r="E1162" t="s">
        <v>4316</v>
      </c>
      <c r="F1162" t="s">
        <v>4317</v>
      </c>
      <c r="G1162" t="s">
        <v>5</v>
      </c>
      <c r="H1162" t="s">
        <v>65</v>
      </c>
      <c r="I1162" t="s">
        <v>66</v>
      </c>
      <c r="J1162" t="s">
        <v>67</v>
      </c>
      <c r="K1162" t="s">
        <v>3</v>
      </c>
      <c r="L1162" t="s">
        <v>4</v>
      </c>
      <c r="M1162" t="s">
        <v>49</v>
      </c>
      <c r="N1162" t="s">
        <v>4318</v>
      </c>
      <c r="O1162" s="31" t="s">
        <v>4319</v>
      </c>
      <c r="P1162">
        <v>220</v>
      </c>
      <c r="R1162">
        <v>2</v>
      </c>
      <c r="S1162" s="31">
        <v>150000</v>
      </c>
      <c r="T1162" s="39">
        <v>160000</v>
      </c>
      <c r="U1162">
        <v>9795</v>
      </c>
      <c r="V1162">
        <v>16000</v>
      </c>
      <c r="W1162">
        <v>0</v>
      </c>
      <c r="X1162" s="39">
        <v>28583</v>
      </c>
      <c r="Y1162">
        <v>0</v>
      </c>
      <c r="Z1162" s="31">
        <v>134205</v>
      </c>
      <c r="AA1162">
        <v>8</v>
      </c>
      <c r="AB1162" s="3">
        <f t="shared" si="56"/>
        <v>134205</v>
      </c>
      <c r="AC1162" t="str">
        <f>IF(AB1162-S1162&lt;0,"YES","NO")</f>
        <v>YES</v>
      </c>
      <c r="AD1162">
        <f>IF(AC1162="NO",0,AB1162-S1162)</f>
        <v>-15795</v>
      </c>
      <c r="AE1162" s="43">
        <v>0.08</v>
      </c>
      <c r="AF1162" s="3">
        <f t="shared" si="57"/>
        <v>-14624.999999999998</v>
      </c>
      <c r="AG1162" s="45">
        <f t="shared" si="58"/>
        <v>-16087.5</v>
      </c>
      <c r="AH1162" s="55"/>
    </row>
    <row r="1163" spans="1:34" x14ac:dyDescent="0.25">
      <c r="A1163" t="s">
        <v>4312</v>
      </c>
      <c r="B1163" t="s">
        <v>4313</v>
      </c>
      <c r="C1163" t="s">
        <v>4314</v>
      </c>
      <c r="D1163" t="s">
        <v>4315</v>
      </c>
      <c r="E1163" t="s">
        <v>4316</v>
      </c>
      <c r="F1163" t="s">
        <v>4317</v>
      </c>
      <c r="G1163" t="s">
        <v>5</v>
      </c>
      <c r="H1163" t="s">
        <v>65</v>
      </c>
      <c r="I1163" t="s">
        <v>78</v>
      </c>
      <c r="J1163" t="s">
        <v>79</v>
      </c>
      <c r="K1163" t="s">
        <v>3</v>
      </c>
      <c r="L1163" t="s">
        <v>4</v>
      </c>
      <c r="M1163" t="s">
        <v>49</v>
      </c>
      <c r="N1163" t="s">
        <v>4318</v>
      </c>
      <c r="O1163" s="31" t="s">
        <v>4319</v>
      </c>
      <c r="P1163">
        <v>220</v>
      </c>
      <c r="R1163">
        <v>2</v>
      </c>
      <c r="S1163" s="31">
        <v>150000</v>
      </c>
      <c r="T1163" s="39">
        <v>160000</v>
      </c>
      <c r="U1163">
        <v>10205</v>
      </c>
      <c r="V1163">
        <v>10000</v>
      </c>
      <c r="W1163">
        <v>0</v>
      </c>
      <c r="X1163" s="39">
        <v>29777</v>
      </c>
      <c r="Y1163">
        <v>0</v>
      </c>
      <c r="Z1163" s="31">
        <v>139795</v>
      </c>
      <c r="AA1163">
        <v>8</v>
      </c>
      <c r="AB1163" s="3">
        <f t="shared" si="56"/>
        <v>139795</v>
      </c>
      <c r="AC1163" t="str">
        <f>IF(AB1163-S1163&lt;0,"YES","NO")</f>
        <v>YES</v>
      </c>
      <c r="AD1163">
        <f>IF(AC1163="NO",0,AB1163-S1163)</f>
        <v>-10205</v>
      </c>
      <c r="AE1163" s="43">
        <v>0.08</v>
      </c>
      <c r="AF1163" s="3">
        <f t="shared" si="57"/>
        <v>-9449.074074074073</v>
      </c>
      <c r="AG1163" s="45">
        <f t="shared" si="58"/>
        <v>-10393.981481481482</v>
      </c>
      <c r="AH1163" s="55"/>
    </row>
    <row r="1164" spans="1:34" x14ac:dyDescent="0.25">
      <c r="A1164" t="s">
        <v>4320</v>
      </c>
      <c r="B1164" t="s">
        <v>4321</v>
      </c>
      <c r="C1164" t="s">
        <v>4322</v>
      </c>
      <c r="D1164" t="s">
        <v>4323</v>
      </c>
      <c r="E1164" t="s">
        <v>4324</v>
      </c>
      <c r="F1164" t="s">
        <v>4325</v>
      </c>
      <c r="G1164" t="s">
        <v>5</v>
      </c>
      <c r="H1164" t="s">
        <v>61</v>
      </c>
      <c r="I1164" t="s">
        <v>84</v>
      </c>
      <c r="J1164" t="s">
        <v>85</v>
      </c>
      <c r="K1164" t="s">
        <v>3</v>
      </c>
      <c r="L1164" t="s">
        <v>4</v>
      </c>
      <c r="M1164" t="s">
        <v>49</v>
      </c>
      <c r="N1164" t="s">
        <v>4326</v>
      </c>
      <c r="O1164" s="31" t="s">
        <v>4327</v>
      </c>
      <c r="P1164">
        <v>100</v>
      </c>
      <c r="Q1164" t="s">
        <v>86</v>
      </c>
      <c r="R1164">
        <v>1</v>
      </c>
      <c r="S1164" s="31">
        <v>0</v>
      </c>
      <c r="T1164" s="39">
        <v>0</v>
      </c>
      <c r="U1164">
        <v>0</v>
      </c>
      <c r="V1164">
        <v>0</v>
      </c>
      <c r="W1164">
        <v>0</v>
      </c>
      <c r="X1164" s="39">
        <v>0</v>
      </c>
      <c r="Y1164">
        <v>0</v>
      </c>
      <c r="Z1164" s="31">
        <v>0</v>
      </c>
      <c r="AA1164">
        <v>8</v>
      </c>
      <c r="AB1164" s="3">
        <f t="shared" si="56"/>
        <v>0</v>
      </c>
      <c r="AC1164" t="str">
        <f>IF(AB1164-S1164&lt;0,"YES","NO")</f>
        <v>NO</v>
      </c>
      <c r="AD1164">
        <f>IF(AC1164="NO",0,AB1164-S1164)</f>
        <v>0</v>
      </c>
      <c r="AE1164" s="43">
        <v>0.08</v>
      </c>
      <c r="AF1164" s="3">
        <f t="shared" si="57"/>
        <v>0</v>
      </c>
      <c r="AG1164" s="45">
        <f t="shared" si="58"/>
        <v>0</v>
      </c>
      <c r="AH1164" s="55"/>
    </row>
    <row r="1165" spans="1:34" x14ac:dyDescent="0.25">
      <c r="A1165" t="s">
        <v>4320</v>
      </c>
      <c r="B1165" t="s">
        <v>4321</v>
      </c>
      <c r="C1165" t="s">
        <v>4322</v>
      </c>
      <c r="D1165" t="s">
        <v>4323</v>
      </c>
      <c r="E1165" t="s">
        <v>4324</v>
      </c>
      <c r="F1165" t="s">
        <v>4325</v>
      </c>
      <c r="G1165" t="s">
        <v>5</v>
      </c>
      <c r="H1165" t="s">
        <v>65</v>
      </c>
      <c r="I1165" t="s">
        <v>66</v>
      </c>
      <c r="J1165" t="s">
        <v>67</v>
      </c>
      <c r="K1165" t="s">
        <v>3</v>
      </c>
      <c r="L1165" t="s">
        <v>4</v>
      </c>
      <c r="M1165" t="s">
        <v>49</v>
      </c>
      <c r="N1165" t="s">
        <v>4326</v>
      </c>
      <c r="O1165" s="31" t="s">
        <v>4327</v>
      </c>
      <c r="P1165">
        <v>220</v>
      </c>
      <c r="R1165">
        <v>2</v>
      </c>
      <c r="S1165" s="31">
        <v>150000</v>
      </c>
      <c r="T1165" s="39">
        <v>160000</v>
      </c>
      <c r="U1165">
        <v>6486</v>
      </c>
      <c r="V1165">
        <v>16000</v>
      </c>
      <c r="W1165">
        <v>0</v>
      </c>
      <c r="X1165" s="39">
        <v>33988</v>
      </c>
      <c r="Y1165">
        <v>0</v>
      </c>
      <c r="Z1165" s="31">
        <v>137514</v>
      </c>
      <c r="AA1165">
        <v>8</v>
      </c>
      <c r="AB1165" s="3">
        <f t="shared" si="56"/>
        <v>137514</v>
      </c>
      <c r="AC1165" t="str">
        <f>IF(AB1165-S1165&lt;0,"YES","NO")</f>
        <v>YES</v>
      </c>
      <c r="AD1165">
        <f>IF(AC1165="NO",0,AB1165-S1165)</f>
        <v>-12486</v>
      </c>
      <c r="AE1165" s="43">
        <v>0.08</v>
      </c>
      <c r="AF1165" s="3">
        <f t="shared" si="57"/>
        <v>-11561.111111111109</v>
      </c>
      <c r="AG1165" s="45">
        <f t="shared" si="58"/>
        <v>-12717.222222222221</v>
      </c>
      <c r="AH1165" s="55"/>
    </row>
    <row r="1166" spans="1:34" x14ac:dyDescent="0.25">
      <c r="A1166" t="s">
        <v>4320</v>
      </c>
      <c r="B1166" t="s">
        <v>4321</v>
      </c>
      <c r="C1166" t="s">
        <v>4322</v>
      </c>
      <c r="D1166" t="s">
        <v>4323</v>
      </c>
      <c r="E1166" t="s">
        <v>4324</v>
      </c>
      <c r="F1166" t="s">
        <v>4325</v>
      </c>
      <c r="G1166" t="s">
        <v>5</v>
      </c>
      <c r="H1166" t="s">
        <v>65</v>
      </c>
      <c r="I1166" t="s">
        <v>82</v>
      </c>
      <c r="J1166" t="s">
        <v>83</v>
      </c>
      <c r="K1166" t="s">
        <v>3</v>
      </c>
      <c r="L1166" t="s">
        <v>4</v>
      </c>
      <c r="M1166" t="s">
        <v>49</v>
      </c>
      <c r="N1166" t="s">
        <v>4326</v>
      </c>
      <c r="O1166" s="31" t="s">
        <v>4327</v>
      </c>
      <c r="P1166">
        <v>220</v>
      </c>
      <c r="R1166">
        <v>2</v>
      </c>
      <c r="S1166" s="31">
        <v>150000</v>
      </c>
      <c r="T1166" s="39">
        <v>160000</v>
      </c>
      <c r="U1166">
        <v>6757</v>
      </c>
      <c r="V1166">
        <v>10000</v>
      </c>
      <c r="W1166">
        <v>0</v>
      </c>
      <c r="X1166" s="39">
        <v>35406</v>
      </c>
      <c r="Y1166">
        <v>0</v>
      </c>
      <c r="Z1166" s="31">
        <v>143243</v>
      </c>
      <c r="AA1166">
        <v>8</v>
      </c>
      <c r="AB1166" s="3">
        <f t="shared" si="56"/>
        <v>143243</v>
      </c>
      <c r="AC1166" t="str">
        <f>IF(AB1166-S1166&lt;0,"YES","NO")</f>
        <v>YES</v>
      </c>
      <c r="AD1166">
        <f>IF(AC1166="NO",0,AB1166-S1166)</f>
        <v>-6757</v>
      </c>
      <c r="AE1166" s="43">
        <v>0.08</v>
      </c>
      <c r="AF1166" s="3">
        <f t="shared" si="57"/>
        <v>-6256.4814814814808</v>
      </c>
      <c r="AG1166" s="45">
        <f t="shared" si="58"/>
        <v>-6882.1296296296296</v>
      </c>
      <c r="AH1166" s="55"/>
    </row>
    <row r="1167" spans="1:34" x14ac:dyDescent="0.25">
      <c r="A1167" t="s">
        <v>4320</v>
      </c>
      <c r="B1167" t="s">
        <v>4321</v>
      </c>
      <c r="C1167" t="s">
        <v>4322</v>
      </c>
      <c r="D1167" t="s">
        <v>4323</v>
      </c>
      <c r="E1167" t="s">
        <v>4324</v>
      </c>
      <c r="F1167" t="s">
        <v>4325</v>
      </c>
      <c r="G1167" t="s">
        <v>5</v>
      </c>
      <c r="H1167" t="s">
        <v>65</v>
      </c>
      <c r="I1167" t="s">
        <v>78</v>
      </c>
      <c r="J1167" t="s">
        <v>79</v>
      </c>
      <c r="K1167" t="s">
        <v>3</v>
      </c>
      <c r="L1167" t="s">
        <v>4</v>
      </c>
      <c r="M1167" t="s">
        <v>49</v>
      </c>
      <c r="N1167" t="s">
        <v>4326</v>
      </c>
      <c r="O1167" s="31" t="s">
        <v>4327</v>
      </c>
      <c r="P1167">
        <v>220</v>
      </c>
      <c r="R1167">
        <v>2</v>
      </c>
      <c r="S1167" s="31">
        <v>150000</v>
      </c>
      <c r="T1167" s="39">
        <v>160000</v>
      </c>
      <c r="U1167">
        <v>6757</v>
      </c>
      <c r="V1167">
        <v>10000</v>
      </c>
      <c r="W1167">
        <v>0</v>
      </c>
      <c r="X1167" s="39">
        <v>35406</v>
      </c>
      <c r="Y1167">
        <v>0</v>
      </c>
      <c r="Z1167" s="31">
        <v>143243</v>
      </c>
      <c r="AA1167">
        <v>8</v>
      </c>
      <c r="AB1167" s="3">
        <f t="shared" si="56"/>
        <v>143243</v>
      </c>
      <c r="AC1167" t="str">
        <f>IF(AB1167-S1167&lt;0,"YES","NO")</f>
        <v>YES</v>
      </c>
      <c r="AD1167">
        <f>IF(AC1167="NO",0,AB1167-S1167)</f>
        <v>-6757</v>
      </c>
      <c r="AE1167" s="43">
        <v>0.08</v>
      </c>
      <c r="AF1167" s="3">
        <f t="shared" si="57"/>
        <v>-6256.4814814814808</v>
      </c>
      <c r="AG1167" s="45">
        <f t="shared" si="58"/>
        <v>-6882.1296296296296</v>
      </c>
      <c r="AH1167" s="55"/>
    </row>
    <row r="1168" spans="1:34" x14ac:dyDescent="0.25">
      <c r="A1168" t="s">
        <v>4328</v>
      </c>
      <c r="B1168" t="s">
        <v>4329</v>
      </c>
      <c r="C1168" t="s">
        <v>4330</v>
      </c>
      <c r="D1168" t="s">
        <v>4331</v>
      </c>
      <c r="E1168" t="s">
        <v>4332</v>
      </c>
      <c r="F1168" t="s">
        <v>4333</v>
      </c>
      <c r="G1168" t="s">
        <v>5</v>
      </c>
      <c r="H1168" t="s">
        <v>61</v>
      </c>
      <c r="I1168" t="s">
        <v>62</v>
      </c>
      <c r="J1168" t="s">
        <v>63</v>
      </c>
      <c r="K1168" t="s">
        <v>3</v>
      </c>
      <c r="L1168" t="s">
        <v>4</v>
      </c>
      <c r="M1168" t="s">
        <v>49</v>
      </c>
      <c r="N1168" t="s">
        <v>4334</v>
      </c>
      <c r="O1168" s="31" t="s">
        <v>4335</v>
      </c>
      <c r="P1168">
        <v>20000</v>
      </c>
      <c r="Q1168" t="s">
        <v>64</v>
      </c>
      <c r="R1168">
        <v>1</v>
      </c>
      <c r="S1168" s="31">
        <v>0</v>
      </c>
      <c r="T1168" s="39">
        <v>0</v>
      </c>
      <c r="U1168">
        <v>0</v>
      </c>
      <c r="V1168">
        <v>0</v>
      </c>
      <c r="W1168">
        <v>0</v>
      </c>
      <c r="X1168" s="39">
        <v>0</v>
      </c>
      <c r="Y1168">
        <v>0</v>
      </c>
      <c r="Z1168" s="31">
        <v>0</v>
      </c>
      <c r="AA1168">
        <v>8</v>
      </c>
      <c r="AB1168" s="3">
        <f t="shared" si="56"/>
        <v>0</v>
      </c>
      <c r="AC1168" t="str">
        <f>IF(AB1168-S1168&lt;0,"YES","NO")</f>
        <v>NO</v>
      </c>
      <c r="AD1168">
        <f>IF(AC1168="NO",0,AB1168-S1168)</f>
        <v>0</v>
      </c>
      <c r="AE1168" s="43">
        <v>0.08</v>
      </c>
      <c r="AF1168" s="3">
        <f t="shared" si="57"/>
        <v>0</v>
      </c>
      <c r="AG1168" s="45">
        <f t="shared" si="58"/>
        <v>0</v>
      </c>
      <c r="AH1168" s="55"/>
    </row>
    <row r="1169" spans="1:34" x14ac:dyDescent="0.25">
      <c r="A1169" t="s">
        <v>4328</v>
      </c>
      <c r="B1169" t="s">
        <v>4329</v>
      </c>
      <c r="C1169" t="s">
        <v>4330</v>
      </c>
      <c r="D1169" t="s">
        <v>4331</v>
      </c>
      <c r="E1169" t="s">
        <v>4332</v>
      </c>
      <c r="F1169" t="s">
        <v>4333</v>
      </c>
      <c r="G1169" t="s">
        <v>5</v>
      </c>
      <c r="H1169" t="s">
        <v>61</v>
      </c>
      <c r="I1169" t="s">
        <v>84</v>
      </c>
      <c r="J1169" t="s">
        <v>85</v>
      </c>
      <c r="K1169" t="s">
        <v>3</v>
      </c>
      <c r="L1169" t="s">
        <v>4</v>
      </c>
      <c r="M1169" t="s">
        <v>49</v>
      </c>
      <c r="N1169" t="s">
        <v>4334</v>
      </c>
      <c r="O1169" s="31" t="s">
        <v>4335</v>
      </c>
      <c r="P1169">
        <v>100</v>
      </c>
      <c r="Q1169" t="s">
        <v>86</v>
      </c>
      <c r="R1169">
        <v>1</v>
      </c>
      <c r="S1169" s="31">
        <v>0</v>
      </c>
      <c r="T1169" s="39">
        <v>0</v>
      </c>
      <c r="U1169">
        <v>0</v>
      </c>
      <c r="V1169">
        <v>0</v>
      </c>
      <c r="W1169">
        <v>0</v>
      </c>
      <c r="X1169" s="39">
        <v>0</v>
      </c>
      <c r="Y1169">
        <v>0</v>
      </c>
      <c r="Z1169" s="31">
        <v>0</v>
      </c>
      <c r="AA1169">
        <v>8</v>
      </c>
      <c r="AB1169" s="3">
        <f t="shared" si="56"/>
        <v>0</v>
      </c>
      <c r="AC1169" t="str">
        <f>IF(AB1169-S1169&lt;0,"YES","NO")</f>
        <v>NO</v>
      </c>
      <c r="AD1169">
        <f>IF(AC1169="NO",0,AB1169-S1169)</f>
        <v>0</v>
      </c>
      <c r="AE1169" s="43">
        <v>0.08</v>
      </c>
      <c r="AF1169" s="3">
        <f t="shared" si="57"/>
        <v>0</v>
      </c>
      <c r="AG1169" s="45">
        <f t="shared" si="58"/>
        <v>0</v>
      </c>
      <c r="AH1169" s="55"/>
    </row>
    <row r="1170" spans="1:34" x14ac:dyDescent="0.25">
      <c r="A1170" t="s">
        <v>4328</v>
      </c>
      <c r="B1170" t="s">
        <v>4329</v>
      </c>
      <c r="C1170" t="s">
        <v>4330</v>
      </c>
      <c r="D1170" t="s">
        <v>4331</v>
      </c>
      <c r="E1170" t="s">
        <v>4332</v>
      </c>
      <c r="F1170" t="s">
        <v>4333</v>
      </c>
      <c r="G1170" t="s">
        <v>5</v>
      </c>
      <c r="H1170" t="s">
        <v>65</v>
      </c>
      <c r="I1170" t="s">
        <v>68</v>
      </c>
      <c r="J1170" t="s">
        <v>69</v>
      </c>
      <c r="K1170" t="s">
        <v>3</v>
      </c>
      <c r="L1170" t="s">
        <v>4</v>
      </c>
      <c r="M1170" t="s">
        <v>49</v>
      </c>
      <c r="N1170" t="s">
        <v>4334</v>
      </c>
      <c r="O1170" s="31" t="s">
        <v>4335</v>
      </c>
      <c r="P1170">
        <v>220</v>
      </c>
      <c r="Q1170" t="s">
        <v>70</v>
      </c>
      <c r="R1170">
        <v>1</v>
      </c>
      <c r="S1170" s="31">
        <v>59000</v>
      </c>
      <c r="T1170" s="39">
        <v>65000</v>
      </c>
      <c r="U1170">
        <v>12121</v>
      </c>
      <c r="V1170">
        <v>5000</v>
      </c>
      <c r="W1170">
        <v>0</v>
      </c>
      <c r="X1170" s="39">
        <v>21696.67</v>
      </c>
      <c r="Y1170">
        <v>0</v>
      </c>
      <c r="Z1170" s="31">
        <v>47879</v>
      </c>
      <c r="AA1170">
        <v>8</v>
      </c>
      <c r="AB1170" s="3">
        <f t="shared" si="56"/>
        <v>47879</v>
      </c>
      <c r="AC1170" t="str">
        <f>IF(AB1170-S1170&lt;0,"YES","NO")</f>
        <v>YES</v>
      </c>
      <c r="AD1170">
        <f>IF(AC1170="NO",0,AB1170-S1170)</f>
        <v>-11121</v>
      </c>
      <c r="AE1170" s="43">
        <v>0.08</v>
      </c>
      <c r="AF1170" s="3">
        <f t="shared" si="57"/>
        <v>-10297.222222222221</v>
      </c>
      <c r="AG1170" s="45">
        <f t="shared" si="58"/>
        <v>-11326.944444444443</v>
      </c>
      <c r="AH1170" s="55"/>
    </row>
    <row r="1171" spans="1:34" x14ac:dyDescent="0.25">
      <c r="A1171" t="s">
        <v>4328</v>
      </c>
      <c r="B1171" t="s">
        <v>4329</v>
      </c>
      <c r="C1171" t="s">
        <v>4330</v>
      </c>
      <c r="D1171" t="s">
        <v>4331</v>
      </c>
      <c r="E1171" t="s">
        <v>4332</v>
      </c>
      <c r="F1171" t="s">
        <v>4333</v>
      </c>
      <c r="G1171" t="s">
        <v>5</v>
      </c>
      <c r="H1171" t="s">
        <v>65</v>
      </c>
      <c r="I1171" t="s">
        <v>71</v>
      </c>
      <c r="J1171" t="s">
        <v>72</v>
      </c>
      <c r="K1171" t="s">
        <v>3</v>
      </c>
      <c r="L1171" t="s">
        <v>4</v>
      </c>
      <c r="M1171" t="s">
        <v>49</v>
      </c>
      <c r="N1171" t="s">
        <v>4334</v>
      </c>
      <c r="O1171" s="31" t="s">
        <v>4335</v>
      </c>
      <c r="P1171">
        <v>220</v>
      </c>
      <c r="Q1171" t="s">
        <v>70</v>
      </c>
      <c r="R1171">
        <v>1</v>
      </c>
      <c r="S1171" s="31">
        <v>59000</v>
      </c>
      <c r="T1171" s="39">
        <v>65000</v>
      </c>
      <c r="U1171">
        <v>12121</v>
      </c>
      <c r="V1171">
        <v>5000</v>
      </c>
      <c r="W1171">
        <v>0</v>
      </c>
      <c r="X1171" s="39">
        <v>21696.67</v>
      </c>
      <c r="Y1171">
        <v>0</v>
      </c>
      <c r="Z1171" s="31">
        <v>47879</v>
      </c>
      <c r="AA1171">
        <v>8</v>
      </c>
      <c r="AB1171" s="3">
        <f t="shared" si="56"/>
        <v>47879</v>
      </c>
      <c r="AC1171" t="str">
        <f>IF(AB1171-S1171&lt;0,"YES","NO")</f>
        <v>YES</v>
      </c>
      <c r="AD1171">
        <f>IF(AC1171="NO",0,AB1171-S1171)</f>
        <v>-11121</v>
      </c>
      <c r="AE1171" s="43">
        <v>0.08</v>
      </c>
      <c r="AF1171" s="3">
        <f t="shared" si="57"/>
        <v>-10297.222222222221</v>
      </c>
      <c r="AG1171" s="45">
        <f t="shared" si="58"/>
        <v>-11326.944444444443</v>
      </c>
      <c r="AH1171" s="55"/>
    </row>
    <row r="1172" spans="1:34" x14ac:dyDescent="0.25">
      <c r="A1172" t="s">
        <v>4328</v>
      </c>
      <c r="B1172" t="s">
        <v>4329</v>
      </c>
      <c r="C1172" t="s">
        <v>4330</v>
      </c>
      <c r="D1172" t="s">
        <v>4331</v>
      </c>
      <c r="E1172" t="s">
        <v>4332</v>
      </c>
      <c r="F1172" t="s">
        <v>4333</v>
      </c>
      <c r="G1172" t="s">
        <v>5</v>
      </c>
      <c r="H1172" t="s">
        <v>65</v>
      </c>
      <c r="I1172" t="s">
        <v>73</v>
      </c>
      <c r="J1172" t="s">
        <v>74</v>
      </c>
      <c r="K1172" t="s">
        <v>3</v>
      </c>
      <c r="L1172" t="s">
        <v>4</v>
      </c>
      <c r="M1172" t="s">
        <v>49</v>
      </c>
      <c r="N1172" t="s">
        <v>4334</v>
      </c>
      <c r="O1172" s="31" t="s">
        <v>4335</v>
      </c>
      <c r="P1172">
        <v>220</v>
      </c>
      <c r="Q1172" t="s">
        <v>70</v>
      </c>
      <c r="R1172">
        <v>1</v>
      </c>
      <c r="S1172" s="31">
        <v>59000</v>
      </c>
      <c r="T1172" s="39">
        <v>65000</v>
      </c>
      <c r="U1172">
        <v>12121</v>
      </c>
      <c r="V1172">
        <v>5000</v>
      </c>
      <c r="W1172">
        <v>0</v>
      </c>
      <c r="X1172" s="39">
        <v>21696.67</v>
      </c>
      <c r="Y1172">
        <v>0</v>
      </c>
      <c r="Z1172" s="31">
        <v>47879</v>
      </c>
      <c r="AA1172">
        <v>8</v>
      </c>
      <c r="AB1172" s="3">
        <f t="shared" si="56"/>
        <v>47879</v>
      </c>
      <c r="AC1172" t="str">
        <f>IF(AB1172-S1172&lt;0,"YES","NO")</f>
        <v>YES</v>
      </c>
      <c r="AD1172">
        <f>IF(AC1172="NO",0,AB1172-S1172)</f>
        <v>-11121</v>
      </c>
      <c r="AE1172" s="43">
        <v>0.08</v>
      </c>
      <c r="AF1172" s="3">
        <f t="shared" si="57"/>
        <v>-10297.222222222221</v>
      </c>
      <c r="AG1172" s="45">
        <f t="shared" si="58"/>
        <v>-11326.944444444443</v>
      </c>
      <c r="AH1172" s="55"/>
    </row>
    <row r="1173" spans="1:34" x14ac:dyDescent="0.25">
      <c r="A1173" t="s">
        <v>4328</v>
      </c>
      <c r="B1173" t="s">
        <v>4329</v>
      </c>
      <c r="C1173" t="s">
        <v>4330</v>
      </c>
      <c r="D1173" t="s">
        <v>4331</v>
      </c>
      <c r="E1173" t="s">
        <v>4332</v>
      </c>
      <c r="F1173" t="s">
        <v>4333</v>
      </c>
      <c r="G1173" t="s">
        <v>5</v>
      </c>
      <c r="H1173" t="s">
        <v>65</v>
      </c>
      <c r="I1173" t="s">
        <v>66</v>
      </c>
      <c r="J1173" t="s">
        <v>67</v>
      </c>
      <c r="K1173" t="s">
        <v>3</v>
      </c>
      <c r="L1173" t="s">
        <v>4</v>
      </c>
      <c r="M1173" t="s">
        <v>49</v>
      </c>
      <c r="N1173" t="s">
        <v>4334</v>
      </c>
      <c r="O1173" s="31" t="s">
        <v>4335</v>
      </c>
      <c r="P1173">
        <v>220</v>
      </c>
      <c r="R1173">
        <v>3</v>
      </c>
      <c r="S1173" s="31">
        <v>225000</v>
      </c>
      <c r="T1173" s="39">
        <v>240000</v>
      </c>
      <c r="U1173">
        <v>43637.01</v>
      </c>
      <c r="V1173">
        <v>24000</v>
      </c>
      <c r="W1173">
        <v>0</v>
      </c>
      <c r="X1173" s="39">
        <v>78110.009999999995</v>
      </c>
      <c r="Y1173">
        <v>0</v>
      </c>
      <c r="Z1173" s="31">
        <v>172362.99</v>
      </c>
      <c r="AA1173">
        <v>8</v>
      </c>
      <c r="AB1173" s="3">
        <f t="shared" si="56"/>
        <v>172362.99</v>
      </c>
      <c r="AC1173" t="str">
        <f>IF(AB1173-S1173&lt;0,"YES","NO")</f>
        <v>YES</v>
      </c>
      <c r="AD1173">
        <f>IF(AC1173="NO",0,AB1173-S1173)</f>
        <v>-52637.010000000009</v>
      </c>
      <c r="AE1173" s="43">
        <v>0.08</v>
      </c>
      <c r="AF1173" s="3">
        <f t="shared" si="57"/>
        <v>-48737.972222222226</v>
      </c>
      <c r="AG1173" s="45">
        <f t="shared" si="58"/>
        <v>-53611.76944444445</v>
      </c>
      <c r="AH1173" s="55"/>
    </row>
    <row r="1174" spans="1:34" x14ac:dyDescent="0.25">
      <c r="A1174" t="s">
        <v>4336</v>
      </c>
      <c r="B1174" t="s">
        <v>4337</v>
      </c>
      <c r="C1174" t="s">
        <v>4338</v>
      </c>
      <c r="D1174" t="s">
        <v>4339</v>
      </c>
      <c r="E1174" t="s">
        <v>4340</v>
      </c>
      <c r="F1174" t="s">
        <v>4341</v>
      </c>
      <c r="G1174" t="s">
        <v>5</v>
      </c>
      <c r="H1174" t="s">
        <v>61</v>
      </c>
      <c r="I1174" t="s">
        <v>75</v>
      </c>
      <c r="J1174" t="s">
        <v>76</v>
      </c>
      <c r="K1174" t="s">
        <v>3</v>
      </c>
      <c r="L1174" t="s">
        <v>4</v>
      </c>
      <c r="M1174" t="s">
        <v>49</v>
      </c>
      <c r="N1174" t="s">
        <v>4342</v>
      </c>
      <c r="O1174" s="31" t="s">
        <v>4343</v>
      </c>
      <c r="P1174">
        <v>20</v>
      </c>
      <c r="Q1174" t="s">
        <v>77</v>
      </c>
      <c r="R1174">
        <v>1</v>
      </c>
      <c r="S1174" s="31">
        <v>0</v>
      </c>
      <c r="T1174" s="39">
        <v>0</v>
      </c>
      <c r="U1174">
        <v>0</v>
      </c>
      <c r="V1174">
        <v>0</v>
      </c>
      <c r="W1174">
        <v>0</v>
      </c>
      <c r="X1174" s="39">
        <v>0</v>
      </c>
      <c r="Y1174">
        <v>0</v>
      </c>
      <c r="Z1174" s="31">
        <v>0</v>
      </c>
      <c r="AA1174">
        <v>8</v>
      </c>
      <c r="AB1174" s="3">
        <f t="shared" si="56"/>
        <v>0</v>
      </c>
      <c r="AC1174" t="str">
        <f>IF(AB1174-S1174&lt;0,"YES","NO")</f>
        <v>NO</v>
      </c>
      <c r="AD1174">
        <f>IF(AC1174="NO",0,AB1174-S1174)</f>
        <v>0</v>
      </c>
      <c r="AE1174" s="43">
        <v>0.08</v>
      </c>
      <c r="AF1174" s="3">
        <f t="shared" si="57"/>
        <v>0</v>
      </c>
      <c r="AG1174" s="45">
        <f t="shared" si="58"/>
        <v>0</v>
      </c>
      <c r="AH1174" s="55"/>
    </row>
    <row r="1175" spans="1:34" x14ac:dyDescent="0.25">
      <c r="A1175" t="s">
        <v>4336</v>
      </c>
      <c r="B1175" t="s">
        <v>4337</v>
      </c>
      <c r="C1175" t="s">
        <v>4338</v>
      </c>
      <c r="D1175" t="s">
        <v>4339</v>
      </c>
      <c r="E1175" t="s">
        <v>4340</v>
      </c>
      <c r="F1175" t="s">
        <v>4341</v>
      </c>
      <c r="G1175" t="s">
        <v>5</v>
      </c>
      <c r="H1175" t="s">
        <v>65</v>
      </c>
      <c r="I1175" t="s">
        <v>66</v>
      </c>
      <c r="J1175" t="s">
        <v>67</v>
      </c>
      <c r="K1175" t="s">
        <v>3</v>
      </c>
      <c r="L1175" t="s">
        <v>4</v>
      </c>
      <c r="M1175" t="s">
        <v>49</v>
      </c>
      <c r="N1175" t="s">
        <v>4342</v>
      </c>
      <c r="O1175" s="31" t="s">
        <v>4343</v>
      </c>
      <c r="P1175">
        <v>220</v>
      </c>
      <c r="R1175">
        <v>6</v>
      </c>
      <c r="S1175" s="31">
        <v>450000</v>
      </c>
      <c r="T1175" s="39">
        <v>480000</v>
      </c>
      <c r="U1175">
        <v>79999.98</v>
      </c>
      <c r="V1175">
        <v>25000.02</v>
      </c>
      <c r="W1175">
        <v>0</v>
      </c>
      <c r="X1175" s="39">
        <v>147499.98000000001</v>
      </c>
      <c r="Y1175">
        <v>0</v>
      </c>
      <c r="Z1175" s="31">
        <v>375000</v>
      </c>
      <c r="AA1175">
        <v>8</v>
      </c>
      <c r="AB1175" s="3">
        <f t="shared" si="56"/>
        <v>375000</v>
      </c>
      <c r="AC1175" t="str">
        <f>IF(AB1175-S1175&lt;0,"YES","NO")</f>
        <v>YES</v>
      </c>
      <c r="AD1175">
        <f>IF(AC1175="NO",0,AB1175-S1175)</f>
        <v>-75000</v>
      </c>
      <c r="AE1175" s="43">
        <v>0.08</v>
      </c>
      <c r="AF1175" s="3">
        <f t="shared" si="57"/>
        <v>-69444.444444444438</v>
      </c>
      <c r="AG1175" s="45">
        <f t="shared" si="58"/>
        <v>-76388.888888888891</v>
      </c>
      <c r="AH1175" s="55"/>
    </row>
    <row r="1176" spans="1:34" x14ac:dyDescent="0.25">
      <c r="A1176" t="s">
        <v>4344</v>
      </c>
      <c r="B1176" t="s">
        <v>4345</v>
      </c>
      <c r="C1176" t="s">
        <v>4346</v>
      </c>
      <c r="D1176" t="s">
        <v>4347</v>
      </c>
      <c r="E1176" t="s">
        <v>4348</v>
      </c>
      <c r="F1176" t="s">
        <v>4349</v>
      </c>
      <c r="G1176" t="s">
        <v>5</v>
      </c>
      <c r="H1176" t="s">
        <v>61</v>
      </c>
      <c r="I1176" t="s">
        <v>62</v>
      </c>
      <c r="J1176" t="s">
        <v>63</v>
      </c>
      <c r="K1176" t="s">
        <v>3</v>
      </c>
      <c r="L1176" t="s">
        <v>4</v>
      </c>
      <c r="M1176" t="s">
        <v>49</v>
      </c>
      <c r="N1176" t="s">
        <v>4350</v>
      </c>
      <c r="O1176" s="31" t="s">
        <v>4351</v>
      </c>
      <c r="P1176">
        <v>20000</v>
      </c>
      <c r="Q1176" t="s">
        <v>64</v>
      </c>
      <c r="R1176">
        <v>1</v>
      </c>
      <c r="S1176" s="31">
        <v>0</v>
      </c>
      <c r="T1176" s="39">
        <v>0</v>
      </c>
      <c r="U1176">
        <v>0</v>
      </c>
      <c r="V1176">
        <v>0</v>
      </c>
      <c r="W1176">
        <v>0</v>
      </c>
      <c r="X1176" s="39">
        <v>0</v>
      </c>
      <c r="Y1176">
        <v>0</v>
      </c>
      <c r="Z1176" s="31">
        <v>0</v>
      </c>
      <c r="AA1176">
        <v>8</v>
      </c>
      <c r="AB1176" s="3">
        <f t="shared" si="56"/>
        <v>0</v>
      </c>
      <c r="AC1176" t="str">
        <f>IF(AB1176-S1176&lt;0,"YES","NO")</f>
        <v>NO</v>
      </c>
      <c r="AD1176">
        <f>IF(AC1176="NO",0,AB1176-S1176)</f>
        <v>0</v>
      </c>
      <c r="AE1176" s="43">
        <v>0.08</v>
      </c>
      <c r="AF1176" s="3">
        <f t="shared" si="57"/>
        <v>0</v>
      </c>
      <c r="AG1176" s="45">
        <f t="shared" si="58"/>
        <v>0</v>
      </c>
      <c r="AH1176" s="55"/>
    </row>
    <row r="1177" spans="1:34" x14ac:dyDescent="0.25">
      <c r="A1177" t="s">
        <v>4344</v>
      </c>
      <c r="B1177" t="s">
        <v>4345</v>
      </c>
      <c r="C1177" t="s">
        <v>4346</v>
      </c>
      <c r="D1177" t="s">
        <v>4347</v>
      </c>
      <c r="E1177" t="s">
        <v>4348</v>
      </c>
      <c r="F1177" t="s">
        <v>4349</v>
      </c>
      <c r="G1177" t="s">
        <v>5</v>
      </c>
      <c r="H1177" t="s">
        <v>65</v>
      </c>
      <c r="I1177" t="s">
        <v>68</v>
      </c>
      <c r="J1177" t="s">
        <v>69</v>
      </c>
      <c r="K1177" t="s">
        <v>3</v>
      </c>
      <c r="L1177" t="s">
        <v>4</v>
      </c>
      <c r="M1177" t="s">
        <v>49</v>
      </c>
      <c r="N1177" t="s">
        <v>4350</v>
      </c>
      <c r="O1177" s="31" t="s">
        <v>4351</v>
      </c>
      <c r="P1177">
        <v>220</v>
      </c>
      <c r="Q1177" t="s">
        <v>70</v>
      </c>
      <c r="R1177">
        <v>1</v>
      </c>
      <c r="S1177" s="31">
        <v>59000</v>
      </c>
      <c r="T1177" s="39">
        <v>65000</v>
      </c>
      <c r="U1177">
        <v>11666.67</v>
      </c>
      <c r="V1177">
        <v>5000</v>
      </c>
      <c r="W1177">
        <v>0</v>
      </c>
      <c r="X1177" s="39">
        <v>21333.33</v>
      </c>
      <c r="Y1177">
        <v>0</v>
      </c>
      <c r="Z1177" s="31">
        <v>48333.33</v>
      </c>
      <c r="AA1177">
        <v>8</v>
      </c>
      <c r="AB1177" s="3">
        <f t="shared" si="56"/>
        <v>48333.33</v>
      </c>
      <c r="AC1177" t="str">
        <f>IF(AB1177-S1177&lt;0,"YES","NO")</f>
        <v>YES</v>
      </c>
      <c r="AD1177">
        <f>IF(AC1177="NO",0,AB1177-S1177)</f>
        <v>-10666.669999999998</v>
      </c>
      <c r="AE1177" s="43">
        <v>0.08</v>
      </c>
      <c r="AF1177" s="3">
        <f t="shared" si="57"/>
        <v>-9876.5462962962938</v>
      </c>
      <c r="AG1177" s="45">
        <f t="shared" si="58"/>
        <v>-10864.200925925925</v>
      </c>
      <c r="AH1177" s="55"/>
    </row>
    <row r="1178" spans="1:34" x14ac:dyDescent="0.25">
      <c r="A1178" t="s">
        <v>4344</v>
      </c>
      <c r="B1178" t="s">
        <v>4345</v>
      </c>
      <c r="C1178" t="s">
        <v>4346</v>
      </c>
      <c r="D1178" t="s">
        <v>4347</v>
      </c>
      <c r="E1178" t="s">
        <v>4348</v>
      </c>
      <c r="F1178" t="s">
        <v>4349</v>
      </c>
      <c r="G1178" t="s">
        <v>5</v>
      </c>
      <c r="H1178" t="s">
        <v>65</v>
      </c>
      <c r="I1178" t="s">
        <v>71</v>
      </c>
      <c r="J1178" t="s">
        <v>72</v>
      </c>
      <c r="K1178" t="s">
        <v>3</v>
      </c>
      <c r="L1178" t="s">
        <v>4</v>
      </c>
      <c r="M1178" t="s">
        <v>49</v>
      </c>
      <c r="N1178" t="s">
        <v>4350</v>
      </c>
      <c r="O1178" s="31" t="s">
        <v>4351</v>
      </c>
      <c r="P1178">
        <v>220</v>
      </c>
      <c r="Q1178" t="s">
        <v>70</v>
      </c>
      <c r="R1178">
        <v>1</v>
      </c>
      <c r="S1178" s="31">
        <v>59000</v>
      </c>
      <c r="T1178" s="39">
        <v>65000</v>
      </c>
      <c r="U1178">
        <v>11666.67</v>
      </c>
      <c r="V1178">
        <v>5000</v>
      </c>
      <c r="W1178">
        <v>0</v>
      </c>
      <c r="X1178" s="39">
        <v>21333.33</v>
      </c>
      <c r="Y1178">
        <v>0</v>
      </c>
      <c r="Z1178" s="31">
        <v>48333.33</v>
      </c>
      <c r="AA1178">
        <v>8</v>
      </c>
      <c r="AB1178" s="3">
        <f t="shared" si="56"/>
        <v>48333.33</v>
      </c>
      <c r="AC1178" t="str">
        <f>IF(AB1178-S1178&lt;0,"YES","NO")</f>
        <v>YES</v>
      </c>
      <c r="AD1178">
        <f>IF(AC1178="NO",0,AB1178-S1178)</f>
        <v>-10666.669999999998</v>
      </c>
      <c r="AE1178" s="43">
        <v>0.08</v>
      </c>
      <c r="AF1178" s="3">
        <f t="shared" si="57"/>
        <v>-9876.5462962962938</v>
      </c>
      <c r="AG1178" s="45">
        <f t="shared" si="58"/>
        <v>-10864.200925925925</v>
      </c>
      <c r="AH1178" s="55"/>
    </row>
    <row r="1179" spans="1:34" x14ac:dyDescent="0.25">
      <c r="A1179" t="s">
        <v>4344</v>
      </c>
      <c r="B1179" t="s">
        <v>4345</v>
      </c>
      <c r="C1179" t="s">
        <v>4346</v>
      </c>
      <c r="D1179" t="s">
        <v>4347</v>
      </c>
      <c r="E1179" t="s">
        <v>4348</v>
      </c>
      <c r="F1179" t="s">
        <v>4349</v>
      </c>
      <c r="G1179" t="s">
        <v>5</v>
      </c>
      <c r="H1179" t="s">
        <v>65</v>
      </c>
      <c r="I1179" t="s">
        <v>73</v>
      </c>
      <c r="J1179" t="s">
        <v>74</v>
      </c>
      <c r="K1179" t="s">
        <v>3</v>
      </c>
      <c r="L1179" t="s">
        <v>4</v>
      </c>
      <c r="M1179" t="s">
        <v>49</v>
      </c>
      <c r="N1179" t="s">
        <v>4350</v>
      </c>
      <c r="O1179" s="31" t="s">
        <v>4351</v>
      </c>
      <c r="P1179">
        <v>220</v>
      </c>
      <c r="Q1179" t="s">
        <v>70</v>
      </c>
      <c r="R1179">
        <v>1</v>
      </c>
      <c r="S1179" s="31">
        <v>59000</v>
      </c>
      <c r="T1179" s="39">
        <v>65000</v>
      </c>
      <c r="U1179">
        <v>11666.67</v>
      </c>
      <c r="V1179">
        <v>5000</v>
      </c>
      <c r="W1179">
        <v>0</v>
      </c>
      <c r="X1179" s="39">
        <v>21333.33</v>
      </c>
      <c r="Y1179">
        <v>0</v>
      </c>
      <c r="Z1179" s="31">
        <v>48333.33</v>
      </c>
      <c r="AA1179">
        <v>8</v>
      </c>
      <c r="AB1179" s="3">
        <f t="shared" si="56"/>
        <v>48333.33</v>
      </c>
      <c r="AC1179" t="str">
        <f>IF(AB1179-S1179&lt;0,"YES","NO")</f>
        <v>YES</v>
      </c>
      <c r="AD1179">
        <f>IF(AC1179="NO",0,AB1179-S1179)</f>
        <v>-10666.669999999998</v>
      </c>
      <c r="AE1179" s="43">
        <v>0.08</v>
      </c>
      <c r="AF1179" s="3">
        <f t="shared" si="57"/>
        <v>-9876.5462962962938</v>
      </c>
      <c r="AG1179" s="45">
        <f t="shared" si="58"/>
        <v>-10864.200925925925</v>
      </c>
      <c r="AH1179" s="55"/>
    </row>
    <row r="1180" spans="1:34" x14ac:dyDescent="0.25">
      <c r="A1180" t="s">
        <v>4352</v>
      </c>
      <c r="B1180" t="s">
        <v>4353</v>
      </c>
      <c r="C1180" t="s">
        <v>4354</v>
      </c>
      <c r="D1180" t="s">
        <v>4355</v>
      </c>
      <c r="E1180" t="s">
        <v>4356</v>
      </c>
      <c r="F1180" t="s">
        <v>4357</v>
      </c>
      <c r="G1180" t="s">
        <v>5</v>
      </c>
      <c r="H1180" t="s">
        <v>61</v>
      </c>
      <c r="I1180" t="s">
        <v>62</v>
      </c>
      <c r="J1180" t="s">
        <v>63</v>
      </c>
      <c r="K1180" t="s">
        <v>3</v>
      </c>
      <c r="L1180" t="s">
        <v>4</v>
      </c>
      <c r="M1180" t="s">
        <v>49</v>
      </c>
      <c r="N1180" t="s">
        <v>4358</v>
      </c>
      <c r="O1180" s="31" t="s">
        <v>4359</v>
      </c>
      <c r="P1180">
        <v>20000</v>
      </c>
      <c r="Q1180" t="s">
        <v>64</v>
      </c>
      <c r="R1180">
        <v>1</v>
      </c>
      <c r="S1180" s="31">
        <v>0</v>
      </c>
      <c r="T1180" s="39">
        <v>0</v>
      </c>
      <c r="U1180">
        <v>0</v>
      </c>
      <c r="V1180">
        <v>0</v>
      </c>
      <c r="W1180">
        <v>0</v>
      </c>
      <c r="X1180" s="39">
        <v>0</v>
      </c>
      <c r="Y1180">
        <v>0</v>
      </c>
      <c r="Z1180" s="31">
        <v>0</v>
      </c>
      <c r="AA1180">
        <v>8</v>
      </c>
      <c r="AB1180" s="3">
        <f t="shared" si="56"/>
        <v>0</v>
      </c>
      <c r="AC1180" t="str">
        <f>IF(AB1180-S1180&lt;0,"YES","NO")</f>
        <v>NO</v>
      </c>
      <c r="AD1180">
        <f>IF(AC1180="NO",0,AB1180-S1180)</f>
        <v>0</v>
      </c>
      <c r="AE1180" s="43">
        <v>0.08</v>
      </c>
      <c r="AF1180" s="3">
        <f t="shared" si="57"/>
        <v>0</v>
      </c>
      <c r="AG1180" s="45">
        <f t="shared" si="58"/>
        <v>0</v>
      </c>
      <c r="AH1180" s="55"/>
    </row>
    <row r="1181" spans="1:34" x14ac:dyDescent="0.25">
      <c r="A1181" t="s">
        <v>4352</v>
      </c>
      <c r="B1181" t="s">
        <v>4353</v>
      </c>
      <c r="C1181" t="s">
        <v>4354</v>
      </c>
      <c r="D1181" t="s">
        <v>4355</v>
      </c>
      <c r="E1181" t="s">
        <v>4356</v>
      </c>
      <c r="F1181" t="s">
        <v>4357</v>
      </c>
      <c r="G1181" t="s">
        <v>5</v>
      </c>
      <c r="H1181" t="s">
        <v>65</v>
      </c>
      <c r="I1181" t="s">
        <v>87</v>
      </c>
      <c r="J1181" t="s">
        <v>88</v>
      </c>
      <c r="K1181" t="s">
        <v>3</v>
      </c>
      <c r="L1181" t="s">
        <v>4</v>
      </c>
      <c r="M1181" t="s">
        <v>49</v>
      </c>
      <c r="N1181" t="s">
        <v>4358</v>
      </c>
      <c r="O1181" s="31" t="s">
        <v>4359</v>
      </c>
      <c r="P1181">
        <v>220</v>
      </c>
      <c r="Q1181" t="s">
        <v>89</v>
      </c>
      <c r="R1181">
        <v>1</v>
      </c>
      <c r="S1181" s="31">
        <v>59000</v>
      </c>
      <c r="T1181" s="39">
        <v>70000</v>
      </c>
      <c r="U1181">
        <v>10000</v>
      </c>
      <c r="V1181">
        <v>6500</v>
      </c>
      <c r="W1181">
        <v>0</v>
      </c>
      <c r="X1181" s="39">
        <v>15350</v>
      </c>
      <c r="Y1181">
        <v>0</v>
      </c>
      <c r="Z1181" s="31">
        <v>53500</v>
      </c>
      <c r="AA1181">
        <v>8</v>
      </c>
      <c r="AB1181" s="3">
        <f t="shared" si="56"/>
        <v>53500</v>
      </c>
      <c r="AC1181" t="str">
        <f>IF(AB1181-S1181&lt;0,"YES","NO")</f>
        <v>YES</v>
      </c>
      <c r="AD1181">
        <f>IF(AC1181="NO",0,AB1181-S1181)</f>
        <v>-5500</v>
      </c>
      <c r="AE1181" s="43">
        <v>0.08</v>
      </c>
      <c r="AF1181" s="3">
        <f t="shared" si="57"/>
        <v>-5092.5925925925922</v>
      </c>
      <c r="AG1181" s="45">
        <f t="shared" si="58"/>
        <v>-5601.8518518518522</v>
      </c>
      <c r="AH1181" s="55"/>
    </row>
    <row r="1182" spans="1:34" x14ac:dyDescent="0.25">
      <c r="A1182" t="s">
        <v>4352</v>
      </c>
      <c r="B1182" t="s">
        <v>4353</v>
      </c>
      <c r="C1182" t="s">
        <v>4354</v>
      </c>
      <c r="D1182" t="s">
        <v>4355</v>
      </c>
      <c r="E1182" t="s">
        <v>4356</v>
      </c>
      <c r="F1182" t="s">
        <v>4357</v>
      </c>
      <c r="G1182" t="s">
        <v>5</v>
      </c>
      <c r="H1182" t="s">
        <v>65</v>
      </c>
      <c r="I1182" t="s">
        <v>90</v>
      </c>
      <c r="J1182" t="s">
        <v>91</v>
      </c>
      <c r="K1182" t="s">
        <v>3</v>
      </c>
      <c r="L1182" t="s">
        <v>4</v>
      </c>
      <c r="M1182" t="s">
        <v>49</v>
      </c>
      <c r="N1182" t="s">
        <v>4358</v>
      </c>
      <c r="O1182" s="31" t="s">
        <v>4359</v>
      </c>
      <c r="P1182">
        <v>220</v>
      </c>
      <c r="Q1182" t="s">
        <v>92</v>
      </c>
      <c r="R1182">
        <v>1</v>
      </c>
      <c r="S1182" s="31">
        <v>59000</v>
      </c>
      <c r="T1182" s="39">
        <v>70000</v>
      </c>
      <c r="U1182">
        <v>10000</v>
      </c>
      <c r="V1182">
        <v>6500</v>
      </c>
      <c r="W1182">
        <v>0</v>
      </c>
      <c r="X1182" s="39">
        <v>15350</v>
      </c>
      <c r="Y1182">
        <v>0</v>
      </c>
      <c r="Z1182" s="31">
        <v>53500</v>
      </c>
      <c r="AA1182">
        <v>8</v>
      </c>
      <c r="AB1182" s="3">
        <f t="shared" si="56"/>
        <v>53500</v>
      </c>
      <c r="AC1182" t="str">
        <f>IF(AB1182-S1182&lt;0,"YES","NO")</f>
        <v>YES</v>
      </c>
      <c r="AD1182">
        <f>IF(AC1182="NO",0,AB1182-S1182)</f>
        <v>-5500</v>
      </c>
      <c r="AE1182" s="43">
        <v>0.08</v>
      </c>
      <c r="AF1182" s="3">
        <f t="shared" si="57"/>
        <v>-5092.5925925925922</v>
      </c>
      <c r="AG1182" s="45">
        <f t="shared" si="58"/>
        <v>-5601.8518518518522</v>
      </c>
      <c r="AH1182" s="55"/>
    </row>
    <row r="1183" spans="1:34" x14ac:dyDescent="0.25">
      <c r="A1183" t="s">
        <v>4360</v>
      </c>
      <c r="B1183" t="s">
        <v>4361</v>
      </c>
      <c r="C1183" t="s">
        <v>4362</v>
      </c>
      <c r="D1183" t="s">
        <v>4363</v>
      </c>
      <c r="E1183" t="s">
        <v>4364</v>
      </c>
      <c r="F1183" t="s">
        <v>4365</v>
      </c>
      <c r="G1183" t="s">
        <v>5</v>
      </c>
      <c r="H1183" t="s">
        <v>61</v>
      </c>
      <c r="I1183" t="s">
        <v>84</v>
      </c>
      <c r="J1183" t="s">
        <v>85</v>
      </c>
      <c r="K1183" t="s">
        <v>3</v>
      </c>
      <c r="L1183" t="s">
        <v>4</v>
      </c>
      <c r="M1183" t="s">
        <v>49</v>
      </c>
      <c r="N1183" t="s">
        <v>4366</v>
      </c>
      <c r="O1183" s="31" t="s">
        <v>4367</v>
      </c>
      <c r="P1183">
        <v>100</v>
      </c>
      <c r="Q1183" t="s">
        <v>86</v>
      </c>
      <c r="R1183">
        <v>1</v>
      </c>
      <c r="S1183" s="31">
        <v>0</v>
      </c>
      <c r="T1183" s="39">
        <v>0</v>
      </c>
      <c r="U1183">
        <v>0</v>
      </c>
      <c r="V1183">
        <v>0</v>
      </c>
      <c r="W1183">
        <v>0</v>
      </c>
      <c r="X1183" s="39">
        <v>0</v>
      </c>
      <c r="Y1183">
        <v>0</v>
      </c>
      <c r="Z1183" s="31">
        <v>0</v>
      </c>
      <c r="AA1183">
        <v>8</v>
      </c>
      <c r="AB1183" s="3">
        <f t="shared" si="56"/>
        <v>0</v>
      </c>
      <c r="AC1183" t="str">
        <f>IF(AB1183-S1183&lt;0,"YES","NO")</f>
        <v>NO</v>
      </c>
      <c r="AD1183">
        <f>IF(AC1183="NO",0,AB1183-S1183)</f>
        <v>0</v>
      </c>
      <c r="AE1183" s="43">
        <v>0.08</v>
      </c>
      <c r="AF1183" s="3">
        <f t="shared" si="57"/>
        <v>0</v>
      </c>
      <c r="AG1183" s="45">
        <f t="shared" si="58"/>
        <v>0</v>
      </c>
      <c r="AH1183" s="55"/>
    </row>
    <row r="1184" spans="1:34" x14ac:dyDescent="0.25">
      <c r="A1184" t="s">
        <v>4360</v>
      </c>
      <c r="B1184" t="s">
        <v>4361</v>
      </c>
      <c r="C1184" t="s">
        <v>4362</v>
      </c>
      <c r="D1184" t="s">
        <v>4363</v>
      </c>
      <c r="E1184" t="s">
        <v>4364</v>
      </c>
      <c r="F1184" t="s">
        <v>4365</v>
      </c>
      <c r="G1184" t="s">
        <v>5</v>
      </c>
      <c r="H1184" t="s">
        <v>65</v>
      </c>
      <c r="I1184" t="s">
        <v>66</v>
      </c>
      <c r="J1184" t="s">
        <v>67</v>
      </c>
      <c r="K1184" t="s">
        <v>3</v>
      </c>
      <c r="L1184" t="s">
        <v>4</v>
      </c>
      <c r="M1184" t="s">
        <v>49</v>
      </c>
      <c r="N1184" t="s">
        <v>4366</v>
      </c>
      <c r="O1184" s="31" t="s">
        <v>4367</v>
      </c>
      <c r="P1184">
        <v>220</v>
      </c>
      <c r="R1184">
        <v>3</v>
      </c>
      <c r="S1184" s="31">
        <v>225000</v>
      </c>
      <c r="T1184" s="39">
        <v>240000</v>
      </c>
      <c r="U1184">
        <v>35000.01</v>
      </c>
      <c r="V1184">
        <v>24000</v>
      </c>
      <c r="W1184">
        <v>0</v>
      </c>
      <c r="X1184" s="39">
        <v>71199.990000000005</v>
      </c>
      <c r="Y1184">
        <v>0</v>
      </c>
      <c r="Z1184" s="31">
        <v>180999.99</v>
      </c>
      <c r="AA1184">
        <v>8</v>
      </c>
      <c r="AB1184" s="3">
        <f t="shared" si="56"/>
        <v>180999.99</v>
      </c>
      <c r="AC1184" t="str">
        <f>IF(AB1184-S1184&lt;0,"YES","NO")</f>
        <v>YES</v>
      </c>
      <c r="AD1184">
        <f>IF(AC1184="NO",0,AB1184-S1184)</f>
        <v>-44000.010000000009</v>
      </c>
      <c r="AE1184" s="43">
        <v>0.08</v>
      </c>
      <c r="AF1184" s="3">
        <f t="shared" si="57"/>
        <v>-40740.750000000007</v>
      </c>
      <c r="AG1184" s="45">
        <f t="shared" si="58"/>
        <v>-44814.825000000012</v>
      </c>
      <c r="AH1184" s="55"/>
    </row>
    <row r="1185" spans="1:34" x14ac:dyDescent="0.25">
      <c r="A1185" t="s">
        <v>4368</v>
      </c>
      <c r="B1185" t="s">
        <v>4361</v>
      </c>
      <c r="C1185" t="s">
        <v>4369</v>
      </c>
      <c r="D1185" t="s">
        <v>4370</v>
      </c>
      <c r="E1185" t="s">
        <v>4371</v>
      </c>
      <c r="F1185" t="s">
        <v>4372</v>
      </c>
      <c r="G1185" t="s">
        <v>5</v>
      </c>
      <c r="H1185" t="s">
        <v>61</v>
      </c>
      <c r="I1185" t="s">
        <v>84</v>
      </c>
      <c r="J1185" t="s">
        <v>85</v>
      </c>
      <c r="K1185" t="s">
        <v>3</v>
      </c>
      <c r="L1185" t="s">
        <v>4</v>
      </c>
      <c r="M1185" t="s">
        <v>49</v>
      </c>
      <c r="N1185" t="s">
        <v>4373</v>
      </c>
      <c r="O1185" s="31" t="s">
        <v>4374</v>
      </c>
      <c r="P1185">
        <v>100</v>
      </c>
      <c r="Q1185" t="s">
        <v>86</v>
      </c>
      <c r="R1185">
        <v>1</v>
      </c>
      <c r="S1185" s="31">
        <v>0</v>
      </c>
      <c r="T1185" s="39">
        <v>0</v>
      </c>
      <c r="U1185">
        <v>0</v>
      </c>
      <c r="V1185">
        <v>0</v>
      </c>
      <c r="W1185">
        <v>0</v>
      </c>
      <c r="X1185" s="39">
        <v>0</v>
      </c>
      <c r="Y1185">
        <v>0</v>
      </c>
      <c r="Z1185" s="31">
        <v>0</v>
      </c>
      <c r="AA1185">
        <v>8</v>
      </c>
      <c r="AB1185" s="3">
        <f t="shared" si="56"/>
        <v>0</v>
      </c>
      <c r="AC1185" t="str">
        <f>IF(AB1185-S1185&lt;0,"YES","NO")</f>
        <v>NO</v>
      </c>
      <c r="AD1185">
        <f>IF(AC1185="NO",0,AB1185-S1185)</f>
        <v>0</v>
      </c>
      <c r="AE1185" s="43">
        <v>0.08</v>
      </c>
      <c r="AF1185" s="3">
        <f t="shared" si="57"/>
        <v>0</v>
      </c>
      <c r="AG1185" s="45">
        <f t="shared" si="58"/>
        <v>0</v>
      </c>
      <c r="AH1185" s="55"/>
    </row>
    <row r="1186" spans="1:34" x14ac:dyDescent="0.25">
      <c r="A1186" t="s">
        <v>4368</v>
      </c>
      <c r="B1186" t="s">
        <v>4361</v>
      </c>
      <c r="C1186" t="s">
        <v>4369</v>
      </c>
      <c r="D1186" t="s">
        <v>4370</v>
      </c>
      <c r="E1186" t="s">
        <v>4371</v>
      </c>
      <c r="F1186" t="s">
        <v>4372</v>
      </c>
      <c r="G1186" t="s">
        <v>5</v>
      </c>
      <c r="H1186" t="s">
        <v>65</v>
      </c>
      <c r="I1186" t="s">
        <v>66</v>
      </c>
      <c r="J1186" t="s">
        <v>67</v>
      </c>
      <c r="K1186" t="s">
        <v>3</v>
      </c>
      <c r="L1186" t="s">
        <v>4</v>
      </c>
      <c r="M1186" t="s">
        <v>49</v>
      </c>
      <c r="N1186" t="s">
        <v>4373</v>
      </c>
      <c r="O1186" s="31" t="s">
        <v>4374</v>
      </c>
      <c r="P1186">
        <v>220</v>
      </c>
      <c r="R1186">
        <v>6</v>
      </c>
      <c r="S1186" s="31">
        <v>450000</v>
      </c>
      <c r="T1186" s="39">
        <v>480000</v>
      </c>
      <c r="U1186">
        <v>75000</v>
      </c>
      <c r="V1186">
        <v>25000.02</v>
      </c>
      <c r="W1186">
        <v>0</v>
      </c>
      <c r="X1186" s="39">
        <v>105399.96</v>
      </c>
      <c r="Y1186">
        <v>0</v>
      </c>
      <c r="Z1186" s="31">
        <v>379999.98</v>
      </c>
      <c r="AA1186">
        <v>8</v>
      </c>
      <c r="AB1186" s="3">
        <f t="shared" si="56"/>
        <v>379999.98</v>
      </c>
      <c r="AC1186" t="str">
        <f>IF(AB1186-S1186&lt;0,"YES","NO")</f>
        <v>YES</v>
      </c>
      <c r="AD1186">
        <f>IF(AC1186="NO",0,AB1186-S1186)</f>
        <v>-70000.020000000019</v>
      </c>
      <c r="AE1186" s="43">
        <v>0.08</v>
      </c>
      <c r="AF1186" s="3">
        <f t="shared" si="57"/>
        <v>-64814.833333333343</v>
      </c>
      <c r="AG1186" s="45">
        <f t="shared" si="58"/>
        <v>-71296.31666666668</v>
      </c>
      <c r="AH1186" s="55"/>
    </row>
    <row r="1187" spans="1:34" x14ac:dyDescent="0.25">
      <c r="A1187" t="s">
        <v>4375</v>
      </c>
      <c r="B1187" t="s">
        <v>4376</v>
      </c>
      <c r="C1187" t="s">
        <v>4377</v>
      </c>
      <c r="D1187" t="s">
        <v>4378</v>
      </c>
      <c r="E1187" t="s">
        <v>4379</v>
      </c>
      <c r="F1187" t="s">
        <v>4380</v>
      </c>
      <c r="G1187" t="s">
        <v>5</v>
      </c>
      <c r="H1187" t="s">
        <v>61</v>
      </c>
      <c r="I1187" t="s">
        <v>62</v>
      </c>
      <c r="J1187" t="s">
        <v>63</v>
      </c>
      <c r="K1187" t="s">
        <v>3</v>
      </c>
      <c r="L1187" t="s">
        <v>4</v>
      </c>
      <c r="M1187" t="s">
        <v>49</v>
      </c>
      <c r="N1187" t="s">
        <v>4381</v>
      </c>
      <c r="O1187" s="31" t="s">
        <v>4382</v>
      </c>
      <c r="P1187">
        <v>20000</v>
      </c>
      <c r="Q1187" t="s">
        <v>64</v>
      </c>
      <c r="R1187">
        <v>1</v>
      </c>
      <c r="S1187" s="31">
        <v>0</v>
      </c>
      <c r="T1187" s="39">
        <v>0</v>
      </c>
      <c r="U1187">
        <v>0</v>
      </c>
      <c r="V1187">
        <v>0</v>
      </c>
      <c r="W1187">
        <v>0</v>
      </c>
      <c r="X1187" s="39">
        <v>0</v>
      </c>
      <c r="Y1187">
        <v>0</v>
      </c>
      <c r="Z1187" s="31">
        <v>0</v>
      </c>
      <c r="AA1187">
        <v>8</v>
      </c>
      <c r="AB1187" s="3">
        <f t="shared" si="56"/>
        <v>0</v>
      </c>
      <c r="AC1187" t="str">
        <f>IF(AB1187-S1187&lt;0,"YES","NO")</f>
        <v>NO</v>
      </c>
      <c r="AD1187">
        <f>IF(AC1187="NO",0,AB1187-S1187)</f>
        <v>0</v>
      </c>
      <c r="AE1187" s="43">
        <v>0.08</v>
      </c>
      <c r="AF1187" s="3">
        <f t="shared" si="57"/>
        <v>0</v>
      </c>
      <c r="AG1187" s="45">
        <f t="shared" si="58"/>
        <v>0</v>
      </c>
      <c r="AH1187" s="55"/>
    </row>
    <row r="1188" spans="1:34" x14ac:dyDescent="0.25">
      <c r="A1188" t="s">
        <v>4375</v>
      </c>
      <c r="B1188" t="s">
        <v>4376</v>
      </c>
      <c r="C1188" t="s">
        <v>4377</v>
      </c>
      <c r="D1188" t="s">
        <v>4378</v>
      </c>
      <c r="E1188" t="s">
        <v>4379</v>
      </c>
      <c r="F1188" t="s">
        <v>4380</v>
      </c>
      <c r="G1188" t="s">
        <v>5</v>
      </c>
      <c r="H1188" t="s">
        <v>65</v>
      </c>
      <c r="I1188" t="s">
        <v>68</v>
      </c>
      <c r="J1188" t="s">
        <v>69</v>
      </c>
      <c r="K1188" t="s">
        <v>3</v>
      </c>
      <c r="L1188" t="s">
        <v>4</v>
      </c>
      <c r="M1188" t="s">
        <v>49</v>
      </c>
      <c r="N1188" t="s">
        <v>4381</v>
      </c>
      <c r="O1188" s="31" t="s">
        <v>4382</v>
      </c>
      <c r="P1188">
        <v>220</v>
      </c>
      <c r="Q1188" t="s">
        <v>70</v>
      </c>
      <c r="R1188">
        <v>1</v>
      </c>
      <c r="S1188" s="31">
        <v>59000</v>
      </c>
      <c r="T1188" s="39">
        <v>65000</v>
      </c>
      <c r="U1188">
        <v>11666.67</v>
      </c>
      <c r="V1188">
        <v>5000</v>
      </c>
      <c r="W1188">
        <v>0</v>
      </c>
      <c r="X1188" s="39">
        <v>21333.33</v>
      </c>
      <c r="Y1188">
        <v>0</v>
      </c>
      <c r="Z1188" s="31">
        <v>48333.33</v>
      </c>
      <c r="AA1188">
        <v>8</v>
      </c>
      <c r="AB1188" s="3">
        <f t="shared" si="56"/>
        <v>48333.33</v>
      </c>
      <c r="AC1188" t="str">
        <f>IF(AB1188-S1188&lt;0,"YES","NO")</f>
        <v>YES</v>
      </c>
      <c r="AD1188">
        <f>IF(AC1188="NO",0,AB1188-S1188)</f>
        <v>-10666.669999999998</v>
      </c>
      <c r="AE1188" s="43">
        <v>0.08</v>
      </c>
      <c r="AF1188" s="3">
        <f t="shared" si="57"/>
        <v>-9876.5462962962938</v>
      </c>
      <c r="AG1188" s="45">
        <f t="shared" si="58"/>
        <v>-10864.200925925925</v>
      </c>
      <c r="AH1188" s="55"/>
    </row>
    <row r="1189" spans="1:34" x14ac:dyDescent="0.25">
      <c r="A1189" t="s">
        <v>4375</v>
      </c>
      <c r="B1189" t="s">
        <v>4376</v>
      </c>
      <c r="C1189" t="s">
        <v>4377</v>
      </c>
      <c r="D1189" t="s">
        <v>4378</v>
      </c>
      <c r="E1189" t="s">
        <v>4379</v>
      </c>
      <c r="F1189" t="s">
        <v>4380</v>
      </c>
      <c r="G1189" t="s">
        <v>5</v>
      </c>
      <c r="H1189" t="s">
        <v>65</v>
      </c>
      <c r="I1189" t="s">
        <v>71</v>
      </c>
      <c r="J1189" t="s">
        <v>72</v>
      </c>
      <c r="K1189" t="s">
        <v>3</v>
      </c>
      <c r="L1189" t="s">
        <v>4</v>
      </c>
      <c r="M1189" t="s">
        <v>49</v>
      </c>
      <c r="N1189" t="s">
        <v>4381</v>
      </c>
      <c r="O1189" s="31" t="s">
        <v>4382</v>
      </c>
      <c r="P1189">
        <v>220</v>
      </c>
      <c r="Q1189" t="s">
        <v>70</v>
      </c>
      <c r="R1189">
        <v>1</v>
      </c>
      <c r="S1189" s="31">
        <v>59000</v>
      </c>
      <c r="T1189" s="39">
        <v>65000</v>
      </c>
      <c r="U1189">
        <v>11666.67</v>
      </c>
      <c r="V1189">
        <v>5000</v>
      </c>
      <c r="W1189">
        <v>0</v>
      </c>
      <c r="X1189" s="39">
        <v>21333.33</v>
      </c>
      <c r="Y1189">
        <v>0</v>
      </c>
      <c r="Z1189" s="31">
        <v>48333.33</v>
      </c>
      <c r="AA1189">
        <v>8</v>
      </c>
      <c r="AB1189" s="3">
        <f t="shared" si="56"/>
        <v>48333.33</v>
      </c>
      <c r="AC1189" t="str">
        <f>IF(AB1189-S1189&lt;0,"YES","NO")</f>
        <v>YES</v>
      </c>
      <c r="AD1189">
        <f>IF(AC1189="NO",0,AB1189-S1189)</f>
        <v>-10666.669999999998</v>
      </c>
      <c r="AE1189" s="43">
        <v>0.08</v>
      </c>
      <c r="AF1189" s="3">
        <f t="shared" si="57"/>
        <v>-9876.5462962962938</v>
      </c>
      <c r="AG1189" s="45">
        <f t="shared" si="58"/>
        <v>-10864.200925925925</v>
      </c>
      <c r="AH1189" s="55"/>
    </row>
    <row r="1190" spans="1:34" x14ac:dyDescent="0.25">
      <c r="A1190" t="s">
        <v>4375</v>
      </c>
      <c r="B1190" t="s">
        <v>4376</v>
      </c>
      <c r="C1190" t="s">
        <v>4377</v>
      </c>
      <c r="D1190" t="s">
        <v>4378</v>
      </c>
      <c r="E1190" t="s">
        <v>4379</v>
      </c>
      <c r="F1190" t="s">
        <v>4380</v>
      </c>
      <c r="G1190" t="s">
        <v>5</v>
      </c>
      <c r="H1190" t="s">
        <v>65</v>
      </c>
      <c r="I1190" t="s">
        <v>73</v>
      </c>
      <c r="J1190" t="s">
        <v>74</v>
      </c>
      <c r="K1190" t="s">
        <v>3</v>
      </c>
      <c r="L1190" t="s">
        <v>4</v>
      </c>
      <c r="M1190" t="s">
        <v>49</v>
      </c>
      <c r="N1190" t="s">
        <v>4381</v>
      </c>
      <c r="O1190" s="31" t="s">
        <v>4382</v>
      </c>
      <c r="P1190">
        <v>220</v>
      </c>
      <c r="Q1190" t="s">
        <v>70</v>
      </c>
      <c r="R1190">
        <v>1</v>
      </c>
      <c r="S1190" s="31">
        <v>59000</v>
      </c>
      <c r="T1190" s="39">
        <v>65000</v>
      </c>
      <c r="U1190">
        <v>11666.67</v>
      </c>
      <c r="V1190">
        <v>5000</v>
      </c>
      <c r="W1190">
        <v>0</v>
      </c>
      <c r="X1190" s="39">
        <v>21333.33</v>
      </c>
      <c r="Y1190">
        <v>0</v>
      </c>
      <c r="Z1190" s="31">
        <v>48333.33</v>
      </c>
      <c r="AA1190">
        <v>8</v>
      </c>
      <c r="AB1190" s="3">
        <f t="shared" si="56"/>
        <v>48333.33</v>
      </c>
      <c r="AC1190" t="str">
        <f>IF(AB1190-S1190&lt;0,"YES","NO")</f>
        <v>YES</v>
      </c>
      <c r="AD1190">
        <f>IF(AC1190="NO",0,AB1190-S1190)</f>
        <v>-10666.669999999998</v>
      </c>
      <c r="AE1190" s="43">
        <v>0.08</v>
      </c>
      <c r="AF1190" s="3">
        <f t="shared" si="57"/>
        <v>-9876.5462962962938</v>
      </c>
      <c r="AG1190" s="45">
        <f t="shared" si="58"/>
        <v>-10864.200925925925</v>
      </c>
      <c r="AH1190" s="55"/>
    </row>
    <row r="1191" spans="1:34" x14ac:dyDescent="0.25">
      <c r="A1191" t="s">
        <v>4383</v>
      </c>
      <c r="B1191" t="s">
        <v>4384</v>
      </c>
      <c r="C1191" t="s">
        <v>4385</v>
      </c>
      <c r="D1191" t="s">
        <v>4386</v>
      </c>
      <c r="E1191" t="s">
        <v>4387</v>
      </c>
      <c r="F1191" t="s">
        <v>4388</v>
      </c>
      <c r="G1191" t="s">
        <v>5</v>
      </c>
      <c r="H1191" t="s">
        <v>61</v>
      </c>
      <c r="I1191" t="s">
        <v>84</v>
      </c>
      <c r="J1191" t="s">
        <v>85</v>
      </c>
      <c r="K1191" t="s">
        <v>3</v>
      </c>
      <c r="L1191" t="s">
        <v>4</v>
      </c>
      <c r="M1191" t="s">
        <v>49</v>
      </c>
      <c r="N1191" t="s">
        <v>4389</v>
      </c>
      <c r="O1191" s="31" t="s">
        <v>4390</v>
      </c>
      <c r="P1191">
        <v>100</v>
      </c>
      <c r="Q1191" t="s">
        <v>86</v>
      </c>
      <c r="R1191">
        <v>1</v>
      </c>
      <c r="S1191" s="31">
        <v>0</v>
      </c>
      <c r="T1191" s="39">
        <v>0</v>
      </c>
      <c r="U1191">
        <v>0</v>
      </c>
      <c r="V1191">
        <v>0</v>
      </c>
      <c r="W1191">
        <v>0</v>
      </c>
      <c r="X1191" s="39">
        <v>0</v>
      </c>
      <c r="Y1191">
        <v>0</v>
      </c>
      <c r="Z1191" s="31">
        <v>0</v>
      </c>
      <c r="AA1191">
        <v>8</v>
      </c>
      <c r="AB1191" s="3">
        <f t="shared" si="56"/>
        <v>0</v>
      </c>
      <c r="AC1191" t="str">
        <f>IF(AB1191-S1191&lt;0,"YES","NO")</f>
        <v>NO</v>
      </c>
      <c r="AD1191">
        <f>IF(AC1191="NO",0,AB1191-S1191)</f>
        <v>0</v>
      </c>
      <c r="AE1191" s="43">
        <v>0.08</v>
      </c>
      <c r="AF1191" s="3">
        <f t="shared" si="57"/>
        <v>0</v>
      </c>
      <c r="AG1191" s="45">
        <f t="shared" si="58"/>
        <v>0</v>
      </c>
      <c r="AH1191" s="55"/>
    </row>
    <row r="1192" spans="1:34" x14ac:dyDescent="0.25">
      <c r="A1192" t="s">
        <v>4383</v>
      </c>
      <c r="B1192" t="s">
        <v>4384</v>
      </c>
      <c r="C1192" t="s">
        <v>4385</v>
      </c>
      <c r="D1192" t="s">
        <v>4386</v>
      </c>
      <c r="E1192" t="s">
        <v>4387</v>
      </c>
      <c r="F1192" t="s">
        <v>4388</v>
      </c>
      <c r="G1192" t="s">
        <v>5</v>
      </c>
      <c r="H1192" t="s">
        <v>65</v>
      </c>
      <c r="I1192" t="s">
        <v>66</v>
      </c>
      <c r="J1192" t="s">
        <v>67</v>
      </c>
      <c r="K1192" t="s">
        <v>3</v>
      </c>
      <c r="L1192" t="s">
        <v>4</v>
      </c>
      <c r="M1192" t="s">
        <v>49</v>
      </c>
      <c r="N1192" t="s">
        <v>4389</v>
      </c>
      <c r="O1192" s="31" t="s">
        <v>4390</v>
      </c>
      <c r="P1192">
        <v>220</v>
      </c>
      <c r="R1192">
        <v>2</v>
      </c>
      <c r="S1192" s="31">
        <v>150000</v>
      </c>
      <c r="T1192" s="39">
        <v>160000</v>
      </c>
      <c r="U1192">
        <v>20000</v>
      </c>
      <c r="V1192">
        <v>16000</v>
      </c>
      <c r="W1192">
        <v>0</v>
      </c>
      <c r="X1192" s="39">
        <v>44800</v>
      </c>
      <c r="Y1192">
        <v>0</v>
      </c>
      <c r="Z1192" s="31">
        <v>124000</v>
      </c>
      <c r="AA1192">
        <v>8</v>
      </c>
      <c r="AB1192" s="3">
        <f t="shared" si="56"/>
        <v>124000</v>
      </c>
      <c r="AC1192" t="str">
        <f>IF(AB1192-S1192&lt;0,"YES","NO")</f>
        <v>YES</v>
      </c>
      <c r="AD1192">
        <f>IF(AC1192="NO",0,AB1192-S1192)</f>
        <v>-26000</v>
      </c>
      <c r="AE1192" s="43">
        <v>0.08</v>
      </c>
      <c r="AF1192" s="3">
        <f t="shared" si="57"/>
        <v>-24074.074074074073</v>
      </c>
      <c r="AG1192" s="45">
        <f t="shared" si="58"/>
        <v>-26481.481481481482</v>
      </c>
      <c r="AH1192" s="55"/>
    </row>
    <row r="1193" spans="1:34" x14ac:dyDescent="0.25">
      <c r="A1193" t="s">
        <v>4391</v>
      </c>
      <c r="B1193" t="s">
        <v>4392</v>
      </c>
      <c r="C1193" t="s">
        <v>4393</v>
      </c>
      <c r="D1193" t="s">
        <v>4394</v>
      </c>
      <c r="E1193" t="s">
        <v>4395</v>
      </c>
      <c r="F1193" t="s">
        <v>4396</v>
      </c>
      <c r="G1193" t="s">
        <v>5</v>
      </c>
      <c r="H1193" t="s">
        <v>61</v>
      </c>
      <c r="I1193" t="s">
        <v>84</v>
      </c>
      <c r="J1193" t="s">
        <v>85</v>
      </c>
      <c r="K1193" t="s">
        <v>3</v>
      </c>
      <c r="L1193" t="s">
        <v>4</v>
      </c>
      <c r="M1193" t="s">
        <v>49</v>
      </c>
      <c r="N1193" t="s">
        <v>4397</v>
      </c>
      <c r="O1193" s="31" t="s">
        <v>4398</v>
      </c>
      <c r="P1193">
        <v>100</v>
      </c>
      <c r="Q1193" t="s">
        <v>86</v>
      </c>
      <c r="R1193">
        <v>1</v>
      </c>
      <c r="S1193" s="31">
        <v>0</v>
      </c>
      <c r="T1193" s="39">
        <v>0</v>
      </c>
      <c r="U1193">
        <v>0</v>
      </c>
      <c r="V1193">
        <v>0</v>
      </c>
      <c r="W1193">
        <v>0</v>
      </c>
      <c r="X1193" s="39">
        <v>0</v>
      </c>
      <c r="Y1193">
        <v>0</v>
      </c>
      <c r="Z1193" s="31">
        <v>0</v>
      </c>
      <c r="AA1193">
        <v>8</v>
      </c>
      <c r="AB1193" s="3">
        <f t="shared" si="56"/>
        <v>0</v>
      </c>
      <c r="AC1193" t="str">
        <f>IF(AB1193-S1193&lt;0,"YES","NO")</f>
        <v>NO</v>
      </c>
      <c r="AD1193">
        <f>IF(AC1193="NO",0,AB1193-S1193)</f>
        <v>0</v>
      </c>
      <c r="AE1193" s="43">
        <v>0.08</v>
      </c>
      <c r="AF1193" s="3">
        <f t="shared" si="57"/>
        <v>0</v>
      </c>
      <c r="AG1193" s="45">
        <f t="shared" si="58"/>
        <v>0</v>
      </c>
      <c r="AH1193" s="55"/>
    </row>
    <row r="1194" spans="1:34" x14ac:dyDescent="0.25">
      <c r="A1194" t="s">
        <v>4391</v>
      </c>
      <c r="B1194" t="s">
        <v>4392</v>
      </c>
      <c r="C1194" t="s">
        <v>4393</v>
      </c>
      <c r="D1194" t="s">
        <v>4394</v>
      </c>
      <c r="E1194" t="s">
        <v>4395</v>
      </c>
      <c r="F1194" t="s">
        <v>4396</v>
      </c>
      <c r="G1194" t="s">
        <v>5</v>
      </c>
      <c r="H1194" t="s">
        <v>65</v>
      </c>
      <c r="I1194" t="s">
        <v>66</v>
      </c>
      <c r="J1194" t="s">
        <v>67</v>
      </c>
      <c r="K1194" t="s">
        <v>3</v>
      </c>
      <c r="L1194" t="s">
        <v>4</v>
      </c>
      <c r="M1194" t="s">
        <v>49</v>
      </c>
      <c r="N1194" t="s">
        <v>4397</v>
      </c>
      <c r="O1194" s="31" t="s">
        <v>4398</v>
      </c>
      <c r="P1194">
        <v>220</v>
      </c>
      <c r="R1194">
        <v>1</v>
      </c>
      <c r="S1194" s="31">
        <v>75000</v>
      </c>
      <c r="T1194" s="39">
        <v>80000</v>
      </c>
      <c r="U1194">
        <v>11666.67</v>
      </c>
      <c r="V1194">
        <v>4333.33</v>
      </c>
      <c r="W1194">
        <v>0</v>
      </c>
      <c r="X1194" s="39">
        <v>24466.67</v>
      </c>
      <c r="Y1194">
        <v>0</v>
      </c>
      <c r="Z1194" s="31">
        <v>64000</v>
      </c>
      <c r="AA1194">
        <v>8</v>
      </c>
      <c r="AB1194" s="3">
        <f t="shared" si="56"/>
        <v>64000</v>
      </c>
      <c r="AC1194" t="str">
        <f>IF(AB1194-S1194&lt;0,"YES","NO")</f>
        <v>YES</v>
      </c>
      <c r="AD1194">
        <f>IF(AC1194="NO",0,AB1194-S1194)</f>
        <v>-11000</v>
      </c>
      <c r="AE1194" s="43">
        <v>0.08</v>
      </c>
      <c r="AF1194" s="3">
        <f t="shared" si="57"/>
        <v>-10185.185185185184</v>
      </c>
      <c r="AG1194" s="45">
        <f t="shared" si="58"/>
        <v>-11203.703703703704</v>
      </c>
      <c r="AH1194" s="55"/>
    </row>
    <row r="1195" spans="1:34" x14ac:dyDescent="0.25">
      <c r="A1195" t="s">
        <v>4391</v>
      </c>
      <c r="B1195" t="s">
        <v>4392</v>
      </c>
      <c r="C1195" t="s">
        <v>4393</v>
      </c>
      <c r="D1195" t="s">
        <v>4394</v>
      </c>
      <c r="E1195" t="s">
        <v>4395</v>
      </c>
      <c r="F1195" t="s">
        <v>4396</v>
      </c>
      <c r="G1195" t="s">
        <v>5</v>
      </c>
      <c r="H1195" t="s">
        <v>65</v>
      </c>
      <c r="I1195" t="s">
        <v>78</v>
      </c>
      <c r="J1195" t="s">
        <v>79</v>
      </c>
      <c r="K1195" t="s">
        <v>3</v>
      </c>
      <c r="L1195" t="s">
        <v>4</v>
      </c>
      <c r="M1195" t="s">
        <v>49</v>
      </c>
      <c r="N1195" t="s">
        <v>4397</v>
      </c>
      <c r="O1195" s="31" t="s">
        <v>4398</v>
      </c>
      <c r="P1195">
        <v>220</v>
      </c>
      <c r="R1195">
        <v>1</v>
      </c>
      <c r="S1195" s="31">
        <v>75000</v>
      </c>
      <c r="T1195" s="39">
        <v>80000</v>
      </c>
      <c r="U1195">
        <v>11666.67</v>
      </c>
      <c r="V1195">
        <v>4333.33</v>
      </c>
      <c r="W1195">
        <v>0</v>
      </c>
      <c r="X1195" s="39">
        <v>24466.67</v>
      </c>
      <c r="Y1195">
        <v>0</v>
      </c>
      <c r="Z1195" s="31">
        <v>64000</v>
      </c>
      <c r="AA1195">
        <v>8</v>
      </c>
      <c r="AB1195" s="3">
        <f t="shared" si="56"/>
        <v>64000</v>
      </c>
      <c r="AC1195" t="str">
        <f>IF(AB1195-S1195&lt;0,"YES","NO")</f>
        <v>YES</v>
      </c>
      <c r="AD1195">
        <f>IF(AC1195="NO",0,AB1195-S1195)</f>
        <v>-11000</v>
      </c>
      <c r="AE1195" s="43">
        <v>0.08</v>
      </c>
      <c r="AF1195" s="3">
        <f t="shared" si="57"/>
        <v>-10185.185185185184</v>
      </c>
      <c r="AG1195" s="45">
        <f t="shared" si="58"/>
        <v>-11203.703703703704</v>
      </c>
      <c r="AH1195" s="55"/>
    </row>
    <row r="1196" spans="1:34" x14ac:dyDescent="0.25">
      <c r="A1196" t="s">
        <v>4391</v>
      </c>
      <c r="B1196" t="s">
        <v>4392</v>
      </c>
      <c r="C1196" t="s">
        <v>4393</v>
      </c>
      <c r="D1196" t="s">
        <v>4394</v>
      </c>
      <c r="E1196" t="s">
        <v>4395</v>
      </c>
      <c r="F1196" t="s">
        <v>4396</v>
      </c>
      <c r="G1196" t="s">
        <v>5</v>
      </c>
      <c r="H1196" t="s">
        <v>65</v>
      </c>
      <c r="I1196" t="s">
        <v>80</v>
      </c>
      <c r="J1196" t="s">
        <v>81</v>
      </c>
      <c r="K1196" t="s">
        <v>3</v>
      </c>
      <c r="L1196" t="s">
        <v>4</v>
      </c>
      <c r="M1196" t="s">
        <v>49</v>
      </c>
      <c r="N1196" t="s">
        <v>4397</v>
      </c>
      <c r="O1196" s="31" t="s">
        <v>4398</v>
      </c>
      <c r="P1196">
        <v>220</v>
      </c>
      <c r="R1196">
        <v>1</v>
      </c>
      <c r="S1196" s="31">
        <v>75000</v>
      </c>
      <c r="T1196" s="39">
        <v>80000</v>
      </c>
      <c r="U1196">
        <v>11666.67</v>
      </c>
      <c r="V1196">
        <v>4333.33</v>
      </c>
      <c r="W1196">
        <v>0</v>
      </c>
      <c r="X1196" s="39">
        <v>24466.67</v>
      </c>
      <c r="Y1196">
        <v>0</v>
      </c>
      <c r="Z1196" s="31">
        <v>64000</v>
      </c>
      <c r="AA1196">
        <v>8</v>
      </c>
      <c r="AB1196" s="3">
        <f t="shared" si="56"/>
        <v>64000</v>
      </c>
      <c r="AC1196" t="str">
        <f>IF(AB1196-S1196&lt;0,"YES","NO")</f>
        <v>YES</v>
      </c>
      <c r="AD1196">
        <f>IF(AC1196="NO",0,AB1196-S1196)</f>
        <v>-11000</v>
      </c>
      <c r="AE1196" s="43">
        <v>0.08</v>
      </c>
      <c r="AF1196" s="3">
        <f t="shared" si="57"/>
        <v>-10185.185185185184</v>
      </c>
      <c r="AG1196" s="45">
        <f t="shared" si="58"/>
        <v>-11203.703703703704</v>
      </c>
      <c r="AH1196" s="55"/>
    </row>
    <row r="1197" spans="1:34" x14ac:dyDescent="0.25">
      <c r="A1197" t="s">
        <v>4399</v>
      </c>
      <c r="B1197" t="s">
        <v>4392</v>
      </c>
      <c r="C1197" t="s">
        <v>4400</v>
      </c>
      <c r="D1197" t="s">
        <v>4401</v>
      </c>
      <c r="E1197" t="s">
        <v>4402</v>
      </c>
      <c r="F1197" t="s">
        <v>4403</v>
      </c>
      <c r="G1197" t="s">
        <v>5</v>
      </c>
      <c r="H1197" t="s">
        <v>61</v>
      </c>
      <c r="I1197" t="s">
        <v>62</v>
      </c>
      <c r="J1197" t="s">
        <v>63</v>
      </c>
      <c r="K1197" t="s">
        <v>3</v>
      </c>
      <c r="L1197" t="s">
        <v>4</v>
      </c>
      <c r="M1197" t="s">
        <v>49</v>
      </c>
      <c r="N1197" t="s">
        <v>4404</v>
      </c>
      <c r="O1197" s="31" t="s">
        <v>4405</v>
      </c>
      <c r="P1197">
        <v>20000</v>
      </c>
      <c r="Q1197" t="s">
        <v>64</v>
      </c>
      <c r="R1197">
        <v>1</v>
      </c>
      <c r="S1197" s="31">
        <v>0</v>
      </c>
      <c r="T1197" s="39">
        <v>0</v>
      </c>
      <c r="U1197">
        <v>0</v>
      </c>
      <c r="V1197">
        <v>0</v>
      </c>
      <c r="W1197">
        <v>0</v>
      </c>
      <c r="X1197" s="39">
        <v>0</v>
      </c>
      <c r="Y1197">
        <v>0</v>
      </c>
      <c r="Z1197" s="31">
        <v>0</v>
      </c>
      <c r="AA1197">
        <v>8</v>
      </c>
      <c r="AB1197" s="3">
        <f t="shared" si="56"/>
        <v>0</v>
      </c>
      <c r="AC1197" t="str">
        <f>IF(AB1197-S1197&lt;0,"YES","NO")</f>
        <v>NO</v>
      </c>
      <c r="AD1197">
        <f>IF(AC1197="NO",0,AB1197-S1197)</f>
        <v>0</v>
      </c>
      <c r="AE1197" s="43">
        <v>0.08</v>
      </c>
      <c r="AF1197" s="3">
        <f t="shared" si="57"/>
        <v>0</v>
      </c>
      <c r="AG1197" s="45">
        <f t="shared" si="58"/>
        <v>0</v>
      </c>
      <c r="AH1197" s="55"/>
    </row>
    <row r="1198" spans="1:34" x14ac:dyDescent="0.25">
      <c r="A1198" t="s">
        <v>4399</v>
      </c>
      <c r="B1198" t="s">
        <v>4392</v>
      </c>
      <c r="C1198" t="s">
        <v>4400</v>
      </c>
      <c r="D1198" t="s">
        <v>4401</v>
      </c>
      <c r="E1198" t="s">
        <v>4402</v>
      </c>
      <c r="F1198" t="s">
        <v>4403</v>
      </c>
      <c r="G1198" t="s">
        <v>5</v>
      </c>
      <c r="H1198" t="s">
        <v>65</v>
      </c>
      <c r="I1198" t="s">
        <v>71</v>
      </c>
      <c r="J1198" t="s">
        <v>72</v>
      </c>
      <c r="K1198" t="s">
        <v>3</v>
      </c>
      <c r="L1198" t="s">
        <v>4</v>
      </c>
      <c r="M1198" t="s">
        <v>49</v>
      </c>
      <c r="N1198" t="s">
        <v>4404</v>
      </c>
      <c r="O1198" s="31" t="s">
        <v>4405</v>
      </c>
      <c r="P1198">
        <v>220</v>
      </c>
      <c r="Q1198" t="s">
        <v>70</v>
      </c>
      <c r="R1198">
        <v>3</v>
      </c>
      <c r="S1198" s="31">
        <v>177000</v>
      </c>
      <c r="T1198" s="39">
        <v>195000</v>
      </c>
      <c r="U1198">
        <v>35000.01</v>
      </c>
      <c r="V1198">
        <v>19500</v>
      </c>
      <c r="W1198">
        <v>0</v>
      </c>
      <c r="X1198" s="39">
        <v>49050</v>
      </c>
      <c r="Y1198">
        <v>0</v>
      </c>
      <c r="Z1198" s="31">
        <v>140499.99</v>
      </c>
      <c r="AA1198">
        <v>8</v>
      </c>
      <c r="AB1198" s="3">
        <f t="shared" si="56"/>
        <v>140499.99</v>
      </c>
      <c r="AC1198" t="str">
        <f>IF(AB1198-S1198&lt;0,"YES","NO")</f>
        <v>YES</v>
      </c>
      <c r="AD1198">
        <f>IF(AC1198="NO",0,AB1198-S1198)</f>
        <v>-36500.010000000009</v>
      </c>
      <c r="AE1198" s="43">
        <v>0.08</v>
      </c>
      <c r="AF1198" s="3">
        <f t="shared" si="57"/>
        <v>-33796.305555555562</v>
      </c>
      <c r="AG1198" s="45">
        <f t="shared" si="58"/>
        <v>-37175.936111111121</v>
      </c>
      <c r="AH1198" s="55"/>
    </row>
    <row r="1199" spans="1:34" x14ac:dyDescent="0.25">
      <c r="A1199" t="s">
        <v>4406</v>
      </c>
      <c r="B1199" t="s">
        <v>4384</v>
      </c>
      <c r="C1199" t="s">
        <v>4407</v>
      </c>
      <c r="D1199" t="s">
        <v>4408</v>
      </c>
      <c r="E1199" t="s">
        <v>4409</v>
      </c>
      <c r="F1199" t="s">
        <v>4410</v>
      </c>
      <c r="G1199" t="s">
        <v>5</v>
      </c>
      <c r="H1199" t="s">
        <v>61</v>
      </c>
      <c r="I1199" t="s">
        <v>75</v>
      </c>
      <c r="J1199" t="s">
        <v>76</v>
      </c>
      <c r="K1199" t="s">
        <v>3</v>
      </c>
      <c r="L1199" t="s">
        <v>4</v>
      </c>
      <c r="M1199" t="s">
        <v>49</v>
      </c>
      <c r="N1199" t="s">
        <v>4411</v>
      </c>
      <c r="O1199" s="31" t="s">
        <v>4412</v>
      </c>
      <c r="P1199">
        <v>20</v>
      </c>
      <c r="Q1199" t="s">
        <v>77</v>
      </c>
      <c r="R1199">
        <v>1</v>
      </c>
      <c r="S1199" s="31">
        <v>0</v>
      </c>
      <c r="T1199" s="39">
        <v>0</v>
      </c>
      <c r="U1199">
        <v>0</v>
      </c>
      <c r="V1199">
        <v>0</v>
      </c>
      <c r="W1199">
        <v>0</v>
      </c>
      <c r="X1199" s="39">
        <v>0</v>
      </c>
      <c r="Y1199">
        <v>0</v>
      </c>
      <c r="Z1199" s="31">
        <v>0</v>
      </c>
      <c r="AA1199">
        <v>8</v>
      </c>
      <c r="AB1199" s="3">
        <f t="shared" si="56"/>
        <v>0</v>
      </c>
      <c r="AC1199" t="str">
        <f>IF(AB1199-S1199&lt;0,"YES","NO")</f>
        <v>NO</v>
      </c>
      <c r="AD1199">
        <f>IF(AC1199="NO",0,AB1199-S1199)</f>
        <v>0</v>
      </c>
      <c r="AE1199" s="43">
        <v>0.08</v>
      </c>
      <c r="AF1199" s="3">
        <f t="shared" si="57"/>
        <v>0</v>
      </c>
      <c r="AG1199" s="45">
        <f t="shared" si="58"/>
        <v>0</v>
      </c>
      <c r="AH1199" s="55"/>
    </row>
    <row r="1200" spans="1:34" x14ac:dyDescent="0.25">
      <c r="A1200" t="s">
        <v>4406</v>
      </c>
      <c r="B1200" t="s">
        <v>4384</v>
      </c>
      <c r="C1200" t="s">
        <v>4407</v>
      </c>
      <c r="D1200" t="s">
        <v>4408</v>
      </c>
      <c r="E1200" t="s">
        <v>4409</v>
      </c>
      <c r="F1200" t="s">
        <v>4410</v>
      </c>
      <c r="G1200" t="s">
        <v>5</v>
      </c>
      <c r="H1200" t="s">
        <v>65</v>
      </c>
      <c r="I1200" t="s">
        <v>66</v>
      </c>
      <c r="J1200" t="s">
        <v>67</v>
      </c>
      <c r="K1200" t="s">
        <v>3</v>
      </c>
      <c r="L1200" t="s">
        <v>4</v>
      </c>
      <c r="M1200" t="s">
        <v>49</v>
      </c>
      <c r="N1200" t="s">
        <v>4411</v>
      </c>
      <c r="O1200" s="31" t="s">
        <v>4412</v>
      </c>
      <c r="P1200">
        <v>220</v>
      </c>
      <c r="R1200">
        <v>6</v>
      </c>
      <c r="S1200" s="31">
        <v>450000</v>
      </c>
      <c r="T1200" s="39">
        <v>480000</v>
      </c>
      <c r="U1200">
        <v>75000</v>
      </c>
      <c r="V1200">
        <v>25000.02</v>
      </c>
      <c r="W1200">
        <v>0</v>
      </c>
      <c r="X1200" s="39">
        <v>135799.98000000001</v>
      </c>
      <c r="Y1200">
        <v>0</v>
      </c>
      <c r="Z1200" s="31">
        <v>379999.98</v>
      </c>
      <c r="AA1200">
        <v>8</v>
      </c>
      <c r="AB1200" s="3">
        <f t="shared" si="56"/>
        <v>379999.98</v>
      </c>
      <c r="AC1200" t="str">
        <f>IF(AB1200-S1200&lt;0,"YES","NO")</f>
        <v>YES</v>
      </c>
      <c r="AD1200">
        <f>IF(AC1200="NO",0,AB1200-S1200)</f>
        <v>-70000.020000000019</v>
      </c>
      <c r="AE1200" s="43">
        <v>0.08</v>
      </c>
      <c r="AF1200" s="3">
        <f t="shared" si="57"/>
        <v>-64814.833333333343</v>
      </c>
      <c r="AG1200" s="45">
        <f t="shared" si="58"/>
        <v>-71296.31666666668</v>
      </c>
      <c r="AH1200" s="55"/>
    </row>
    <row r="1201" spans="1:34" x14ac:dyDescent="0.25">
      <c r="A1201" t="s">
        <v>4413</v>
      </c>
      <c r="B1201" t="s">
        <v>4384</v>
      </c>
      <c r="C1201" t="s">
        <v>4414</v>
      </c>
      <c r="D1201" t="s">
        <v>4415</v>
      </c>
      <c r="E1201" t="s">
        <v>4416</v>
      </c>
      <c r="F1201" t="s">
        <v>4417</v>
      </c>
      <c r="G1201" t="s">
        <v>5</v>
      </c>
      <c r="H1201" t="s">
        <v>61</v>
      </c>
      <c r="I1201" t="s">
        <v>62</v>
      </c>
      <c r="J1201" t="s">
        <v>63</v>
      </c>
      <c r="K1201" t="s">
        <v>3</v>
      </c>
      <c r="L1201" t="s">
        <v>4</v>
      </c>
      <c r="M1201" t="s">
        <v>49</v>
      </c>
      <c r="N1201" t="s">
        <v>4418</v>
      </c>
      <c r="O1201" s="31" t="s">
        <v>4419</v>
      </c>
      <c r="P1201">
        <v>20000</v>
      </c>
      <c r="Q1201" t="s">
        <v>64</v>
      </c>
      <c r="R1201">
        <v>1</v>
      </c>
      <c r="S1201" s="31">
        <v>0</v>
      </c>
      <c r="T1201" s="39">
        <v>0</v>
      </c>
      <c r="U1201">
        <v>0</v>
      </c>
      <c r="V1201">
        <v>0</v>
      </c>
      <c r="W1201">
        <v>0</v>
      </c>
      <c r="X1201" s="39">
        <v>0</v>
      </c>
      <c r="Y1201">
        <v>0</v>
      </c>
      <c r="Z1201" s="31">
        <v>0</v>
      </c>
      <c r="AA1201">
        <v>8</v>
      </c>
      <c r="AB1201" s="3">
        <f t="shared" si="56"/>
        <v>0</v>
      </c>
      <c r="AC1201" t="str">
        <f>IF(AB1201-S1201&lt;0,"YES","NO")</f>
        <v>NO</v>
      </c>
      <c r="AD1201">
        <f>IF(AC1201="NO",0,AB1201-S1201)</f>
        <v>0</v>
      </c>
      <c r="AE1201" s="43">
        <v>0.08</v>
      </c>
      <c r="AF1201" s="3">
        <f t="shared" si="57"/>
        <v>0</v>
      </c>
      <c r="AG1201" s="45">
        <f t="shared" si="58"/>
        <v>0</v>
      </c>
      <c r="AH1201" s="55"/>
    </row>
    <row r="1202" spans="1:34" x14ac:dyDescent="0.25">
      <c r="A1202" t="s">
        <v>4413</v>
      </c>
      <c r="B1202" t="s">
        <v>4384</v>
      </c>
      <c r="C1202" t="s">
        <v>4414</v>
      </c>
      <c r="D1202" t="s">
        <v>4415</v>
      </c>
      <c r="E1202" t="s">
        <v>4416</v>
      </c>
      <c r="F1202" t="s">
        <v>4417</v>
      </c>
      <c r="G1202" t="s">
        <v>5</v>
      </c>
      <c r="H1202" t="s">
        <v>65</v>
      </c>
      <c r="I1202" t="s">
        <v>68</v>
      </c>
      <c r="J1202" t="s">
        <v>69</v>
      </c>
      <c r="K1202" t="s">
        <v>3</v>
      </c>
      <c r="L1202" t="s">
        <v>4</v>
      </c>
      <c r="M1202" t="s">
        <v>49</v>
      </c>
      <c r="N1202" t="s">
        <v>4418</v>
      </c>
      <c r="O1202" s="31" t="s">
        <v>4419</v>
      </c>
      <c r="P1202">
        <v>220</v>
      </c>
      <c r="Q1202" t="s">
        <v>70</v>
      </c>
      <c r="R1202">
        <v>1</v>
      </c>
      <c r="S1202" s="31">
        <v>59000</v>
      </c>
      <c r="T1202" s="39">
        <v>65000</v>
      </c>
      <c r="U1202">
        <v>11666.67</v>
      </c>
      <c r="V1202">
        <v>5000</v>
      </c>
      <c r="W1202">
        <v>0</v>
      </c>
      <c r="X1202" s="39">
        <v>21333.33</v>
      </c>
      <c r="Y1202">
        <v>0</v>
      </c>
      <c r="Z1202" s="31">
        <v>48333.33</v>
      </c>
      <c r="AA1202">
        <v>8</v>
      </c>
      <c r="AB1202" s="3">
        <f t="shared" si="56"/>
        <v>48333.33</v>
      </c>
      <c r="AC1202" t="str">
        <f>IF(AB1202-S1202&lt;0,"YES","NO")</f>
        <v>YES</v>
      </c>
      <c r="AD1202">
        <f>IF(AC1202="NO",0,AB1202-S1202)</f>
        <v>-10666.669999999998</v>
      </c>
      <c r="AE1202" s="43">
        <v>0.08</v>
      </c>
      <c r="AF1202" s="3">
        <f t="shared" si="57"/>
        <v>-9876.5462962962938</v>
      </c>
      <c r="AG1202" s="45">
        <f t="shared" si="58"/>
        <v>-10864.200925925925</v>
      </c>
      <c r="AH1202" s="55"/>
    </row>
    <row r="1203" spans="1:34" x14ac:dyDescent="0.25">
      <c r="A1203" t="s">
        <v>4413</v>
      </c>
      <c r="B1203" t="s">
        <v>4384</v>
      </c>
      <c r="C1203" t="s">
        <v>4414</v>
      </c>
      <c r="D1203" t="s">
        <v>4415</v>
      </c>
      <c r="E1203" t="s">
        <v>4416</v>
      </c>
      <c r="F1203" t="s">
        <v>4417</v>
      </c>
      <c r="G1203" t="s">
        <v>5</v>
      </c>
      <c r="H1203" t="s">
        <v>65</v>
      </c>
      <c r="I1203" t="s">
        <v>71</v>
      </c>
      <c r="J1203" t="s">
        <v>72</v>
      </c>
      <c r="K1203" t="s">
        <v>3</v>
      </c>
      <c r="L1203" t="s">
        <v>4</v>
      </c>
      <c r="M1203" t="s">
        <v>49</v>
      </c>
      <c r="N1203" t="s">
        <v>4418</v>
      </c>
      <c r="O1203" s="31" t="s">
        <v>4419</v>
      </c>
      <c r="P1203">
        <v>220</v>
      </c>
      <c r="Q1203" t="s">
        <v>70</v>
      </c>
      <c r="R1203">
        <v>1</v>
      </c>
      <c r="S1203" s="31">
        <v>59000</v>
      </c>
      <c r="T1203" s="39">
        <v>65000</v>
      </c>
      <c r="U1203">
        <v>11666.67</v>
      </c>
      <c r="V1203">
        <v>5000</v>
      </c>
      <c r="W1203">
        <v>0</v>
      </c>
      <c r="X1203" s="39">
        <v>21333.33</v>
      </c>
      <c r="Y1203">
        <v>0</v>
      </c>
      <c r="Z1203" s="31">
        <v>48333.33</v>
      </c>
      <c r="AA1203">
        <v>8</v>
      </c>
      <c r="AB1203" s="3">
        <f t="shared" si="56"/>
        <v>48333.33</v>
      </c>
      <c r="AC1203" t="str">
        <f>IF(AB1203-S1203&lt;0,"YES","NO")</f>
        <v>YES</v>
      </c>
      <c r="AD1203">
        <f>IF(AC1203="NO",0,AB1203-S1203)</f>
        <v>-10666.669999999998</v>
      </c>
      <c r="AE1203" s="43">
        <v>0.08</v>
      </c>
      <c r="AF1203" s="3">
        <f t="shared" si="57"/>
        <v>-9876.5462962962938</v>
      </c>
      <c r="AG1203" s="45">
        <f t="shared" si="58"/>
        <v>-10864.200925925925</v>
      </c>
      <c r="AH1203" s="55"/>
    </row>
    <row r="1204" spans="1:34" x14ac:dyDescent="0.25">
      <c r="A1204" t="s">
        <v>4413</v>
      </c>
      <c r="B1204" t="s">
        <v>4384</v>
      </c>
      <c r="C1204" t="s">
        <v>4414</v>
      </c>
      <c r="D1204" t="s">
        <v>4415</v>
      </c>
      <c r="E1204" t="s">
        <v>4416</v>
      </c>
      <c r="F1204" t="s">
        <v>4417</v>
      </c>
      <c r="G1204" t="s">
        <v>5</v>
      </c>
      <c r="H1204" t="s">
        <v>65</v>
      </c>
      <c r="I1204" t="s">
        <v>73</v>
      </c>
      <c r="J1204" t="s">
        <v>74</v>
      </c>
      <c r="K1204" t="s">
        <v>3</v>
      </c>
      <c r="L1204" t="s">
        <v>4</v>
      </c>
      <c r="M1204" t="s">
        <v>49</v>
      </c>
      <c r="N1204" t="s">
        <v>4418</v>
      </c>
      <c r="O1204" s="31" t="s">
        <v>4419</v>
      </c>
      <c r="P1204">
        <v>220</v>
      </c>
      <c r="Q1204" t="s">
        <v>70</v>
      </c>
      <c r="R1204">
        <v>1</v>
      </c>
      <c r="S1204" s="31">
        <v>59000</v>
      </c>
      <c r="T1204" s="39">
        <v>65000</v>
      </c>
      <c r="U1204">
        <v>11666.67</v>
      </c>
      <c r="V1204">
        <v>5000</v>
      </c>
      <c r="W1204">
        <v>0</v>
      </c>
      <c r="X1204" s="39">
        <v>21333.33</v>
      </c>
      <c r="Y1204">
        <v>0</v>
      </c>
      <c r="Z1204" s="31">
        <v>48333.33</v>
      </c>
      <c r="AA1204">
        <v>8</v>
      </c>
      <c r="AB1204" s="3">
        <f t="shared" si="56"/>
        <v>48333.33</v>
      </c>
      <c r="AC1204" t="str">
        <f>IF(AB1204-S1204&lt;0,"YES","NO")</f>
        <v>YES</v>
      </c>
      <c r="AD1204">
        <f>IF(AC1204="NO",0,AB1204-S1204)</f>
        <v>-10666.669999999998</v>
      </c>
      <c r="AE1204" s="43">
        <v>0.08</v>
      </c>
      <c r="AF1204" s="3">
        <f t="shared" si="57"/>
        <v>-9876.5462962962938</v>
      </c>
      <c r="AG1204" s="45">
        <f t="shared" si="58"/>
        <v>-10864.200925925925</v>
      </c>
      <c r="AH1204" s="55"/>
    </row>
    <row r="1205" spans="1:34" x14ac:dyDescent="0.25">
      <c r="A1205" t="s">
        <v>4420</v>
      </c>
      <c r="B1205" t="s">
        <v>4384</v>
      </c>
      <c r="C1205" t="s">
        <v>4421</v>
      </c>
      <c r="D1205" t="s">
        <v>4422</v>
      </c>
      <c r="E1205" t="s">
        <v>4423</v>
      </c>
      <c r="F1205" t="s">
        <v>4424</v>
      </c>
      <c r="G1205" t="s">
        <v>5</v>
      </c>
      <c r="H1205" t="s">
        <v>61</v>
      </c>
      <c r="I1205" t="s">
        <v>84</v>
      </c>
      <c r="J1205" t="s">
        <v>85</v>
      </c>
      <c r="K1205" t="s">
        <v>3</v>
      </c>
      <c r="L1205" t="s">
        <v>4</v>
      </c>
      <c r="M1205" t="s">
        <v>49</v>
      </c>
      <c r="N1205" t="s">
        <v>4425</v>
      </c>
      <c r="O1205" s="31" t="s">
        <v>4426</v>
      </c>
      <c r="P1205">
        <v>100</v>
      </c>
      <c r="Q1205" t="s">
        <v>86</v>
      </c>
      <c r="R1205">
        <v>1</v>
      </c>
      <c r="S1205" s="31">
        <v>0</v>
      </c>
      <c r="T1205" s="39">
        <v>0</v>
      </c>
      <c r="U1205">
        <v>0</v>
      </c>
      <c r="V1205">
        <v>0</v>
      </c>
      <c r="W1205">
        <v>0</v>
      </c>
      <c r="X1205" s="39">
        <v>0</v>
      </c>
      <c r="Y1205">
        <v>0</v>
      </c>
      <c r="Z1205" s="31">
        <v>0</v>
      </c>
      <c r="AA1205">
        <v>8</v>
      </c>
      <c r="AB1205" s="3">
        <f t="shared" si="56"/>
        <v>0</v>
      </c>
      <c r="AC1205" t="str">
        <f>IF(AB1205-S1205&lt;0,"YES","NO")</f>
        <v>NO</v>
      </c>
      <c r="AD1205">
        <f>IF(AC1205="NO",0,AB1205-S1205)</f>
        <v>0</v>
      </c>
      <c r="AE1205" s="43">
        <v>0.08</v>
      </c>
      <c r="AF1205" s="3">
        <f t="shared" si="57"/>
        <v>0</v>
      </c>
      <c r="AG1205" s="45">
        <f t="shared" si="58"/>
        <v>0</v>
      </c>
      <c r="AH1205" s="55"/>
    </row>
    <row r="1206" spans="1:34" x14ac:dyDescent="0.25">
      <c r="A1206" t="s">
        <v>4420</v>
      </c>
      <c r="B1206" t="s">
        <v>4384</v>
      </c>
      <c r="C1206" t="s">
        <v>4421</v>
      </c>
      <c r="D1206" t="s">
        <v>4422</v>
      </c>
      <c r="E1206" t="s">
        <v>4423</v>
      </c>
      <c r="F1206" t="s">
        <v>4424</v>
      </c>
      <c r="G1206" t="s">
        <v>5</v>
      </c>
      <c r="H1206" t="s">
        <v>65</v>
      </c>
      <c r="I1206" t="s">
        <v>66</v>
      </c>
      <c r="J1206" t="s">
        <v>67</v>
      </c>
      <c r="K1206" t="s">
        <v>3</v>
      </c>
      <c r="L1206" t="s">
        <v>4</v>
      </c>
      <c r="M1206" t="s">
        <v>49</v>
      </c>
      <c r="N1206" t="s">
        <v>4425</v>
      </c>
      <c r="O1206" s="31" t="s">
        <v>4426</v>
      </c>
      <c r="P1206">
        <v>220</v>
      </c>
      <c r="R1206">
        <v>3</v>
      </c>
      <c r="S1206" s="31">
        <v>225000</v>
      </c>
      <c r="T1206" s="39">
        <v>240000</v>
      </c>
      <c r="U1206">
        <v>35000.01</v>
      </c>
      <c r="V1206">
        <v>24000</v>
      </c>
      <c r="W1206">
        <v>0</v>
      </c>
      <c r="X1206" s="39">
        <v>71199.990000000005</v>
      </c>
      <c r="Y1206">
        <v>0</v>
      </c>
      <c r="Z1206" s="31">
        <v>180999.99</v>
      </c>
      <c r="AA1206">
        <v>8</v>
      </c>
      <c r="AB1206" s="3">
        <f t="shared" si="56"/>
        <v>180999.99</v>
      </c>
      <c r="AC1206" t="str">
        <f>IF(AB1206-S1206&lt;0,"YES","NO")</f>
        <v>YES</v>
      </c>
      <c r="AD1206">
        <f>IF(AC1206="NO",0,AB1206-S1206)</f>
        <v>-44000.010000000009</v>
      </c>
      <c r="AE1206" s="43">
        <v>0.08</v>
      </c>
      <c r="AF1206" s="3">
        <f t="shared" si="57"/>
        <v>-40740.750000000007</v>
      </c>
      <c r="AG1206" s="45">
        <f t="shared" si="58"/>
        <v>-44814.825000000012</v>
      </c>
      <c r="AH1206" s="55"/>
    </row>
    <row r="1207" spans="1:34" x14ac:dyDescent="0.25">
      <c r="A1207" t="s">
        <v>4427</v>
      </c>
      <c r="B1207" t="s">
        <v>4428</v>
      </c>
      <c r="C1207" t="s">
        <v>4429</v>
      </c>
      <c r="D1207" t="s">
        <v>4430</v>
      </c>
      <c r="E1207" t="s">
        <v>4431</v>
      </c>
      <c r="F1207" t="s">
        <v>4432</v>
      </c>
      <c r="G1207" t="s">
        <v>5</v>
      </c>
      <c r="H1207" t="s">
        <v>61</v>
      </c>
      <c r="I1207" t="s">
        <v>62</v>
      </c>
      <c r="J1207" t="s">
        <v>63</v>
      </c>
      <c r="K1207" t="s">
        <v>3</v>
      </c>
      <c r="L1207" t="s">
        <v>4</v>
      </c>
      <c r="M1207" t="s">
        <v>49</v>
      </c>
      <c r="N1207" t="s">
        <v>4433</v>
      </c>
      <c r="O1207" s="31" t="s">
        <v>4434</v>
      </c>
      <c r="P1207">
        <v>20000</v>
      </c>
      <c r="Q1207" t="s">
        <v>64</v>
      </c>
      <c r="R1207">
        <v>1</v>
      </c>
      <c r="S1207" s="31">
        <v>0</v>
      </c>
      <c r="T1207" s="39">
        <v>0</v>
      </c>
      <c r="U1207">
        <v>0</v>
      </c>
      <c r="V1207">
        <v>0</v>
      </c>
      <c r="W1207">
        <v>0</v>
      </c>
      <c r="X1207" s="39">
        <v>0</v>
      </c>
      <c r="Y1207">
        <v>0</v>
      </c>
      <c r="Z1207" s="31">
        <v>0</v>
      </c>
      <c r="AA1207">
        <v>8</v>
      </c>
      <c r="AB1207" s="3">
        <f t="shared" si="56"/>
        <v>0</v>
      </c>
      <c r="AC1207" t="str">
        <f>IF(AB1207-S1207&lt;0,"YES","NO")</f>
        <v>NO</v>
      </c>
      <c r="AD1207">
        <f>IF(AC1207="NO",0,AB1207-S1207)</f>
        <v>0</v>
      </c>
      <c r="AE1207" s="43">
        <v>0.08</v>
      </c>
      <c r="AF1207" s="3">
        <f t="shared" si="57"/>
        <v>0</v>
      </c>
      <c r="AG1207" s="45">
        <f t="shared" si="58"/>
        <v>0</v>
      </c>
      <c r="AH1207" s="55"/>
    </row>
    <row r="1208" spans="1:34" x14ac:dyDescent="0.25">
      <c r="A1208" t="s">
        <v>4427</v>
      </c>
      <c r="B1208" t="s">
        <v>4428</v>
      </c>
      <c r="C1208" t="s">
        <v>4429</v>
      </c>
      <c r="D1208" t="s">
        <v>4430</v>
      </c>
      <c r="E1208" t="s">
        <v>4431</v>
      </c>
      <c r="F1208" t="s">
        <v>4432</v>
      </c>
      <c r="G1208" t="s">
        <v>5</v>
      </c>
      <c r="H1208" t="s">
        <v>65</v>
      </c>
      <c r="I1208" t="s">
        <v>100</v>
      </c>
      <c r="J1208" t="s">
        <v>101</v>
      </c>
      <c r="K1208" t="s">
        <v>3</v>
      </c>
      <c r="L1208" t="s">
        <v>4</v>
      </c>
      <c r="M1208" t="s">
        <v>49</v>
      </c>
      <c r="N1208" t="s">
        <v>4433</v>
      </c>
      <c r="O1208" s="31" t="s">
        <v>4434</v>
      </c>
      <c r="P1208">
        <v>200</v>
      </c>
      <c r="R1208">
        <v>4</v>
      </c>
      <c r="S1208" s="31">
        <v>288000</v>
      </c>
      <c r="T1208" s="39">
        <v>320000</v>
      </c>
      <c r="U1208">
        <v>20000</v>
      </c>
      <c r="V1208">
        <v>32000</v>
      </c>
      <c r="W1208">
        <v>0</v>
      </c>
      <c r="X1208" s="39">
        <v>57520</v>
      </c>
      <c r="Y1208">
        <v>0</v>
      </c>
      <c r="Z1208" s="31">
        <v>268000</v>
      </c>
      <c r="AA1208">
        <v>8</v>
      </c>
      <c r="AB1208" s="3">
        <f t="shared" si="56"/>
        <v>268000</v>
      </c>
      <c r="AC1208" t="str">
        <f>IF(AB1208-S1208&lt;0,"YES","NO")</f>
        <v>YES</v>
      </c>
      <c r="AD1208">
        <f>IF(AC1208="NO",0,AB1208-S1208)</f>
        <v>-20000</v>
      </c>
      <c r="AE1208" s="43">
        <v>0.08</v>
      </c>
      <c r="AF1208" s="3">
        <f t="shared" si="57"/>
        <v>-18518.518518518518</v>
      </c>
      <c r="AG1208" s="45">
        <f t="shared" si="58"/>
        <v>-20370.370370370372</v>
      </c>
      <c r="AH1208" s="55"/>
    </row>
    <row r="1209" spans="1:34" x14ac:dyDescent="0.25">
      <c r="A1209" t="s">
        <v>4435</v>
      </c>
      <c r="B1209" t="s">
        <v>4436</v>
      </c>
      <c r="C1209" t="s">
        <v>4437</v>
      </c>
      <c r="D1209" t="s">
        <v>4438</v>
      </c>
      <c r="E1209" t="s">
        <v>4439</v>
      </c>
      <c r="F1209" t="s">
        <v>4440</v>
      </c>
      <c r="G1209" t="s">
        <v>5</v>
      </c>
      <c r="H1209" t="s">
        <v>61</v>
      </c>
      <c r="I1209" t="s">
        <v>93</v>
      </c>
      <c r="J1209" t="s">
        <v>94</v>
      </c>
      <c r="K1209" t="s">
        <v>3</v>
      </c>
      <c r="L1209" t="s">
        <v>4</v>
      </c>
      <c r="M1209" t="s">
        <v>49</v>
      </c>
      <c r="N1209" t="s">
        <v>4441</v>
      </c>
      <c r="O1209" s="31" t="s">
        <v>4442</v>
      </c>
      <c r="P1209">
        <v>20</v>
      </c>
      <c r="Q1209" t="s">
        <v>86</v>
      </c>
      <c r="R1209">
        <v>1</v>
      </c>
      <c r="S1209" s="31">
        <v>0</v>
      </c>
      <c r="T1209" s="39">
        <v>0</v>
      </c>
      <c r="U1209">
        <v>0</v>
      </c>
      <c r="V1209">
        <v>0</v>
      </c>
      <c r="W1209">
        <v>0</v>
      </c>
      <c r="X1209" s="39">
        <v>0</v>
      </c>
      <c r="Y1209">
        <v>0</v>
      </c>
      <c r="Z1209" s="31">
        <v>0</v>
      </c>
      <c r="AA1209">
        <v>8</v>
      </c>
      <c r="AB1209" s="3">
        <f t="shared" si="56"/>
        <v>0</v>
      </c>
      <c r="AC1209" t="str">
        <f>IF(AB1209-S1209&lt;0,"YES","NO")</f>
        <v>NO</v>
      </c>
      <c r="AD1209">
        <f>IF(AC1209="NO",0,AB1209-S1209)</f>
        <v>0</v>
      </c>
      <c r="AE1209" s="43">
        <v>0.08</v>
      </c>
      <c r="AF1209" s="3">
        <f t="shared" si="57"/>
        <v>0</v>
      </c>
      <c r="AG1209" s="45">
        <f t="shared" si="58"/>
        <v>0</v>
      </c>
      <c r="AH1209" s="55"/>
    </row>
    <row r="1210" spans="1:34" x14ac:dyDescent="0.25">
      <c r="A1210" t="s">
        <v>4435</v>
      </c>
      <c r="B1210" t="s">
        <v>4436</v>
      </c>
      <c r="C1210" t="s">
        <v>4437</v>
      </c>
      <c r="D1210" t="s">
        <v>4438</v>
      </c>
      <c r="E1210" t="s">
        <v>4439</v>
      </c>
      <c r="F1210" t="s">
        <v>4440</v>
      </c>
      <c r="G1210" t="s">
        <v>5</v>
      </c>
      <c r="H1210" t="s">
        <v>65</v>
      </c>
      <c r="I1210" t="s">
        <v>100</v>
      </c>
      <c r="J1210" t="s">
        <v>101</v>
      </c>
      <c r="K1210" t="s">
        <v>3</v>
      </c>
      <c r="L1210" t="s">
        <v>4</v>
      </c>
      <c r="M1210" t="s">
        <v>49</v>
      </c>
      <c r="N1210" t="s">
        <v>4441</v>
      </c>
      <c r="O1210" s="31" t="s">
        <v>4442</v>
      </c>
      <c r="P1210">
        <v>200</v>
      </c>
      <c r="R1210">
        <v>6</v>
      </c>
      <c r="S1210" s="31">
        <v>432000</v>
      </c>
      <c r="T1210" s="39">
        <v>480000</v>
      </c>
      <c r="U1210">
        <v>75000</v>
      </c>
      <c r="V1210">
        <v>48000</v>
      </c>
      <c r="W1210">
        <v>0</v>
      </c>
      <c r="X1210" s="39">
        <v>146400</v>
      </c>
      <c r="Y1210">
        <v>0</v>
      </c>
      <c r="Z1210" s="31">
        <v>357000</v>
      </c>
      <c r="AA1210">
        <v>8</v>
      </c>
      <c r="AB1210" s="3">
        <f t="shared" si="56"/>
        <v>357000</v>
      </c>
      <c r="AC1210" t="str">
        <f>IF(AB1210-S1210&lt;0,"YES","NO")</f>
        <v>YES</v>
      </c>
      <c r="AD1210">
        <f>IF(AC1210="NO",0,AB1210-S1210)</f>
        <v>-75000</v>
      </c>
      <c r="AE1210" s="43">
        <v>0.08</v>
      </c>
      <c r="AF1210" s="3">
        <f t="shared" si="57"/>
        <v>-69444.444444444438</v>
      </c>
      <c r="AG1210" s="45">
        <f t="shared" si="58"/>
        <v>-76388.888888888891</v>
      </c>
      <c r="AH1210" s="55"/>
    </row>
    <row r="1211" spans="1:34" x14ac:dyDescent="0.25">
      <c r="A1211" t="s">
        <v>4443</v>
      </c>
      <c r="B1211" t="s">
        <v>4353</v>
      </c>
      <c r="C1211" t="s">
        <v>4444</v>
      </c>
      <c r="D1211" t="s">
        <v>4445</v>
      </c>
      <c r="E1211" t="s">
        <v>4446</v>
      </c>
      <c r="F1211" t="s">
        <v>4447</v>
      </c>
      <c r="G1211" t="s">
        <v>5</v>
      </c>
      <c r="H1211" t="s">
        <v>61</v>
      </c>
      <c r="I1211" t="s">
        <v>62</v>
      </c>
      <c r="J1211" t="s">
        <v>63</v>
      </c>
      <c r="K1211" t="s">
        <v>3</v>
      </c>
      <c r="L1211" t="s">
        <v>4</v>
      </c>
      <c r="M1211" t="s">
        <v>49</v>
      </c>
      <c r="N1211" t="s">
        <v>4448</v>
      </c>
      <c r="O1211" s="31" t="s">
        <v>4449</v>
      </c>
      <c r="P1211">
        <v>20000</v>
      </c>
      <c r="Q1211" t="s">
        <v>64</v>
      </c>
      <c r="R1211">
        <v>1</v>
      </c>
      <c r="S1211" s="31">
        <v>0</v>
      </c>
      <c r="T1211" s="39">
        <v>0</v>
      </c>
      <c r="U1211">
        <v>0</v>
      </c>
      <c r="V1211">
        <v>0</v>
      </c>
      <c r="W1211">
        <v>0</v>
      </c>
      <c r="X1211" s="39">
        <v>0</v>
      </c>
      <c r="Y1211">
        <v>0</v>
      </c>
      <c r="Z1211" s="31">
        <v>0</v>
      </c>
      <c r="AA1211">
        <v>8</v>
      </c>
      <c r="AB1211" s="3">
        <f t="shared" si="56"/>
        <v>0</v>
      </c>
      <c r="AC1211" t="str">
        <f>IF(AB1211-S1211&lt;0,"YES","NO")</f>
        <v>NO</v>
      </c>
      <c r="AD1211">
        <f>IF(AC1211="NO",0,AB1211-S1211)</f>
        <v>0</v>
      </c>
      <c r="AE1211" s="43">
        <v>0.08</v>
      </c>
      <c r="AF1211" s="3">
        <f t="shared" si="57"/>
        <v>0</v>
      </c>
      <c r="AG1211" s="45">
        <f t="shared" si="58"/>
        <v>0</v>
      </c>
      <c r="AH1211" s="55"/>
    </row>
    <row r="1212" spans="1:34" x14ac:dyDescent="0.25">
      <c r="A1212" t="s">
        <v>4443</v>
      </c>
      <c r="B1212" t="s">
        <v>4353</v>
      </c>
      <c r="C1212" t="s">
        <v>4444</v>
      </c>
      <c r="D1212" t="s">
        <v>4445</v>
      </c>
      <c r="E1212" t="s">
        <v>4446</v>
      </c>
      <c r="F1212" t="s">
        <v>4447</v>
      </c>
      <c r="G1212" t="s">
        <v>5</v>
      </c>
      <c r="H1212" t="s">
        <v>65</v>
      </c>
      <c r="I1212" t="s">
        <v>68</v>
      </c>
      <c r="J1212" t="s">
        <v>69</v>
      </c>
      <c r="K1212" t="s">
        <v>3</v>
      </c>
      <c r="L1212" t="s">
        <v>4</v>
      </c>
      <c r="M1212" t="s">
        <v>49</v>
      </c>
      <c r="N1212" t="s">
        <v>4448</v>
      </c>
      <c r="O1212" s="31" t="s">
        <v>4449</v>
      </c>
      <c r="P1212">
        <v>220</v>
      </c>
      <c r="Q1212" t="s">
        <v>70</v>
      </c>
      <c r="R1212">
        <v>1</v>
      </c>
      <c r="S1212" s="31">
        <v>59000</v>
      </c>
      <c r="T1212" s="39">
        <v>65000</v>
      </c>
      <c r="U1212">
        <v>11666.67</v>
      </c>
      <c r="V1212">
        <v>5000</v>
      </c>
      <c r="W1212">
        <v>0</v>
      </c>
      <c r="X1212" s="39">
        <v>21333.33</v>
      </c>
      <c r="Y1212">
        <v>0</v>
      </c>
      <c r="Z1212" s="31">
        <v>48333.33</v>
      </c>
      <c r="AA1212">
        <v>8</v>
      </c>
      <c r="AB1212" s="3">
        <f t="shared" si="56"/>
        <v>48333.33</v>
      </c>
      <c r="AC1212" t="str">
        <f>IF(AB1212-S1212&lt;0,"YES","NO")</f>
        <v>YES</v>
      </c>
      <c r="AD1212">
        <f>IF(AC1212="NO",0,AB1212-S1212)</f>
        <v>-10666.669999999998</v>
      </c>
      <c r="AE1212" s="43">
        <v>0.08</v>
      </c>
      <c r="AF1212" s="3">
        <f t="shared" si="57"/>
        <v>-9876.5462962962938</v>
      </c>
      <c r="AG1212" s="45">
        <f t="shared" si="58"/>
        <v>-10864.200925925925</v>
      </c>
      <c r="AH1212" s="55"/>
    </row>
    <row r="1213" spans="1:34" x14ac:dyDescent="0.25">
      <c r="A1213" t="s">
        <v>4443</v>
      </c>
      <c r="B1213" t="s">
        <v>4353</v>
      </c>
      <c r="C1213" t="s">
        <v>4444</v>
      </c>
      <c r="D1213" t="s">
        <v>4445</v>
      </c>
      <c r="E1213" t="s">
        <v>4446</v>
      </c>
      <c r="F1213" t="s">
        <v>4447</v>
      </c>
      <c r="G1213" t="s">
        <v>5</v>
      </c>
      <c r="H1213" t="s">
        <v>65</v>
      </c>
      <c r="I1213" t="s">
        <v>71</v>
      </c>
      <c r="J1213" t="s">
        <v>72</v>
      </c>
      <c r="K1213" t="s">
        <v>3</v>
      </c>
      <c r="L1213" t="s">
        <v>4</v>
      </c>
      <c r="M1213" t="s">
        <v>49</v>
      </c>
      <c r="N1213" t="s">
        <v>4448</v>
      </c>
      <c r="O1213" s="31" t="s">
        <v>4449</v>
      </c>
      <c r="P1213">
        <v>220</v>
      </c>
      <c r="Q1213" t="s">
        <v>70</v>
      </c>
      <c r="R1213">
        <v>1</v>
      </c>
      <c r="S1213" s="31">
        <v>59000</v>
      </c>
      <c r="T1213" s="39">
        <v>65000</v>
      </c>
      <c r="U1213">
        <v>11666.67</v>
      </c>
      <c r="V1213">
        <v>5000</v>
      </c>
      <c r="W1213">
        <v>0</v>
      </c>
      <c r="X1213" s="39">
        <v>21333.33</v>
      </c>
      <c r="Y1213">
        <v>0</v>
      </c>
      <c r="Z1213" s="31">
        <v>48333.33</v>
      </c>
      <c r="AA1213">
        <v>8</v>
      </c>
      <c r="AB1213" s="3">
        <f t="shared" si="56"/>
        <v>48333.33</v>
      </c>
      <c r="AC1213" t="str">
        <f>IF(AB1213-S1213&lt;0,"YES","NO")</f>
        <v>YES</v>
      </c>
      <c r="AD1213">
        <f>IF(AC1213="NO",0,AB1213-S1213)</f>
        <v>-10666.669999999998</v>
      </c>
      <c r="AE1213" s="43">
        <v>0.08</v>
      </c>
      <c r="AF1213" s="3">
        <f t="shared" si="57"/>
        <v>-9876.5462962962938</v>
      </c>
      <c r="AG1213" s="45">
        <f t="shared" si="58"/>
        <v>-10864.200925925925</v>
      </c>
      <c r="AH1213" s="55"/>
    </row>
    <row r="1214" spans="1:34" x14ac:dyDescent="0.25">
      <c r="A1214" t="s">
        <v>4443</v>
      </c>
      <c r="B1214" t="s">
        <v>4353</v>
      </c>
      <c r="C1214" t="s">
        <v>4444</v>
      </c>
      <c r="D1214" t="s">
        <v>4445</v>
      </c>
      <c r="E1214" t="s">
        <v>4446</v>
      </c>
      <c r="F1214" t="s">
        <v>4447</v>
      </c>
      <c r="G1214" t="s">
        <v>5</v>
      </c>
      <c r="H1214" t="s">
        <v>65</v>
      </c>
      <c r="I1214" t="s">
        <v>73</v>
      </c>
      <c r="J1214" t="s">
        <v>74</v>
      </c>
      <c r="K1214" t="s">
        <v>3</v>
      </c>
      <c r="L1214" t="s">
        <v>4</v>
      </c>
      <c r="M1214" t="s">
        <v>49</v>
      </c>
      <c r="N1214" t="s">
        <v>4448</v>
      </c>
      <c r="O1214" s="31" t="s">
        <v>4449</v>
      </c>
      <c r="P1214">
        <v>220</v>
      </c>
      <c r="Q1214" t="s">
        <v>70</v>
      </c>
      <c r="R1214">
        <v>1</v>
      </c>
      <c r="S1214" s="31">
        <v>59000</v>
      </c>
      <c r="T1214" s="39">
        <v>65000</v>
      </c>
      <c r="U1214">
        <v>11666.67</v>
      </c>
      <c r="V1214">
        <v>5000</v>
      </c>
      <c r="W1214">
        <v>0</v>
      </c>
      <c r="X1214" s="39">
        <v>21333.33</v>
      </c>
      <c r="Y1214">
        <v>0</v>
      </c>
      <c r="Z1214" s="31">
        <v>48333.33</v>
      </c>
      <c r="AA1214">
        <v>8</v>
      </c>
      <c r="AB1214" s="3">
        <f t="shared" si="56"/>
        <v>48333.33</v>
      </c>
      <c r="AC1214" t="str">
        <f>IF(AB1214-S1214&lt;0,"YES","NO")</f>
        <v>YES</v>
      </c>
      <c r="AD1214">
        <f>IF(AC1214="NO",0,AB1214-S1214)</f>
        <v>-10666.669999999998</v>
      </c>
      <c r="AE1214" s="43">
        <v>0.08</v>
      </c>
      <c r="AF1214" s="3">
        <f t="shared" si="57"/>
        <v>-9876.5462962962938</v>
      </c>
      <c r="AG1214" s="45">
        <f t="shared" si="58"/>
        <v>-10864.200925925925</v>
      </c>
      <c r="AH1214" s="55"/>
    </row>
    <row r="1215" spans="1:34" x14ac:dyDescent="0.25">
      <c r="A1215" t="s">
        <v>4443</v>
      </c>
      <c r="B1215" t="s">
        <v>4353</v>
      </c>
      <c r="C1215" t="s">
        <v>4444</v>
      </c>
      <c r="D1215" t="s">
        <v>4445</v>
      </c>
      <c r="E1215" t="s">
        <v>4446</v>
      </c>
      <c r="F1215" t="s">
        <v>4447</v>
      </c>
      <c r="G1215" t="s">
        <v>5</v>
      </c>
      <c r="H1215" t="s">
        <v>65</v>
      </c>
      <c r="I1215" t="s">
        <v>87</v>
      </c>
      <c r="J1215" t="s">
        <v>88</v>
      </c>
      <c r="K1215" t="s">
        <v>3</v>
      </c>
      <c r="L1215" t="s">
        <v>4</v>
      </c>
      <c r="M1215" t="s">
        <v>49</v>
      </c>
      <c r="N1215" t="s">
        <v>4448</v>
      </c>
      <c r="O1215" s="31" t="s">
        <v>4449</v>
      </c>
      <c r="P1215">
        <v>220</v>
      </c>
      <c r="Q1215" t="s">
        <v>89</v>
      </c>
      <c r="R1215">
        <v>1</v>
      </c>
      <c r="S1215" s="31">
        <v>59000</v>
      </c>
      <c r="T1215" s="39">
        <v>70000</v>
      </c>
      <c r="U1215">
        <v>0</v>
      </c>
      <c r="V1215">
        <v>6500</v>
      </c>
      <c r="W1215">
        <v>0</v>
      </c>
      <c r="X1215" s="39">
        <v>12700</v>
      </c>
      <c r="Y1215">
        <v>0</v>
      </c>
      <c r="Z1215" s="31">
        <v>63500</v>
      </c>
      <c r="AA1215">
        <v>8</v>
      </c>
      <c r="AB1215" s="3">
        <f t="shared" si="56"/>
        <v>63500</v>
      </c>
      <c r="AC1215" t="str">
        <f>IF(AB1215-S1215&lt;0,"YES","NO")</f>
        <v>NO</v>
      </c>
      <c r="AD1215">
        <f>IF(AC1215="NO",0,AB1215-S1215)</f>
        <v>0</v>
      </c>
      <c r="AE1215" s="43">
        <v>0.08</v>
      </c>
      <c r="AF1215" s="3">
        <f t="shared" si="57"/>
        <v>0</v>
      </c>
      <c r="AG1215" s="45">
        <f t="shared" si="58"/>
        <v>0</v>
      </c>
      <c r="AH1215" s="55"/>
    </row>
    <row r="1216" spans="1:34" x14ac:dyDescent="0.25">
      <c r="A1216" t="s">
        <v>4443</v>
      </c>
      <c r="B1216" t="s">
        <v>4353</v>
      </c>
      <c r="C1216" t="s">
        <v>4444</v>
      </c>
      <c r="D1216" t="s">
        <v>4445</v>
      </c>
      <c r="E1216" t="s">
        <v>4446</v>
      </c>
      <c r="F1216" t="s">
        <v>4447</v>
      </c>
      <c r="G1216" t="s">
        <v>5</v>
      </c>
      <c r="H1216" t="s">
        <v>65</v>
      </c>
      <c r="I1216" t="s">
        <v>90</v>
      </c>
      <c r="J1216" t="s">
        <v>91</v>
      </c>
      <c r="K1216" t="s">
        <v>3</v>
      </c>
      <c r="L1216" t="s">
        <v>4</v>
      </c>
      <c r="M1216" t="s">
        <v>49</v>
      </c>
      <c r="N1216" t="s">
        <v>4448</v>
      </c>
      <c r="O1216" s="31" t="s">
        <v>4449</v>
      </c>
      <c r="P1216">
        <v>220</v>
      </c>
      <c r="Q1216" t="s">
        <v>92</v>
      </c>
      <c r="R1216">
        <v>1</v>
      </c>
      <c r="S1216" s="31">
        <v>59000</v>
      </c>
      <c r="T1216" s="39">
        <v>70000</v>
      </c>
      <c r="U1216">
        <v>0</v>
      </c>
      <c r="V1216">
        <v>6500</v>
      </c>
      <c r="W1216">
        <v>0</v>
      </c>
      <c r="X1216" s="39">
        <v>12700</v>
      </c>
      <c r="Y1216">
        <v>0</v>
      </c>
      <c r="Z1216" s="31">
        <v>63500</v>
      </c>
      <c r="AA1216">
        <v>8</v>
      </c>
      <c r="AB1216" s="3">
        <f t="shared" si="56"/>
        <v>63500</v>
      </c>
      <c r="AC1216" t="str">
        <f>IF(AB1216-S1216&lt;0,"YES","NO")</f>
        <v>NO</v>
      </c>
      <c r="AD1216">
        <f>IF(AC1216="NO",0,AB1216-S1216)</f>
        <v>0</v>
      </c>
      <c r="AE1216" s="43">
        <v>0.08</v>
      </c>
      <c r="AF1216" s="3">
        <f t="shared" si="57"/>
        <v>0</v>
      </c>
      <c r="AG1216" s="45">
        <f t="shared" si="58"/>
        <v>0</v>
      </c>
      <c r="AH1216" s="55"/>
    </row>
    <row r="1217" spans="1:34" x14ac:dyDescent="0.25">
      <c r="A1217" t="s">
        <v>4450</v>
      </c>
      <c r="B1217" t="s">
        <v>4451</v>
      </c>
      <c r="C1217" t="s">
        <v>4452</v>
      </c>
      <c r="D1217" t="s">
        <v>4453</v>
      </c>
      <c r="E1217" t="s">
        <v>4454</v>
      </c>
      <c r="F1217" t="s">
        <v>4455</v>
      </c>
      <c r="G1217" t="s">
        <v>5</v>
      </c>
      <c r="H1217" t="s">
        <v>61</v>
      </c>
      <c r="I1217" t="s">
        <v>62</v>
      </c>
      <c r="J1217" t="s">
        <v>63</v>
      </c>
      <c r="K1217" t="s">
        <v>3</v>
      </c>
      <c r="L1217" t="s">
        <v>4</v>
      </c>
      <c r="M1217" t="s">
        <v>49</v>
      </c>
      <c r="N1217" t="s">
        <v>4456</v>
      </c>
      <c r="O1217" s="31" t="s">
        <v>4457</v>
      </c>
      <c r="P1217">
        <v>20000</v>
      </c>
      <c r="Q1217" t="s">
        <v>64</v>
      </c>
      <c r="R1217">
        <v>1</v>
      </c>
      <c r="S1217" s="31">
        <v>0</v>
      </c>
      <c r="T1217" s="39">
        <v>0</v>
      </c>
      <c r="U1217">
        <v>0</v>
      </c>
      <c r="V1217">
        <v>0</v>
      </c>
      <c r="W1217">
        <v>0</v>
      </c>
      <c r="X1217" s="39">
        <v>0</v>
      </c>
      <c r="Y1217">
        <v>0</v>
      </c>
      <c r="Z1217" s="31">
        <v>0</v>
      </c>
      <c r="AA1217">
        <v>8</v>
      </c>
      <c r="AB1217" s="3">
        <f t="shared" si="56"/>
        <v>0</v>
      </c>
      <c r="AC1217" t="str">
        <f>IF(AB1217-S1217&lt;0,"YES","NO")</f>
        <v>NO</v>
      </c>
      <c r="AD1217">
        <f>IF(AC1217="NO",0,AB1217-S1217)</f>
        <v>0</v>
      </c>
      <c r="AE1217" s="43">
        <v>0.08</v>
      </c>
      <c r="AF1217" s="3">
        <f t="shared" si="57"/>
        <v>0</v>
      </c>
      <c r="AG1217" s="45">
        <f t="shared" si="58"/>
        <v>0</v>
      </c>
      <c r="AH1217" s="55"/>
    </row>
    <row r="1218" spans="1:34" x14ac:dyDescent="0.25">
      <c r="A1218" t="s">
        <v>4450</v>
      </c>
      <c r="B1218" t="s">
        <v>4451</v>
      </c>
      <c r="C1218" t="s">
        <v>4452</v>
      </c>
      <c r="D1218" t="s">
        <v>4453</v>
      </c>
      <c r="E1218" t="s">
        <v>4454</v>
      </c>
      <c r="F1218" t="s">
        <v>4455</v>
      </c>
      <c r="G1218" t="s">
        <v>5</v>
      </c>
      <c r="H1218" t="s">
        <v>65</v>
      </c>
      <c r="I1218" t="s">
        <v>68</v>
      </c>
      <c r="J1218" t="s">
        <v>69</v>
      </c>
      <c r="K1218" t="s">
        <v>3</v>
      </c>
      <c r="L1218" t="s">
        <v>4</v>
      </c>
      <c r="M1218" t="s">
        <v>49</v>
      </c>
      <c r="N1218" t="s">
        <v>4456</v>
      </c>
      <c r="O1218" s="31" t="s">
        <v>4457</v>
      </c>
      <c r="P1218">
        <v>220</v>
      </c>
      <c r="Q1218" t="s">
        <v>70</v>
      </c>
      <c r="R1218">
        <v>1</v>
      </c>
      <c r="S1218" s="31">
        <v>59000</v>
      </c>
      <c r="T1218" s="39">
        <v>65000</v>
      </c>
      <c r="U1218">
        <v>11666.67</v>
      </c>
      <c r="V1218">
        <v>5000</v>
      </c>
      <c r="W1218">
        <v>0</v>
      </c>
      <c r="X1218" s="39">
        <v>21333.33</v>
      </c>
      <c r="Y1218">
        <v>0</v>
      </c>
      <c r="Z1218" s="31">
        <v>48333.33</v>
      </c>
      <c r="AA1218">
        <v>8</v>
      </c>
      <c r="AB1218" s="3">
        <f t="shared" si="56"/>
        <v>48333.33</v>
      </c>
      <c r="AC1218" t="str">
        <f>IF(AB1218-S1218&lt;0,"YES","NO")</f>
        <v>YES</v>
      </c>
      <c r="AD1218">
        <f>IF(AC1218="NO",0,AB1218-S1218)</f>
        <v>-10666.669999999998</v>
      </c>
      <c r="AE1218" s="43">
        <v>0.08</v>
      </c>
      <c r="AF1218" s="3">
        <f t="shared" si="57"/>
        <v>-9876.5462962962938</v>
      </c>
      <c r="AG1218" s="45">
        <f t="shared" si="58"/>
        <v>-10864.200925925925</v>
      </c>
      <c r="AH1218" s="55"/>
    </row>
    <row r="1219" spans="1:34" x14ac:dyDescent="0.25">
      <c r="A1219" t="s">
        <v>4450</v>
      </c>
      <c r="B1219" t="s">
        <v>4451</v>
      </c>
      <c r="C1219" t="s">
        <v>4452</v>
      </c>
      <c r="D1219" t="s">
        <v>4453</v>
      </c>
      <c r="E1219" t="s">
        <v>4454</v>
      </c>
      <c r="F1219" t="s">
        <v>4455</v>
      </c>
      <c r="G1219" t="s">
        <v>5</v>
      </c>
      <c r="H1219" t="s">
        <v>65</v>
      </c>
      <c r="I1219" t="s">
        <v>71</v>
      </c>
      <c r="J1219" t="s">
        <v>72</v>
      </c>
      <c r="K1219" t="s">
        <v>3</v>
      </c>
      <c r="L1219" t="s">
        <v>4</v>
      </c>
      <c r="M1219" t="s">
        <v>49</v>
      </c>
      <c r="N1219" t="s">
        <v>4456</v>
      </c>
      <c r="O1219" s="31" t="s">
        <v>4457</v>
      </c>
      <c r="P1219">
        <v>220</v>
      </c>
      <c r="Q1219" t="s">
        <v>70</v>
      </c>
      <c r="R1219">
        <v>1</v>
      </c>
      <c r="S1219" s="31">
        <v>59000</v>
      </c>
      <c r="T1219" s="39">
        <v>65000</v>
      </c>
      <c r="U1219">
        <v>11666.67</v>
      </c>
      <c r="V1219">
        <v>5000</v>
      </c>
      <c r="W1219">
        <v>0</v>
      </c>
      <c r="X1219" s="39">
        <v>21333.33</v>
      </c>
      <c r="Y1219">
        <v>0</v>
      </c>
      <c r="Z1219" s="31">
        <v>48333.33</v>
      </c>
      <c r="AA1219">
        <v>8</v>
      </c>
      <c r="AB1219" s="3">
        <f t="shared" si="56"/>
        <v>48333.33</v>
      </c>
      <c r="AC1219" t="str">
        <f>IF(AB1219-S1219&lt;0,"YES","NO")</f>
        <v>YES</v>
      </c>
      <c r="AD1219">
        <f>IF(AC1219="NO",0,AB1219-S1219)</f>
        <v>-10666.669999999998</v>
      </c>
      <c r="AE1219" s="43">
        <v>0.08</v>
      </c>
      <c r="AF1219" s="3">
        <f t="shared" si="57"/>
        <v>-9876.5462962962938</v>
      </c>
      <c r="AG1219" s="45">
        <f t="shared" si="58"/>
        <v>-10864.200925925925</v>
      </c>
      <c r="AH1219" s="55"/>
    </row>
    <row r="1220" spans="1:34" x14ac:dyDescent="0.25">
      <c r="A1220" t="s">
        <v>4450</v>
      </c>
      <c r="B1220" t="s">
        <v>4451</v>
      </c>
      <c r="C1220" t="s">
        <v>4452</v>
      </c>
      <c r="D1220" t="s">
        <v>4453</v>
      </c>
      <c r="E1220" t="s">
        <v>4454</v>
      </c>
      <c r="F1220" t="s">
        <v>4455</v>
      </c>
      <c r="G1220" t="s">
        <v>5</v>
      </c>
      <c r="H1220" t="s">
        <v>65</v>
      </c>
      <c r="I1220" t="s">
        <v>73</v>
      </c>
      <c r="J1220" t="s">
        <v>74</v>
      </c>
      <c r="K1220" t="s">
        <v>3</v>
      </c>
      <c r="L1220" t="s">
        <v>4</v>
      </c>
      <c r="M1220" t="s">
        <v>49</v>
      </c>
      <c r="N1220" t="s">
        <v>4456</v>
      </c>
      <c r="O1220" s="31" t="s">
        <v>4457</v>
      </c>
      <c r="P1220">
        <v>220</v>
      </c>
      <c r="Q1220" t="s">
        <v>70</v>
      </c>
      <c r="R1220">
        <v>1</v>
      </c>
      <c r="S1220" s="31">
        <v>59000</v>
      </c>
      <c r="T1220" s="39">
        <v>65000</v>
      </c>
      <c r="U1220">
        <v>11666.67</v>
      </c>
      <c r="V1220">
        <v>5000</v>
      </c>
      <c r="W1220">
        <v>0</v>
      </c>
      <c r="X1220" s="39">
        <v>21333.33</v>
      </c>
      <c r="Y1220">
        <v>0</v>
      </c>
      <c r="Z1220" s="31">
        <v>48333.33</v>
      </c>
      <c r="AA1220">
        <v>8</v>
      </c>
      <c r="AB1220" s="3">
        <f t="shared" si="56"/>
        <v>48333.33</v>
      </c>
      <c r="AC1220" t="str">
        <f>IF(AB1220-S1220&lt;0,"YES","NO")</f>
        <v>YES</v>
      </c>
      <c r="AD1220">
        <f>IF(AC1220="NO",0,AB1220-S1220)</f>
        <v>-10666.669999999998</v>
      </c>
      <c r="AE1220" s="43">
        <v>0.08</v>
      </c>
      <c r="AF1220" s="3">
        <f t="shared" si="57"/>
        <v>-9876.5462962962938</v>
      </c>
      <c r="AG1220" s="45">
        <f t="shared" si="58"/>
        <v>-10864.200925925925</v>
      </c>
      <c r="AH1220" s="55"/>
    </row>
    <row r="1221" spans="1:34" x14ac:dyDescent="0.25">
      <c r="A1221" t="s">
        <v>4458</v>
      </c>
      <c r="B1221" t="s">
        <v>4451</v>
      </c>
      <c r="C1221" t="s">
        <v>4459</v>
      </c>
      <c r="D1221" t="s">
        <v>4460</v>
      </c>
      <c r="E1221" t="s">
        <v>4461</v>
      </c>
      <c r="F1221" t="s">
        <v>4462</v>
      </c>
      <c r="G1221" t="s">
        <v>5</v>
      </c>
      <c r="H1221" t="s">
        <v>61</v>
      </c>
      <c r="I1221" t="s">
        <v>93</v>
      </c>
      <c r="J1221" t="s">
        <v>94</v>
      </c>
      <c r="K1221" t="s">
        <v>3</v>
      </c>
      <c r="L1221" t="s">
        <v>4</v>
      </c>
      <c r="M1221" t="s">
        <v>49</v>
      </c>
      <c r="N1221" t="s">
        <v>4463</v>
      </c>
      <c r="O1221" s="31" t="s">
        <v>4464</v>
      </c>
      <c r="P1221">
        <v>20</v>
      </c>
      <c r="Q1221" t="s">
        <v>86</v>
      </c>
      <c r="R1221">
        <v>1</v>
      </c>
      <c r="S1221" s="31">
        <v>0</v>
      </c>
      <c r="T1221" s="39">
        <v>0</v>
      </c>
      <c r="U1221">
        <v>0</v>
      </c>
      <c r="V1221">
        <v>0</v>
      </c>
      <c r="W1221">
        <v>0</v>
      </c>
      <c r="X1221" s="39">
        <v>0</v>
      </c>
      <c r="Y1221">
        <v>0</v>
      </c>
      <c r="Z1221" s="31">
        <v>0</v>
      </c>
      <c r="AA1221">
        <v>8</v>
      </c>
      <c r="AB1221" s="3">
        <f t="shared" si="56"/>
        <v>0</v>
      </c>
      <c r="AC1221" t="str">
        <f>IF(AB1221-S1221&lt;0,"YES","NO")</f>
        <v>NO</v>
      </c>
      <c r="AD1221">
        <f>IF(AC1221="NO",0,AB1221-S1221)</f>
        <v>0</v>
      </c>
      <c r="AE1221" s="43">
        <v>0.08</v>
      </c>
      <c r="AF1221" s="3">
        <f t="shared" si="57"/>
        <v>0</v>
      </c>
      <c r="AG1221" s="45">
        <f t="shared" si="58"/>
        <v>0</v>
      </c>
      <c r="AH1221" s="55"/>
    </row>
    <row r="1222" spans="1:34" x14ac:dyDescent="0.25">
      <c r="A1222" t="s">
        <v>4458</v>
      </c>
      <c r="B1222" t="s">
        <v>4451</v>
      </c>
      <c r="C1222" t="s">
        <v>4459</v>
      </c>
      <c r="D1222" t="s">
        <v>4460</v>
      </c>
      <c r="E1222" t="s">
        <v>4461</v>
      </c>
      <c r="F1222" t="s">
        <v>4462</v>
      </c>
      <c r="G1222" t="s">
        <v>5</v>
      </c>
      <c r="H1222" t="s">
        <v>65</v>
      </c>
      <c r="I1222" t="s">
        <v>100</v>
      </c>
      <c r="J1222" t="s">
        <v>101</v>
      </c>
      <c r="K1222" t="s">
        <v>3</v>
      </c>
      <c r="L1222" t="s">
        <v>4</v>
      </c>
      <c r="M1222" t="s">
        <v>49</v>
      </c>
      <c r="N1222" t="s">
        <v>4463</v>
      </c>
      <c r="O1222" s="31" t="s">
        <v>4464</v>
      </c>
      <c r="P1222">
        <v>200</v>
      </c>
      <c r="R1222">
        <v>3</v>
      </c>
      <c r="S1222" s="31">
        <v>216000</v>
      </c>
      <c r="T1222" s="39">
        <v>240000</v>
      </c>
      <c r="U1222">
        <v>34999.980000000003</v>
      </c>
      <c r="V1222">
        <v>20000.009999999998</v>
      </c>
      <c r="W1222">
        <v>0</v>
      </c>
      <c r="X1222" s="39">
        <v>72000</v>
      </c>
      <c r="Y1222">
        <v>0</v>
      </c>
      <c r="Z1222" s="31">
        <v>185000.01</v>
      </c>
      <c r="AA1222">
        <v>8</v>
      </c>
      <c r="AB1222" s="3">
        <f t="shared" ref="AB1222:AB1285" si="59">Z1222</f>
        <v>185000.01</v>
      </c>
      <c r="AC1222" t="str">
        <f>IF(AB1222-S1222&lt;0,"YES","NO")</f>
        <v>YES</v>
      </c>
      <c r="AD1222">
        <f>IF(AC1222="NO",0,AB1222-S1222)</f>
        <v>-30999.989999999991</v>
      </c>
      <c r="AE1222" s="43">
        <v>0.08</v>
      </c>
      <c r="AF1222" s="3">
        <f t="shared" ref="AF1222:AF1285" si="60">AD1222/(1+AE1222)</f>
        <v>-28703.694444444434</v>
      </c>
      <c r="AG1222" s="45">
        <f t="shared" ref="AG1222:AG1285" si="61">AF1222*1.1</f>
        <v>-31574.063888888879</v>
      </c>
      <c r="AH1222" s="55"/>
    </row>
    <row r="1223" spans="1:34" x14ac:dyDescent="0.25">
      <c r="A1223" t="s">
        <v>4465</v>
      </c>
      <c r="B1223" t="s">
        <v>4451</v>
      </c>
      <c r="C1223" t="s">
        <v>4466</v>
      </c>
      <c r="D1223" t="s">
        <v>4467</v>
      </c>
      <c r="E1223" t="s">
        <v>4468</v>
      </c>
      <c r="F1223" t="s">
        <v>4469</v>
      </c>
      <c r="G1223" t="s">
        <v>5</v>
      </c>
      <c r="H1223" t="s">
        <v>61</v>
      </c>
      <c r="I1223" t="s">
        <v>84</v>
      </c>
      <c r="J1223" t="s">
        <v>85</v>
      </c>
      <c r="K1223" t="s">
        <v>3</v>
      </c>
      <c r="L1223" t="s">
        <v>4</v>
      </c>
      <c r="M1223" t="s">
        <v>49</v>
      </c>
      <c r="N1223" t="s">
        <v>4470</v>
      </c>
      <c r="O1223" s="31" t="s">
        <v>4471</v>
      </c>
      <c r="P1223">
        <v>100</v>
      </c>
      <c r="Q1223" t="s">
        <v>86</v>
      </c>
      <c r="R1223">
        <v>1</v>
      </c>
      <c r="S1223" s="31">
        <v>0</v>
      </c>
      <c r="T1223" s="39">
        <v>0</v>
      </c>
      <c r="U1223">
        <v>0</v>
      </c>
      <c r="V1223">
        <v>0</v>
      </c>
      <c r="W1223">
        <v>0</v>
      </c>
      <c r="X1223" s="39">
        <v>0</v>
      </c>
      <c r="Y1223">
        <v>0</v>
      </c>
      <c r="Z1223" s="31">
        <v>0</v>
      </c>
      <c r="AA1223">
        <v>8</v>
      </c>
      <c r="AB1223" s="3">
        <f t="shared" si="59"/>
        <v>0</v>
      </c>
      <c r="AC1223" t="str">
        <f>IF(AB1223-S1223&lt;0,"YES","NO")</f>
        <v>NO</v>
      </c>
      <c r="AD1223">
        <f>IF(AC1223="NO",0,AB1223-S1223)</f>
        <v>0</v>
      </c>
      <c r="AE1223" s="43">
        <v>0.08</v>
      </c>
      <c r="AF1223" s="3">
        <f t="shared" si="60"/>
        <v>0</v>
      </c>
      <c r="AG1223" s="45">
        <f t="shared" si="61"/>
        <v>0</v>
      </c>
      <c r="AH1223" s="55"/>
    </row>
    <row r="1224" spans="1:34" x14ac:dyDescent="0.25">
      <c r="A1224" t="s">
        <v>4465</v>
      </c>
      <c r="B1224" t="s">
        <v>4451</v>
      </c>
      <c r="C1224" t="s">
        <v>4466</v>
      </c>
      <c r="D1224" t="s">
        <v>4467</v>
      </c>
      <c r="E1224" t="s">
        <v>4468</v>
      </c>
      <c r="F1224" t="s">
        <v>4469</v>
      </c>
      <c r="G1224" t="s">
        <v>5</v>
      </c>
      <c r="H1224" t="s">
        <v>65</v>
      </c>
      <c r="I1224" t="s">
        <v>66</v>
      </c>
      <c r="J1224" t="s">
        <v>67</v>
      </c>
      <c r="K1224" t="s">
        <v>3</v>
      </c>
      <c r="L1224" t="s">
        <v>4</v>
      </c>
      <c r="M1224" t="s">
        <v>49</v>
      </c>
      <c r="N1224" t="s">
        <v>4470</v>
      </c>
      <c r="O1224" s="31" t="s">
        <v>4471</v>
      </c>
      <c r="P1224">
        <v>220</v>
      </c>
      <c r="R1224">
        <v>2</v>
      </c>
      <c r="S1224" s="31">
        <v>150000</v>
      </c>
      <c r="T1224" s="39">
        <v>160000</v>
      </c>
      <c r="U1224">
        <v>20000</v>
      </c>
      <c r="V1224">
        <v>16000</v>
      </c>
      <c r="W1224">
        <v>0</v>
      </c>
      <c r="X1224" s="39">
        <v>33640</v>
      </c>
      <c r="Y1224">
        <v>0</v>
      </c>
      <c r="Z1224" s="31">
        <v>124000</v>
      </c>
      <c r="AA1224">
        <v>8</v>
      </c>
      <c r="AB1224" s="3">
        <f t="shared" si="59"/>
        <v>124000</v>
      </c>
      <c r="AC1224" t="str">
        <f>IF(AB1224-S1224&lt;0,"YES","NO")</f>
        <v>YES</v>
      </c>
      <c r="AD1224">
        <f>IF(AC1224="NO",0,AB1224-S1224)</f>
        <v>-26000</v>
      </c>
      <c r="AE1224" s="43">
        <v>0.08</v>
      </c>
      <c r="AF1224" s="3">
        <f t="shared" si="60"/>
        <v>-24074.074074074073</v>
      </c>
      <c r="AG1224" s="45">
        <f t="shared" si="61"/>
        <v>-26481.481481481482</v>
      </c>
      <c r="AH1224" s="55"/>
    </row>
    <row r="1225" spans="1:34" x14ac:dyDescent="0.25">
      <c r="A1225" t="s">
        <v>4472</v>
      </c>
      <c r="B1225" t="s">
        <v>4473</v>
      </c>
      <c r="C1225" t="s">
        <v>4474</v>
      </c>
      <c r="D1225" t="s">
        <v>4475</v>
      </c>
      <c r="E1225" t="s">
        <v>4476</v>
      </c>
      <c r="F1225" t="s">
        <v>4477</v>
      </c>
      <c r="G1225" t="s">
        <v>5</v>
      </c>
      <c r="H1225" t="s">
        <v>65</v>
      </c>
      <c r="I1225" t="s">
        <v>78</v>
      </c>
      <c r="J1225" t="s">
        <v>79</v>
      </c>
      <c r="K1225" t="s">
        <v>3</v>
      </c>
      <c r="L1225" t="s">
        <v>4</v>
      </c>
      <c r="M1225" t="s">
        <v>49</v>
      </c>
      <c r="N1225" t="s">
        <v>4478</v>
      </c>
      <c r="O1225" s="31" t="s">
        <v>4479</v>
      </c>
      <c r="P1225">
        <v>220</v>
      </c>
      <c r="R1225">
        <v>2</v>
      </c>
      <c r="S1225" s="31">
        <v>150000</v>
      </c>
      <c r="T1225" s="39">
        <v>160000</v>
      </c>
      <c r="U1225">
        <v>20000</v>
      </c>
      <c r="V1225">
        <v>10000</v>
      </c>
      <c r="W1225">
        <v>0</v>
      </c>
      <c r="X1225" s="39">
        <v>36900</v>
      </c>
      <c r="Y1225">
        <v>0</v>
      </c>
      <c r="Z1225" s="31">
        <v>130000</v>
      </c>
      <c r="AA1225">
        <v>8</v>
      </c>
      <c r="AB1225" s="3">
        <f t="shared" si="59"/>
        <v>130000</v>
      </c>
      <c r="AC1225" t="str">
        <f>IF(AB1225-S1225&lt;0,"YES","NO")</f>
        <v>YES</v>
      </c>
      <c r="AD1225">
        <f>IF(AC1225="NO",0,AB1225-S1225)</f>
        <v>-20000</v>
      </c>
      <c r="AE1225" s="43">
        <v>0.08</v>
      </c>
      <c r="AF1225" s="3">
        <f t="shared" si="60"/>
        <v>-18518.518518518518</v>
      </c>
      <c r="AG1225" s="45">
        <f t="shared" si="61"/>
        <v>-20370.370370370372</v>
      </c>
      <c r="AH1225" s="55"/>
    </row>
    <row r="1226" spans="1:34" x14ac:dyDescent="0.25">
      <c r="A1226" t="s">
        <v>4480</v>
      </c>
      <c r="B1226" t="s">
        <v>4481</v>
      </c>
      <c r="C1226" t="s">
        <v>4482</v>
      </c>
      <c r="D1226" t="s">
        <v>4483</v>
      </c>
      <c r="E1226" t="s">
        <v>4484</v>
      </c>
      <c r="F1226" t="s">
        <v>4485</v>
      </c>
      <c r="G1226" t="s">
        <v>5</v>
      </c>
      <c r="H1226" t="s">
        <v>65</v>
      </c>
      <c r="I1226" t="s">
        <v>66</v>
      </c>
      <c r="J1226" t="s">
        <v>67</v>
      </c>
      <c r="K1226" t="s">
        <v>3</v>
      </c>
      <c r="L1226" t="s">
        <v>4</v>
      </c>
      <c r="M1226" t="s">
        <v>49</v>
      </c>
      <c r="N1226" t="s">
        <v>4486</v>
      </c>
      <c r="O1226" s="31" t="s">
        <v>4487</v>
      </c>
      <c r="P1226">
        <v>220</v>
      </c>
      <c r="R1226">
        <v>2</v>
      </c>
      <c r="S1226" s="31">
        <v>150000</v>
      </c>
      <c r="T1226" s="39">
        <v>160000</v>
      </c>
      <c r="U1226">
        <v>20000</v>
      </c>
      <c r="V1226">
        <v>16000</v>
      </c>
      <c r="W1226">
        <v>0</v>
      </c>
      <c r="X1226" s="39">
        <v>44800</v>
      </c>
      <c r="Y1226">
        <v>0</v>
      </c>
      <c r="Z1226" s="31">
        <v>124000</v>
      </c>
      <c r="AA1226">
        <v>8</v>
      </c>
      <c r="AB1226" s="3">
        <f t="shared" si="59"/>
        <v>124000</v>
      </c>
      <c r="AC1226" t="str">
        <f>IF(AB1226-S1226&lt;0,"YES","NO")</f>
        <v>YES</v>
      </c>
      <c r="AD1226">
        <f>IF(AC1226="NO",0,AB1226-S1226)</f>
        <v>-26000</v>
      </c>
      <c r="AE1226" s="43">
        <v>0.08</v>
      </c>
      <c r="AF1226" s="3">
        <f t="shared" si="60"/>
        <v>-24074.074074074073</v>
      </c>
      <c r="AG1226" s="45">
        <f t="shared" si="61"/>
        <v>-26481.481481481482</v>
      </c>
      <c r="AH1226" s="55"/>
    </row>
    <row r="1227" spans="1:34" x14ac:dyDescent="0.25">
      <c r="A1227" t="s">
        <v>4488</v>
      </c>
      <c r="B1227" t="s">
        <v>4489</v>
      </c>
      <c r="C1227" t="s">
        <v>4490</v>
      </c>
      <c r="D1227" t="s">
        <v>4491</v>
      </c>
      <c r="E1227" t="s">
        <v>4492</v>
      </c>
      <c r="F1227" t="s">
        <v>4493</v>
      </c>
      <c r="G1227" t="s">
        <v>5</v>
      </c>
      <c r="H1227" t="s">
        <v>61</v>
      </c>
      <c r="I1227" t="s">
        <v>93</v>
      </c>
      <c r="J1227" t="s">
        <v>94</v>
      </c>
      <c r="K1227" t="s">
        <v>3</v>
      </c>
      <c r="L1227" t="s">
        <v>4</v>
      </c>
      <c r="M1227" t="s">
        <v>49</v>
      </c>
      <c r="N1227" t="s">
        <v>4494</v>
      </c>
      <c r="O1227" s="31" t="s">
        <v>4495</v>
      </c>
      <c r="P1227">
        <v>20</v>
      </c>
      <c r="Q1227" t="s">
        <v>86</v>
      </c>
      <c r="R1227">
        <v>1</v>
      </c>
      <c r="S1227" s="31">
        <v>0</v>
      </c>
      <c r="T1227" s="39">
        <v>0</v>
      </c>
      <c r="U1227">
        <v>0</v>
      </c>
      <c r="V1227">
        <v>0</v>
      </c>
      <c r="W1227">
        <v>0</v>
      </c>
      <c r="X1227" s="39">
        <v>0</v>
      </c>
      <c r="Y1227">
        <v>0</v>
      </c>
      <c r="Z1227" s="31">
        <v>0</v>
      </c>
      <c r="AA1227">
        <v>8</v>
      </c>
      <c r="AB1227" s="3">
        <f t="shared" si="59"/>
        <v>0</v>
      </c>
      <c r="AC1227" t="str">
        <f>IF(AB1227-S1227&lt;0,"YES","NO")</f>
        <v>NO</v>
      </c>
      <c r="AD1227">
        <f>IF(AC1227="NO",0,AB1227-S1227)</f>
        <v>0</v>
      </c>
      <c r="AE1227" s="43">
        <v>0.08</v>
      </c>
      <c r="AF1227" s="3">
        <f t="shared" si="60"/>
        <v>0</v>
      </c>
      <c r="AG1227" s="45">
        <f t="shared" si="61"/>
        <v>0</v>
      </c>
      <c r="AH1227" s="55"/>
    </row>
    <row r="1228" spans="1:34" x14ac:dyDescent="0.25">
      <c r="A1228" t="s">
        <v>4488</v>
      </c>
      <c r="B1228" t="s">
        <v>4489</v>
      </c>
      <c r="C1228" t="s">
        <v>4490</v>
      </c>
      <c r="D1228" t="s">
        <v>4491</v>
      </c>
      <c r="E1228" t="s">
        <v>4492</v>
      </c>
      <c r="F1228" t="s">
        <v>4493</v>
      </c>
      <c r="G1228" t="s">
        <v>5</v>
      </c>
      <c r="H1228" t="s">
        <v>65</v>
      </c>
      <c r="I1228" t="s">
        <v>95</v>
      </c>
      <c r="J1228" t="s">
        <v>96</v>
      </c>
      <c r="K1228" t="s">
        <v>3</v>
      </c>
      <c r="L1228" t="s">
        <v>4</v>
      </c>
      <c r="M1228" t="s">
        <v>49</v>
      </c>
      <c r="N1228" t="s">
        <v>4494</v>
      </c>
      <c r="O1228" s="31" t="s">
        <v>4495</v>
      </c>
      <c r="P1228">
        <v>200</v>
      </c>
      <c r="R1228">
        <v>6</v>
      </c>
      <c r="S1228" s="31">
        <v>432000</v>
      </c>
      <c r="T1228" s="39">
        <v>480000</v>
      </c>
      <c r="U1228">
        <v>75000</v>
      </c>
      <c r="V1228">
        <v>40000.019999999997</v>
      </c>
      <c r="W1228">
        <v>0</v>
      </c>
      <c r="X1228" s="39">
        <v>140700</v>
      </c>
      <c r="Y1228">
        <v>0</v>
      </c>
      <c r="Z1228" s="31">
        <v>364999.98</v>
      </c>
      <c r="AA1228">
        <v>8</v>
      </c>
      <c r="AB1228" s="3">
        <f t="shared" si="59"/>
        <v>364999.98</v>
      </c>
      <c r="AC1228" t="str">
        <f>IF(AB1228-S1228&lt;0,"YES","NO")</f>
        <v>YES</v>
      </c>
      <c r="AD1228">
        <f>IF(AC1228="NO",0,AB1228-S1228)</f>
        <v>-67000.020000000019</v>
      </c>
      <c r="AE1228" s="43">
        <v>0.08</v>
      </c>
      <c r="AF1228" s="3">
        <f t="shared" si="60"/>
        <v>-62037.055555555569</v>
      </c>
      <c r="AG1228" s="45">
        <f t="shared" si="61"/>
        <v>-68240.761111111133</v>
      </c>
      <c r="AH1228" s="55"/>
    </row>
    <row r="1229" spans="1:34" x14ac:dyDescent="0.25">
      <c r="A1229" t="s">
        <v>4496</v>
      </c>
      <c r="B1229" t="s">
        <v>4497</v>
      </c>
      <c r="C1229" t="s">
        <v>4498</v>
      </c>
      <c r="D1229" t="s">
        <v>4499</v>
      </c>
      <c r="E1229" t="s">
        <v>4500</v>
      </c>
      <c r="F1229" t="s">
        <v>4501</v>
      </c>
      <c r="G1229" t="s">
        <v>5</v>
      </c>
      <c r="H1229" t="s">
        <v>65</v>
      </c>
      <c r="I1229" t="s">
        <v>66</v>
      </c>
      <c r="J1229" t="s">
        <v>67</v>
      </c>
      <c r="K1229" t="s">
        <v>3</v>
      </c>
      <c r="L1229" t="s">
        <v>4</v>
      </c>
      <c r="M1229" t="s">
        <v>49</v>
      </c>
      <c r="N1229" t="s">
        <v>4502</v>
      </c>
      <c r="O1229" s="31" t="s">
        <v>4503</v>
      </c>
      <c r="P1229">
        <v>220</v>
      </c>
      <c r="R1229">
        <v>2</v>
      </c>
      <c r="S1229" s="31">
        <v>150000</v>
      </c>
      <c r="T1229" s="39">
        <v>160000</v>
      </c>
      <c r="U1229">
        <v>20000</v>
      </c>
      <c r="V1229">
        <v>16000</v>
      </c>
      <c r="W1229">
        <v>0</v>
      </c>
      <c r="X1229" s="39">
        <v>44800</v>
      </c>
      <c r="Y1229">
        <v>0</v>
      </c>
      <c r="Z1229" s="31">
        <v>124000</v>
      </c>
      <c r="AA1229">
        <v>8</v>
      </c>
      <c r="AB1229" s="3">
        <f t="shared" si="59"/>
        <v>124000</v>
      </c>
      <c r="AC1229" t="str">
        <f>IF(AB1229-S1229&lt;0,"YES","NO")</f>
        <v>YES</v>
      </c>
      <c r="AD1229">
        <f>IF(AC1229="NO",0,AB1229-S1229)</f>
        <v>-26000</v>
      </c>
      <c r="AE1229" s="43">
        <v>0.08</v>
      </c>
      <c r="AF1229" s="3">
        <f t="shared" si="60"/>
        <v>-24074.074074074073</v>
      </c>
      <c r="AG1229" s="45">
        <f t="shared" si="61"/>
        <v>-26481.481481481482</v>
      </c>
      <c r="AH1229" s="55"/>
    </row>
    <row r="1230" spans="1:34" x14ac:dyDescent="0.25">
      <c r="A1230" t="s">
        <v>4504</v>
      </c>
      <c r="B1230" t="s">
        <v>4505</v>
      </c>
      <c r="C1230" t="s">
        <v>4506</v>
      </c>
      <c r="D1230" t="s">
        <v>119</v>
      </c>
      <c r="E1230" t="s">
        <v>4507</v>
      </c>
      <c r="F1230" t="s">
        <v>4508</v>
      </c>
      <c r="G1230" t="s">
        <v>5</v>
      </c>
      <c r="H1230" t="s">
        <v>61</v>
      </c>
      <c r="I1230" t="s">
        <v>62</v>
      </c>
      <c r="J1230" t="s">
        <v>63</v>
      </c>
      <c r="K1230" t="s">
        <v>3</v>
      </c>
      <c r="L1230" t="s">
        <v>4</v>
      </c>
      <c r="M1230" t="s">
        <v>49</v>
      </c>
      <c r="N1230" t="s">
        <v>4509</v>
      </c>
      <c r="O1230" s="31" t="s">
        <v>4510</v>
      </c>
      <c r="P1230">
        <v>20000</v>
      </c>
      <c r="Q1230" t="s">
        <v>64</v>
      </c>
      <c r="R1230">
        <v>1</v>
      </c>
      <c r="S1230" s="31">
        <v>0</v>
      </c>
      <c r="T1230" s="39">
        <v>0</v>
      </c>
      <c r="U1230">
        <v>0</v>
      </c>
      <c r="V1230">
        <v>0</v>
      </c>
      <c r="W1230">
        <v>0</v>
      </c>
      <c r="X1230" s="39">
        <v>0</v>
      </c>
      <c r="Y1230">
        <v>0</v>
      </c>
      <c r="Z1230" s="31">
        <v>0</v>
      </c>
      <c r="AA1230">
        <v>8</v>
      </c>
      <c r="AB1230" s="3">
        <f t="shared" si="59"/>
        <v>0</v>
      </c>
      <c r="AC1230" t="str">
        <f>IF(AB1230-S1230&lt;0,"YES","NO")</f>
        <v>NO</v>
      </c>
      <c r="AD1230">
        <f>IF(AC1230="NO",0,AB1230-S1230)</f>
        <v>0</v>
      </c>
      <c r="AE1230" s="43">
        <v>0.08</v>
      </c>
      <c r="AF1230" s="3">
        <f t="shared" si="60"/>
        <v>0</v>
      </c>
      <c r="AG1230" s="45">
        <f t="shared" si="61"/>
        <v>0</v>
      </c>
      <c r="AH1230" s="55"/>
    </row>
    <row r="1231" spans="1:34" x14ac:dyDescent="0.25">
      <c r="A1231" t="s">
        <v>4504</v>
      </c>
      <c r="B1231" t="s">
        <v>4505</v>
      </c>
      <c r="C1231" t="s">
        <v>4506</v>
      </c>
      <c r="D1231" t="s">
        <v>119</v>
      </c>
      <c r="E1231" t="s">
        <v>4507</v>
      </c>
      <c r="F1231" t="s">
        <v>4508</v>
      </c>
      <c r="G1231" t="s">
        <v>5</v>
      </c>
      <c r="H1231" t="s">
        <v>65</v>
      </c>
      <c r="I1231" t="s">
        <v>87</v>
      </c>
      <c r="J1231" t="s">
        <v>88</v>
      </c>
      <c r="K1231" t="s">
        <v>3</v>
      </c>
      <c r="L1231" t="s">
        <v>4</v>
      </c>
      <c r="M1231" t="s">
        <v>49</v>
      </c>
      <c r="N1231" t="s">
        <v>4509</v>
      </c>
      <c r="O1231" s="31" t="s">
        <v>4510</v>
      </c>
      <c r="P1231">
        <v>220</v>
      </c>
      <c r="Q1231" t="s">
        <v>89</v>
      </c>
      <c r="R1231">
        <v>1</v>
      </c>
      <c r="S1231" s="31">
        <v>59000</v>
      </c>
      <c r="T1231" s="39">
        <v>70000</v>
      </c>
      <c r="U1231">
        <v>4686</v>
      </c>
      <c r="V1231">
        <v>6500</v>
      </c>
      <c r="W1231">
        <v>0</v>
      </c>
      <c r="X1231" s="39">
        <v>16448.5</v>
      </c>
      <c r="Y1231">
        <v>0</v>
      </c>
      <c r="Z1231" s="31">
        <v>58814</v>
      </c>
      <c r="AA1231">
        <v>8</v>
      </c>
      <c r="AB1231" s="3">
        <f t="shared" si="59"/>
        <v>58814</v>
      </c>
      <c r="AC1231" t="str">
        <f>IF(AB1231-S1231&lt;0,"YES","NO")</f>
        <v>YES</v>
      </c>
      <c r="AD1231">
        <f>IF(AC1231="NO",0,AB1231-S1231)</f>
        <v>-186</v>
      </c>
      <c r="AE1231" s="43">
        <v>0.08</v>
      </c>
      <c r="AF1231" s="3">
        <f t="shared" si="60"/>
        <v>-172.2222222222222</v>
      </c>
      <c r="AG1231" s="45">
        <f t="shared" si="61"/>
        <v>-189.44444444444443</v>
      </c>
      <c r="AH1231" s="55"/>
    </row>
    <row r="1232" spans="1:34" x14ac:dyDescent="0.25">
      <c r="A1232" t="s">
        <v>4504</v>
      </c>
      <c r="B1232" t="s">
        <v>4505</v>
      </c>
      <c r="C1232" t="s">
        <v>4506</v>
      </c>
      <c r="D1232" t="s">
        <v>119</v>
      </c>
      <c r="E1232" t="s">
        <v>4507</v>
      </c>
      <c r="F1232" t="s">
        <v>4508</v>
      </c>
      <c r="G1232" t="s">
        <v>5</v>
      </c>
      <c r="H1232" t="s">
        <v>65</v>
      </c>
      <c r="I1232" t="s">
        <v>90</v>
      </c>
      <c r="J1232" t="s">
        <v>91</v>
      </c>
      <c r="K1232" t="s">
        <v>3</v>
      </c>
      <c r="L1232" t="s">
        <v>4</v>
      </c>
      <c r="M1232" t="s">
        <v>49</v>
      </c>
      <c r="N1232" t="s">
        <v>4509</v>
      </c>
      <c r="O1232" s="31" t="s">
        <v>4510</v>
      </c>
      <c r="P1232">
        <v>220</v>
      </c>
      <c r="Q1232" t="s">
        <v>92</v>
      </c>
      <c r="R1232">
        <v>1</v>
      </c>
      <c r="S1232" s="31">
        <v>59000</v>
      </c>
      <c r="T1232" s="39">
        <v>70000</v>
      </c>
      <c r="U1232">
        <v>4686</v>
      </c>
      <c r="V1232">
        <v>6500</v>
      </c>
      <c r="W1232">
        <v>0</v>
      </c>
      <c r="X1232" s="39">
        <v>16448.5</v>
      </c>
      <c r="Y1232">
        <v>0</v>
      </c>
      <c r="Z1232" s="31">
        <v>58814</v>
      </c>
      <c r="AA1232">
        <v>8</v>
      </c>
      <c r="AB1232" s="3">
        <f t="shared" si="59"/>
        <v>58814</v>
      </c>
      <c r="AC1232" t="str">
        <f>IF(AB1232-S1232&lt;0,"YES","NO")</f>
        <v>YES</v>
      </c>
      <c r="AD1232">
        <f>IF(AC1232="NO",0,AB1232-S1232)</f>
        <v>-186</v>
      </c>
      <c r="AE1232" s="43">
        <v>0.08</v>
      </c>
      <c r="AF1232" s="3">
        <f t="shared" si="60"/>
        <v>-172.2222222222222</v>
      </c>
      <c r="AG1232" s="45">
        <f t="shared" si="61"/>
        <v>-189.44444444444443</v>
      </c>
      <c r="AH1232" s="55"/>
    </row>
    <row r="1233" spans="1:34" x14ac:dyDescent="0.25">
      <c r="A1233" t="s">
        <v>4504</v>
      </c>
      <c r="B1233" t="s">
        <v>4505</v>
      </c>
      <c r="C1233" t="s">
        <v>4506</v>
      </c>
      <c r="D1233" t="s">
        <v>119</v>
      </c>
      <c r="E1233" t="s">
        <v>4507</v>
      </c>
      <c r="F1233" t="s">
        <v>4508</v>
      </c>
      <c r="G1233" t="s">
        <v>5</v>
      </c>
      <c r="H1233" t="s">
        <v>65</v>
      </c>
      <c r="I1233" t="s">
        <v>71</v>
      </c>
      <c r="J1233" t="s">
        <v>72</v>
      </c>
      <c r="K1233" t="s">
        <v>3</v>
      </c>
      <c r="L1233" t="s">
        <v>4</v>
      </c>
      <c r="M1233" t="s">
        <v>49</v>
      </c>
      <c r="N1233" t="s">
        <v>4509</v>
      </c>
      <c r="O1233" s="31" t="s">
        <v>4510</v>
      </c>
      <c r="P1233">
        <v>220</v>
      </c>
      <c r="Q1233" t="s">
        <v>70</v>
      </c>
      <c r="R1233">
        <v>3</v>
      </c>
      <c r="S1233" s="31">
        <v>177000</v>
      </c>
      <c r="T1233" s="39">
        <v>195000</v>
      </c>
      <c r="U1233">
        <v>0</v>
      </c>
      <c r="V1233">
        <v>19500</v>
      </c>
      <c r="W1233">
        <v>0</v>
      </c>
      <c r="X1233" s="39">
        <v>35100</v>
      </c>
      <c r="Y1233">
        <v>0</v>
      </c>
      <c r="Z1233" s="31">
        <v>175500</v>
      </c>
      <c r="AA1233">
        <v>8</v>
      </c>
      <c r="AB1233" s="3">
        <f t="shared" si="59"/>
        <v>175500</v>
      </c>
      <c r="AC1233" t="str">
        <f>IF(AB1233-S1233&lt;0,"YES","NO")</f>
        <v>YES</v>
      </c>
      <c r="AD1233">
        <f>IF(AC1233="NO",0,AB1233-S1233)</f>
        <v>-1500</v>
      </c>
      <c r="AE1233" s="43">
        <v>0.08</v>
      </c>
      <c r="AF1233" s="3">
        <f t="shared" si="60"/>
        <v>-1388.8888888888887</v>
      </c>
      <c r="AG1233" s="45">
        <f t="shared" si="61"/>
        <v>-1527.7777777777776</v>
      </c>
      <c r="AH1233" s="55"/>
    </row>
    <row r="1234" spans="1:34" x14ac:dyDescent="0.25">
      <c r="A1234" t="s">
        <v>4504</v>
      </c>
      <c r="B1234" t="s">
        <v>4505</v>
      </c>
      <c r="C1234" t="s">
        <v>4506</v>
      </c>
      <c r="D1234" t="s">
        <v>119</v>
      </c>
      <c r="E1234" t="s">
        <v>4507</v>
      </c>
      <c r="F1234" t="s">
        <v>4508</v>
      </c>
      <c r="G1234" t="s">
        <v>5</v>
      </c>
      <c r="H1234" t="s">
        <v>65</v>
      </c>
      <c r="I1234" t="s">
        <v>66</v>
      </c>
      <c r="J1234" t="s">
        <v>67</v>
      </c>
      <c r="K1234" t="s">
        <v>3</v>
      </c>
      <c r="L1234" t="s">
        <v>4</v>
      </c>
      <c r="M1234" t="s">
        <v>49</v>
      </c>
      <c r="N1234" t="s">
        <v>4509</v>
      </c>
      <c r="O1234" s="31" t="s">
        <v>4510</v>
      </c>
      <c r="P1234">
        <v>220</v>
      </c>
      <c r="R1234">
        <v>2</v>
      </c>
      <c r="S1234" s="31">
        <v>150000</v>
      </c>
      <c r="T1234" s="39">
        <v>160000</v>
      </c>
      <c r="U1234">
        <v>10628</v>
      </c>
      <c r="V1234">
        <v>16000</v>
      </c>
      <c r="W1234">
        <v>0</v>
      </c>
      <c r="X1234" s="39">
        <v>37303</v>
      </c>
      <c r="Y1234">
        <v>0</v>
      </c>
      <c r="Z1234" s="31">
        <v>133372</v>
      </c>
      <c r="AA1234">
        <v>8</v>
      </c>
      <c r="AB1234" s="3">
        <f t="shared" si="59"/>
        <v>133372</v>
      </c>
      <c r="AC1234" t="str">
        <f>IF(AB1234-S1234&lt;0,"YES","NO")</f>
        <v>YES</v>
      </c>
      <c r="AD1234">
        <f>IF(AC1234="NO",0,AB1234-S1234)</f>
        <v>-16628</v>
      </c>
      <c r="AE1234" s="43">
        <v>0.08</v>
      </c>
      <c r="AF1234" s="3">
        <f t="shared" si="60"/>
        <v>-15396.296296296296</v>
      </c>
      <c r="AG1234" s="45">
        <f t="shared" si="61"/>
        <v>-16935.925925925927</v>
      </c>
      <c r="AH1234" s="55"/>
    </row>
    <row r="1235" spans="1:34" x14ac:dyDescent="0.25">
      <c r="A1235" t="s">
        <v>4511</v>
      </c>
      <c r="B1235" t="s">
        <v>4512</v>
      </c>
      <c r="C1235" t="s">
        <v>4513</v>
      </c>
      <c r="D1235" t="s">
        <v>4514</v>
      </c>
      <c r="E1235" t="s">
        <v>4515</v>
      </c>
      <c r="F1235" t="s">
        <v>4516</v>
      </c>
      <c r="G1235" t="s">
        <v>5</v>
      </c>
      <c r="H1235" t="s">
        <v>61</v>
      </c>
      <c r="I1235" t="s">
        <v>93</v>
      </c>
      <c r="J1235" t="s">
        <v>94</v>
      </c>
      <c r="K1235" t="s">
        <v>3</v>
      </c>
      <c r="L1235" t="s">
        <v>4</v>
      </c>
      <c r="M1235" t="s">
        <v>49</v>
      </c>
      <c r="N1235" t="s">
        <v>4517</v>
      </c>
      <c r="O1235" s="31" t="s">
        <v>4518</v>
      </c>
      <c r="P1235">
        <v>20</v>
      </c>
      <c r="Q1235" t="s">
        <v>86</v>
      </c>
      <c r="R1235">
        <v>1</v>
      </c>
      <c r="S1235" s="31">
        <v>0</v>
      </c>
      <c r="T1235" s="39">
        <v>0</v>
      </c>
      <c r="U1235">
        <v>0</v>
      </c>
      <c r="V1235">
        <v>0</v>
      </c>
      <c r="W1235">
        <v>0</v>
      </c>
      <c r="X1235" s="39">
        <v>0</v>
      </c>
      <c r="Y1235">
        <v>0</v>
      </c>
      <c r="Z1235" s="31">
        <v>0</v>
      </c>
      <c r="AA1235">
        <v>8</v>
      </c>
      <c r="AB1235" s="3">
        <f t="shared" si="59"/>
        <v>0</v>
      </c>
      <c r="AC1235" t="str">
        <f>IF(AB1235-S1235&lt;0,"YES","NO")</f>
        <v>NO</v>
      </c>
      <c r="AD1235">
        <f>IF(AC1235="NO",0,AB1235-S1235)</f>
        <v>0</v>
      </c>
      <c r="AE1235" s="43">
        <v>0.08</v>
      </c>
      <c r="AF1235" s="3">
        <f t="shared" si="60"/>
        <v>0</v>
      </c>
      <c r="AG1235" s="45">
        <f t="shared" si="61"/>
        <v>0</v>
      </c>
      <c r="AH1235" s="55"/>
    </row>
    <row r="1236" spans="1:34" x14ac:dyDescent="0.25">
      <c r="A1236" t="s">
        <v>4511</v>
      </c>
      <c r="B1236" t="s">
        <v>4512</v>
      </c>
      <c r="C1236" t="s">
        <v>4513</v>
      </c>
      <c r="D1236" t="s">
        <v>4514</v>
      </c>
      <c r="E1236" t="s">
        <v>4515</v>
      </c>
      <c r="F1236" t="s">
        <v>4516</v>
      </c>
      <c r="G1236" t="s">
        <v>5</v>
      </c>
      <c r="H1236" t="s">
        <v>65</v>
      </c>
      <c r="I1236" t="s">
        <v>100</v>
      </c>
      <c r="J1236" t="s">
        <v>101</v>
      </c>
      <c r="K1236" t="s">
        <v>3</v>
      </c>
      <c r="L1236" t="s">
        <v>4</v>
      </c>
      <c r="M1236" t="s">
        <v>49</v>
      </c>
      <c r="N1236" t="s">
        <v>4517</v>
      </c>
      <c r="O1236" s="31" t="s">
        <v>4518</v>
      </c>
      <c r="P1236">
        <v>200</v>
      </c>
      <c r="R1236">
        <v>6</v>
      </c>
      <c r="S1236" s="31">
        <v>432000</v>
      </c>
      <c r="T1236" s="39">
        <v>480000</v>
      </c>
      <c r="U1236">
        <v>75000</v>
      </c>
      <c r="V1236">
        <v>48000</v>
      </c>
      <c r="W1236">
        <v>0</v>
      </c>
      <c r="X1236" s="39">
        <v>139260</v>
      </c>
      <c r="Y1236">
        <v>0</v>
      </c>
      <c r="Z1236" s="31">
        <v>357000</v>
      </c>
      <c r="AA1236">
        <v>8</v>
      </c>
      <c r="AB1236" s="3">
        <f t="shared" si="59"/>
        <v>357000</v>
      </c>
      <c r="AC1236" t="str">
        <f>IF(AB1236-S1236&lt;0,"YES","NO")</f>
        <v>YES</v>
      </c>
      <c r="AD1236">
        <f>IF(AC1236="NO",0,AB1236-S1236)</f>
        <v>-75000</v>
      </c>
      <c r="AE1236" s="43">
        <v>0.08</v>
      </c>
      <c r="AF1236" s="3">
        <f t="shared" si="60"/>
        <v>-69444.444444444438</v>
      </c>
      <c r="AG1236" s="45">
        <f t="shared" si="61"/>
        <v>-76388.888888888891</v>
      </c>
      <c r="AH1236" s="55"/>
    </row>
    <row r="1237" spans="1:34" x14ac:dyDescent="0.25">
      <c r="A1237" t="s">
        <v>4519</v>
      </c>
      <c r="B1237" t="s">
        <v>4520</v>
      </c>
      <c r="C1237" t="s">
        <v>4521</v>
      </c>
      <c r="D1237" t="s">
        <v>4522</v>
      </c>
      <c r="E1237" t="s">
        <v>4523</v>
      </c>
      <c r="F1237" t="s">
        <v>4524</v>
      </c>
      <c r="G1237" t="s">
        <v>5</v>
      </c>
      <c r="H1237" t="s">
        <v>65</v>
      </c>
      <c r="I1237" t="s">
        <v>82</v>
      </c>
      <c r="J1237" t="s">
        <v>83</v>
      </c>
      <c r="K1237" t="s">
        <v>3</v>
      </c>
      <c r="L1237" t="s">
        <v>4</v>
      </c>
      <c r="M1237" t="s">
        <v>49</v>
      </c>
      <c r="N1237" t="s">
        <v>4525</v>
      </c>
      <c r="O1237" s="31" t="s">
        <v>4526</v>
      </c>
      <c r="P1237">
        <v>220</v>
      </c>
      <c r="R1237">
        <v>2</v>
      </c>
      <c r="S1237" s="31">
        <v>150000</v>
      </c>
      <c r="T1237" s="39">
        <v>160000</v>
      </c>
      <c r="U1237">
        <v>20000</v>
      </c>
      <c r="V1237">
        <v>10000</v>
      </c>
      <c r="W1237">
        <v>0</v>
      </c>
      <c r="X1237" s="39">
        <v>33000</v>
      </c>
      <c r="Y1237">
        <v>0</v>
      </c>
      <c r="Z1237" s="31">
        <v>130000</v>
      </c>
      <c r="AA1237">
        <v>8</v>
      </c>
      <c r="AB1237" s="3">
        <f t="shared" si="59"/>
        <v>130000</v>
      </c>
      <c r="AC1237" t="str">
        <f>IF(AB1237-S1237&lt;0,"YES","NO")</f>
        <v>YES</v>
      </c>
      <c r="AD1237">
        <f>IF(AC1237="NO",0,AB1237-S1237)</f>
        <v>-20000</v>
      </c>
      <c r="AE1237" s="43">
        <v>0.08</v>
      </c>
      <c r="AF1237" s="3">
        <f t="shared" si="60"/>
        <v>-18518.518518518518</v>
      </c>
      <c r="AG1237" s="45">
        <f t="shared" si="61"/>
        <v>-20370.370370370372</v>
      </c>
      <c r="AH1237" s="55"/>
    </row>
    <row r="1238" spans="1:34" x14ac:dyDescent="0.25">
      <c r="A1238" t="s">
        <v>4527</v>
      </c>
      <c r="B1238" t="s">
        <v>4528</v>
      </c>
      <c r="C1238" t="s">
        <v>4529</v>
      </c>
      <c r="D1238" t="s">
        <v>4530</v>
      </c>
      <c r="E1238" t="s">
        <v>4531</v>
      </c>
      <c r="F1238" t="s">
        <v>4532</v>
      </c>
      <c r="G1238" t="s">
        <v>5</v>
      </c>
      <c r="H1238" t="s">
        <v>61</v>
      </c>
      <c r="I1238" t="s">
        <v>62</v>
      </c>
      <c r="J1238" t="s">
        <v>63</v>
      </c>
      <c r="K1238" t="s">
        <v>3</v>
      </c>
      <c r="L1238" t="s">
        <v>4</v>
      </c>
      <c r="M1238" t="s">
        <v>49</v>
      </c>
      <c r="N1238" t="s">
        <v>4533</v>
      </c>
      <c r="O1238" s="31" t="s">
        <v>4534</v>
      </c>
      <c r="P1238">
        <v>20000</v>
      </c>
      <c r="Q1238" t="s">
        <v>64</v>
      </c>
      <c r="R1238">
        <v>1</v>
      </c>
      <c r="S1238" s="31">
        <v>0</v>
      </c>
      <c r="T1238" s="39">
        <v>0</v>
      </c>
      <c r="U1238">
        <v>0</v>
      </c>
      <c r="V1238">
        <v>0</v>
      </c>
      <c r="W1238">
        <v>0</v>
      </c>
      <c r="X1238" s="39">
        <v>0</v>
      </c>
      <c r="Y1238">
        <v>0</v>
      </c>
      <c r="Z1238" s="31">
        <v>0</v>
      </c>
      <c r="AA1238">
        <v>8</v>
      </c>
      <c r="AB1238" s="3">
        <f t="shared" si="59"/>
        <v>0</v>
      </c>
      <c r="AC1238" t="str">
        <f>IF(AB1238-S1238&lt;0,"YES","NO")</f>
        <v>NO</v>
      </c>
      <c r="AD1238">
        <f>IF(AC1238="NO",0,AB1238-S1238)</f>
        <v>0</v>
      </c>
      <c r="AE1238" s="43">
        <v>0.08</v>
      </c>
      <c r="AF1238" s="3">
        <f t="shared" si="60"/>
        <v>0</v>
      </c>
      <c r="AG1238" s="45">
        <f t="shared" si="61"/>
        <v>0</v>
      </c>
      <c r="AH1238" s="55"/>
    </row>
    <row r="1239" spans="1:34" x14ac:dyDescent="0.25">
      <c r="A1239" t="s">
        <v>4527</v>
      </c>
      <c r="B1239" t="s">
        <v>4528</v>
      </c>
      <c r="C1239" t="s">
        <v>4529</v>
      </c>
      <c r="D1239" t="s">
        <v>4530</v>
      </c>
      <c r="E1239" t="s">
        <v>4531</v>
      </c>
      <c r="F1239" t="s">
        <v>4532</v>
      </c>
      <c r="G1239" t="s">
        <v>5</v>
      </c>
      <c r="H1239" t="s">
        <v>65</v>
      </c>
      <c r="I1239" t="s">
        <v>66</v>
      </c>
      <c r="J1239" t="s">
        <v>67</v>
      </c>
      <c r="K1239" t="s">
        <v>3</v>
      </c>
      <c r="L1239" t="s">
        <v>4</v>
      </c>
      <c r="M1239" t="s">
        <v>49</v>
      </c>
      <c r="N1239" t="s">
        <v>4533</v>
      </c>
      <c r="O1239" s="31" t="s">
        <v>4534</v>
      </c>
      <c r="P1239">
        <v>220</v>
      </c>
      <c r="R1239">
        <v>3</v>
      </c>
      <c r="S1239" s="31">
        <v>225000</v>
      </c>
      <c r="T1239" s="39">
        <v>240000</v>
      </c>
      <c r="U1239">
        <v>35000.01</v>
      </c>
      <c r="V1239">
        <v>24000</v>
      </c>
      <c r="W1239">
        <v>0</v>
      </c>
      <c r="X1239" s="39">
        <v>71199.990000000005</v>
      </c>
      <c r="Y1239">
        <v>0</v>
      </c>
      <c r="Z1239" s="31">
        <v>180999.99</v>
      </c>
      <c r="AA1239">
        <v>8</v>
      </c>
      <c r="AB1239" s="3">
        <f t="shared" si="59"/>
        <v>180999.99</v>
      </c>
      <c r="AC1239" t="str">
        <f>IF(AB1239-S1239&lt;0,"YES","NO")</f>
        <v>YES</v>
      </c>
      <c r="AD1239">
        <f>IF(AC1239="NO",0,AB1239-S1239)</f>
        <v>-44000.010000000009</v>
      </c>
      <c r="AE1239" s="43">
        <v>0.08</v>
      </c>
      <c r="AF1239" s="3">
        <f t="shared" si="60"/>
        <v>-40740.750000000007</v>
      </c>
      <c r="AG1239" s="45">
        <f t="shared" si="61"/>
        <v>-44814.825000000012</v>
      </c>
      <c r="AH1239" s="55"/>
    </row>
    <row r="1240" spans="1:34" x14ac:dyDescent="0.25">
      <c r="A1240" t="s">
        <v>4535</v>
      </c>
      <c r="B1240" t="s">
        <v>4536</v>
      </c>
      <c r="C1240" t="s">
        <v>4537</v>
      </c>
      <c r="D1240" t="s">
        <v>4538</v>
      </c>
      <c r="E1240" t="s">
        <v>4539</v>
      </c>
      <c r="F1240" t="s">
        <v>4540</v>
      </c>
      <c r="G1240" t="s">
        <v>5</v>
      </c>
      <c r="H1240" t="s">
        <v>61</v>
      </c>
      <c r="I1240" t="s">
        <v>62</v>
      </c>
      <c r="J1240" t="s">
        <v>63</v>
      </c>
      <c r="K1240" t="s">
        <v>3</v>
      </c>
      <c r="L1240" t="s">
        <v>4</v>
      </c>
      <c r="M1240" t="s">
        <v>49</v>
      </c>
      <c r="N1240" t="s">
        <v>4541</v>
      </c>
      <c r="O1240" s="31" t="s">
        <v>4542</v>
      </c>
      <c r="P1240">
        <v>20000</v>
      </c>
      <c r="Q1240" t="s">
        <v>64</v>
      </c>
      <c r="R1240">
        <v>1</v>
      </c>
      <c r="S1240" s="31">
        <v>0</v>
      </c>
      <c r="T1240" s="39">
        <v>0</v>
      </c>
      <c r="U1240">
        <v>0</v>
      </c>
      <c r="V1240">
        <v>0</v>
      </c>
      <c r="W1240">
        <v>0</v>
      </c>
      <c r="X1240" s="39">
        <v>0</v>
      </c>
      <c r="Y1240">
        <v>0</v>
      </c>
      <c r="Z1240" s="31">
        <v>0</v>
      </c>
      <c r="AA1240">
        <v>8</v>
      </c>
      <c r="AB1240" s="3">
        <f t="shared" si="59"/>
        <v>0</v>
      </c>
      <c r="AC1240" t="str">
        <f>IF(AB1240-S1240&lt;0,"YES","NO")</f>
        <v>NO</v>
      </c>
      <c r="AD1240">
        <f>IF(AC1240="NO",0,AB1240-S1240)</f>
        <v>0</v>
      </c>
      <c r="AE1240" s="43">
        <v>0.08</v>
      </c>
      <c r="AF1240" s="3">
        <f t="shared" si="60"/>
        <v>0</v>
      </c>
      <c r="AG1240" s="45">
        <f t="shared" si="61"/>
        <v>0</v>
      </c>
      <c r="AH1240" s="55"/>
    </row>
    <row r="1241" spans="1:34" x14ac:dyDescent="0.25">
      <c r="A1241" t="s">
        <v>4535</v>
      </c>
      <c r="B1241" t="s">
        <v>4536</v>
      </c>
      <c r="C1241" t="s">
        <v>4537</v>
      </c>
      <c r="D1241" t="s">
        <v>4538</v>
      </c>
      <c r="E1241" t="s">
        <v>4539</v>
      </c>
      <c r="F1241" t="s">
        <v>4540</v>
      </c>
      <c r="G1241" t="s">
        <v>5</v>
      </c>
      <c r="H1241" t="s">
        <v>65</v>
      </c>
      <c r="I1241" t="s">
        <v>78</v>
      </c>
      <c r="J1241" t="s">
        <v>79</v>
      </c>
      <c r="K1241" t="s">
        <v>3</v>
      </c>
      <c r="L1241" t="s">
        <v>4</v>
      </c>
      <c r="M1241" t="s">
        <v>49</v>
      </c>
      <c r="N1241" t="s">
        <v>4541</v>
      </c>
      <c r="O1241" s="31" t="s">
        <v>4542</v>
      </c>
      <c r="P1241">
        <v>220</v>
      </c>
      <c r="R1241">
        <v>6</v>
      </c>
      <c r="S1241" s="31">
        <v>450000</v>
      </c>
      <c r="T1241" s="39">
        <v>480000</v>
      </c>
      <c r="U1241">
        <v>75000</v>
      </c>
      <c r="V1241">
        <v>25000.02</v>
      </c>
      <c r="W1241">
        <v>0</v>
      </c>
      <c r="X1241" s="39">
        <v>128199.96</v>
      </c>
      <c r="Y1241">
        <v>0</v>
      </c>
      <c r="Z1241" s="31">
        <v>379999.98</v>
      </c>
      <c r="AA1241">
        <v>8</v>
      </c>
      <c r="AB1241" s="3">
        <f t="shared" si="59"/>
        <v>379999.98</v>
      </c>
      <c r="AC1241" t="str">
        <f>IF(AB1241-S1241&lt;0,"YES","NO")</f>
        <v>YES</v>
      </c>
      <c r="AD1241">
        <f>IF(AC1241="NO",0,AB1241-S1241)</f>
        <v>-70000.020000000019</v>
      </c>
      <c r="AE1241" s="43">
        <v>0.08</v>
      </c>
      <c r="AF1241" s="3">
        <f t="shared" si="60"/>
        <v>-64814.833333333343</v>
      </c>
      <c r="AG1241" s="45">
        <f t="shared" si="61"/>
        <v>-71296.31666666668</v>
      </c>
      <c r="AH1241" s="55"/>
    </row>
    <row r="1242" spans="1:34" x14ac:dyDescent="0.25">
      <c r="A1242" t="s">
        <v>4543</v>
      </c>
      <c r="B1242" t="s">
        <v>4544</v>
      </c>
      <c r="C1242" t="s">
        <v>4545</v>
      </c>
      <c r="D1242" t="s">
        <v>4546</v>
      </c>
      <c r="E1242" t="s">
        <v>4547</v>
      </c>
      <c r="F1242" t="s">
        <v>4548</v>
      </c>
      <c r="G1242" t="s">
        <v>5</v>
      </c>
      <c r="H1242" t="s">
        <v>61</v>
      </c>
      <c r="I1242" t="s">
        <v>62</v>
      </c>
      <c r="J1242" t="s">
        <v>63</v>
      </c>
      <c r="K1242" t="s">
        <v>3</v>
      </c>
      <c r="L1242" t="s">
        <v>4</v>
      </c>
      <c r="M1242" t="s">
        <v>49</v>
      </c>
      <c r="N1242" t="s">
        <v>4549</v>
      </c>
      <c r="O1242" s="31" t="s">
        <v>4550</v>
      </c>
      <c r="P1242">
        <v>20000</v>
      </c>
      <c r="Q1242" t="s">
        <v>64</v>
      </c>
      <c r="R1242">
        <v>1</v>
      </c>
      <c r="S1242" s="31">
        <v>0</v>
      </c>
      <c r="T1242" s="39">
        <v>0</v>
      </c>
      <c r="U1242">
        <v>0</v>
      </c>
      <c r="V1242">
        <v>0</v>
      </c>
      <c r="W1242">
        <v>0</v>
      </c>
      <c r="X1242" s="39">
        <v>0</v>
      </c>
      <c r="Y1242">
        <v>0</v>
      </c>
      <c r="Z1242" s="31">
        <v>0</v>
      </c>
      <c r="AA1242">
        <v>8</v>
      </c>
      <c r="AB1242" s="3">
        <f t="shared" si="59"/>
        <v>0</v>
      </c>
      <c r="AC1242" t="str">
        <f>IF(AB1242-S1242&lt;0,"YES","NO")</f>
        <v>NO</v>
      </c>
      <c r="AD1242">
        <f>IF(AC1242="NO",0,AB1242-S1242)</f>
        <v>0</v>
      </c>
      <c r="AE1242" s="43">
        <v>0.08</v>
      </c>
      <c r="AF1242" s="3">
        <f t="shared" si="60"/>
        <v>0</v>
      </c>
      <c r="AG1242" s="45">
        <f t="shared" si="61"/>
        <v>0</v>
      </c>
      <c r="AH1242" s="55"/>
    </row>
    <row r="1243" spans="1:34" x14ac:dyDescent="0.25">
      <c r="A1243" t="s">
        <v>4543</v>
      </c>
      <c r="B1243" t="s">
        <v>4544</v>
      </c>
      <c r="C1243" t="s">
        <v>4545</v>
      </c>
      <c r="D1243" t="s">
        <v>4546</v>
      </c>
      <c r="E1243" t="s">
        <v>4547</v>
      </c>
      <c r="F1243" t="s">
        <v>4548</v>
      </c>
      <c r="G1243" t="s">
        <v>5</v>
      </c>
      <c r="H1243" t="s">
        <v>65</v>
      </c>
      <c r="I1243" t="s">
        <v>66</v>
      </c>
      <c r="J1243" t="s">
        <v>67</v>
      </c>
      <c r="K1243" t="s">
        <v>3</v>
      </c>
      <c r="L1243" t="s">
        <v>4</v>
      </c>
      <c r="M1243" t="s">
        <v>49</v>
      </c>
      <c r="N1243" t="s">
        <v>4549</v>
      </c>
      <c r="O1243" s="31" t="s">
        <v>4550</v>
      </c>
      <c r="P1243">
        <v>220</v>
      </c>
      <c r="R1243">
        <v>3</v>
      </c>
      <c r="S1243" s="31">
        <v>225000</v>
      </c>
      <c r="T1243" s="39">
        <v>240000</v>
      </c>
      <c r="U1243">
        <v>35000.01</v>
      </c>
      <c r="V1243">
        <v>24000</v>
      </c>
      <c r="W1243">
        <v>0</v>
      </c>
      <c r="X1243" s="39">
        <v>50000.01</v>
      </c>
      <c r="Y1243">
        <v>0</v>
      </c>
      <c r="Z1243" s="31">
        <v>180999.99</v>
      </c>
      <c r="AA1243">
        <v>8</v>
      </c>
      <c r="AB1243" s="3">
        <f t="shared" si="59"/>
        <v>180999.99</v>
      </c>
      <c r="AC1243" t="str">
        <f>IF(AB1243-S1243&lt;0,"YES","NO")</f>
        <v>YES</v>
      </c>
      <c r="AD1243">
        <f>IF(AC1243="NO",0,AB1243-S1243)</f>
        <v>-44000.010000000009</v>
      </c>
      <c r="AE1243" s="43">
        <v>0.08</v>
      </c>
      <c r="AF1243" s="3">
        <f t="shared" si="60"/>
        <v>-40740.750000000007</v>
      </c>
      <c r="AG1243" s="45">
        <f t="shared" si="61"/>
        <v>-44814.825000000012</v>
      </c>
      <c r="AH1243" s="55"/>
    </row>
    <row r="1244" spans="1:34" x14ac:dyDescent="0.25">
      <c r="A1244" t="s">
        <v>4551</v>
      </c>
      <c r="B1244" t="s">
        <v>4552</v>
      </c>
      <c r="C1244" t="s">
        <v>4553</v>
      </c>
      <c r="D1244" t="s">
        <v>4554</v>
      </c>
      <c r="E1244" t="s">
        <v>4555</v>
      </c>
      <c r="F1244" t="s">
        <v>4556</v>
      </c>
      <c r="G1244" t="s">
        <v>54</v>
      </c>
      <c r="H1244" t="s">
        <v>65</v>
      </c>
      <c r="I1244" t="s">
        <v>100</v>
      </c>
      <c r="J1244" t="s">
        <v>101</v>
      </c>
      <c r="K1244" t="s">
        <v>3</v>
      </c>
      <c r="L1244" t="s">
        <v>4</v>
      </c>
      <c r="M1244" t="s">
        <v>49</v>
      </c>
      <c r="N1244" t="s">
        <v>4557</v>
      </c>
      <c r="O1244" s="31" t="s">
        <v>4558</v>
      </c>
      <c r="P1244">
        <v>200</v>
      </c>
      <c r="R1244">
        <v>2</v>
      </c>
      <c r="S1244" s="31">
        <v>144000</v>
      </c>
      <c r="T1244" s="39">
        <v>160000</v>
      </c>
      <c r="U1244">
        <v>0</v>
      </c>
      <c r="V1244">
        <v>26000</v>
      </c>
      <c r="W1244">
        <v>0</v>
      </c>
      <c r="X1244" s="39">
        <v>38320</v>
      </c>
      <c r="Y1244">
        <v>0</v>
      </c>
      <c r="Z1244" s="31">
        <v>134000</v>
      </c>
      <c r="AA1244">
        <v>8</v>
      </c>
      <c r="AB1244" s="3">
        <f t="shared" si="59"/>
        <v>134000</v>
      </c>
      <c r="AC1244" t="str">
        <f>IF(AB1244-S1244&lt;0,"YES","NO")</f>
        <v>YES</v>
      </c>
      <c r="AD1244">
        <f>IF(AC1244="NO",0,AB1244-S1244)</f>
        <v>-10000</v>
      </c>
      <c r="AE1244" s="43">
        <v>0.08</v>
      </c>
      <c r="AF1244" s="3">
        <f t="shared" si="60"/>
        <v>-9259.2592592592591</v>
      </c>
      <c r="AG1244" s="45">
        <f t="shared" si="61"/>
        <v>-10185.185185185186</v>
      </c>
      <c r="AH1244" s="55"/>
    </row>
    <row r="1245" spans="1:34" x14ac:dyDescent="0.25">
      <c r="A1245" t="s">
        <v>4559</v>
      </c>
      <c r="B1245" t="s">
        <v>4560</v>
      </c>
      <c r="C1245" t="s">
        <v>4561</v>
      </c>
      <c r="D1245" t="s">
        <v>4562</v>
      </c>
      <c r="E1245" t="s">
        <v>4563</v>
      </c>
      <c r="F1245" t="s">
        <v>4564</v>
      </c>
      <c r="G1245" t="s">
        <v>5</v>
      </c>
      <c r="H1245" t="s">
        <v>61</v>
      </c>
      <c r="I1245" t="s">
        <v>62</v>
      </c>
      <c r="J1245" t="s">
        <v>63</v>
      </c>
      <c r="K1245" t="s">
        <v>3</v>
      </c>
      <c r="L1245" t="s">
        <v>4</v>
      </c>
      <c r="M1245" t="s">
        <v>49</v>
      </c>
      <c r="N1245" t="s">
        <v>4565</v>
      </c>
      <c r="O1245" s="31" t="s">
        <v>4566</v>
      </c>
      <c r="P1245">
        <v>20000</v>
      </c>
      <c r="Q1245" t="s">
        <v>64</v>
      </c>
      <c r="R1245">
        <v>1</v>
      </c>
      <c r="S1245" s="31">
        <v>0</v>
      </c>
      <c r="T1245" s="39">
        <v>0</v>
      </c>
      <c r="U1245">
        <v>0</v>
      </c>
      <c r="V1245">
        <v>0</v>
      </c>
      <c r="W1245">
        <v>0</v>
      </c>
      <c r="X1245" s="39">
        <v>0</v>
      </c>
      <c r="Y1245">
        <v>0</v>
      </c>
      <c r="Z1245" s="31">
        <v>0</v>
      </c>
      <c r="AA1245">
        <v>8</v>
      </c>
      <c r="AB1245" s="3">
        <f t="shared" si="59"/>
        <v>0</v>
      </c>
      <c r="AC1245" t="str">
        <f>IF(AB1245-S1245&lt;0,"YES","NO")</f>
        <v>NO</v>
      </c>
      <c r="AD1245">
        <f>IF(AC1245="NO",0,AB1245-S1245)</f>
        <v>0</v>
      </c>
      <c r="AE1245" s="43">
        <v>0.08</v>
      </c>
      <c r="AF1245" s="3">
        <f t="shared" si="60"/>
        <v>0</v>
      </c>
      <c r="AG1245" s="45">
        <f t="shared" si="61"/>
        <v>0</v>
      </c>
      <c r="AH1245" s="55"/>
    </row>
    <row r="1246" spans="1:34" x14ac:dyDescent="0.25">
      <c r="A1246" t="s">
        <v>4559</v>
      </c>
      <c r="B1246" t="s">
        <v>4560</v>
      </c>
      <c r="C1246" t="s">
        <v>4561</v>
      </c>
      <c r="D1246" t="s">
        <v>4562</v>
      </c>
      <c r="E1246" t="s">
        <v>4563</v>
      </c>
      <c r="F1246" t="s">
        <v>4564</v>
      </c>
      <c r="G1246" t="s">
        <v>5</v>
      </c>
      <c r="H1246" t="s">
        <v>65</v>
      </c>
      <c r="I1246" t="s">
        <v>82</v>
      </c>
      <c r="J1246" t="s">
        <v>83</v>
      </c>
      <c r="K1246" t="s">
        <v>3</v>
      </c>
      <c r="L1246" t="s">
        <v>4</v>
      </c>
      <c r="M1246" t="s">
        <v>49</v>
      </c>
      <c r="N1246" t="s">
        <v>4565</v>
      </c>
      <c r="O1246" s="31" t="s">
        <v>4566</v>
      </c>
      <c r="P1246">
        <v>220</v>
      </c>
      <c r="R1246">
        <v>3</v>
      </c>
      <c r="S1246" s="31">
        <v>225000</v>
      </c>
      <c r="T1246" s="39">
        <v>240000</v>
      </c>
      <c r="U1246">
        <v>35000.01</v>
      </c>
      <c r="V1246">
        <v>12999.99</v>
      </c>
      <c r="W1246">
        <v>0</v>
      </c>
      <c r="X1246" s="39">
        <v>73400.009999999995</v>
      </c>
      <c r="Y1246">
        <v>0</v>
      </c>
      <c r="Z1246" s="31">
        <v>192000</v>
      </c>
      <c r="AA1246">
        <v>8</v>
      </c>
      <c r="AB1246" s="3">
        <f t="shared" si="59"/>
        <v>192000</v>
      </c>
      <c r="AC1246" t="str">
        <f>IF(AB1246-S1246&lt;0,"YES","NO")</f>
        <v>YES</v>
      </c>
      <c r="AD1246">
        <f>IF(AC1246="NO",0,AB1246-S1246)</f>
        <v>-33000</v>
      </c>
      <c r="AE1246" s="43">
        <v>0.08</v>
      </c>
      <c r="AF1246" s="3">
        <f t="shared" si="60"/>
        <v>-30555.555555555555</v>
      </c>
      <c r="AG1246" s="45">
        <f t="shared" si="61"/>
        <v>-33611.111111111109</v>
      </c>
      <c r="AH1246" s="55"/>
    </row>
    <row r="1247" spans="1:34" x14ac:dyDescent="0.25">
      <c r="A1247" t="s">
        <v>4567</v>
      </c>
      <c r="B1247" t="s">
        <v>4568</v>
      </c>
      <c r="C1247" t="s">
        <v>4569</v>
      </c>
      <c r="D1247" t="s">
        <v>4570</v>
      </c>
      <c r="E1247" t="s">
        <v>4571</v>
      </c>
      <c r="F1247" t="s">
        <v>4572</v>
      </c>
      <c r="G1247" t="s">
        <v>5</v>
      </c>
      <c r="H1247" t="s">
        <v>61</v>
      </c>
      <c r="I1247" t="s">
        <v>62</v>
      </c>
      <c r="J1247" t="s">
        <v>63</v>
      </c>
      <c r="K1247" t="s">
        <v>3</v>
      </c>
      <c r="L1247" t="s">
        <v>4</v>
      </c>
      <c r="M1247" t="s">
        <v>49</v>
      </c>
      <c r="N1247" t="s">
        <v>4573</v>
      </c>
      <c r="O1247" s="31" t="s">
        <v>4574</v>
      </c>
      <c r="P1247">
        <v>20000</v>
      </c>
      <c r="Q1247" t="s">
        <v>64</v>
      </c>
      <c r="R1247">
        <v>1</v>
      </c>
      <c r="S1247" s="31">
        <v>0</v>
      </c>
      <c r="T1247" s="39">
        <v>0</v>
      </c>
      <c r="U1247">
        <v>0</v>
      </c>
      <c r="V1247">
        <v>0</v>
      </c>
      <c r="W1247">
        <v>0</v>
      </c>
      <c r="X1247" s="39">
        <v>0</v>
      </c>
      <c r="Y1247">
        <v>0</v>
      </c>
      <c r="Z1247" s="31">
        <v>0</v>
      </c>
      <c r="AA1247">
        <v>8</v>
      </c>
      <c r="AB1247" s="3">
        <f t="shared" si="59"/>
        <v>0</v>
      </c>
      <c r="AC1247" t="str">
        <f>IF(AB1247-S1247&lt;0,"YES","NO")</f>
        <v>NO</v>
      </c>
      <c r="AD1247">
        <f>IF(AC1247="NO",0,AB1247-S1247)</f>
        <v>0</v>
      </c>
      <c r="AE1247" s="43">
        <v>0.08</v>
      </c>
      <c r="AF1247" s="3">
        <f t="shared" si="60"/>
        <v>0</v>
      </c>
      <c r="AG1247" s="45">
        <f t="shared" si="61"/>
        <v>0</v>
      </c>
      <c r="AH1247" s="55"/>
    </row>
    <row r="1248" spans="1:34" x14ac:dyDescent="0.25">
      <c r="A1248" t="s">
        <v>4567</v>
      </c>
      <c r="B1248" t="s">
        <v>4568</v>
      </c>
      <c r="C1248" t="s">
        <v>4569</v>
      </c>
      <c r="D1248" t="s">
        <v>4570</v>
      </c>
      <c r="E1248" t="s">
        <v>4571</v>
      </c>
      <c r="F1248" t="s">
        <v>4572</v>
      </c>
      <c r="G1248" t="s">
        <v>5</v>
      </c>
      <c r="H1248" t="s">
        <v>61</v>
      </c>
      <c r="I1248" t="s">
        <v>62</v>
      </c>
      <c r="J1248" t="s">
        <v>63</v>
      </c>
      <c r="K1248" t="s">
        <v>3</v>
      </c>
      <c r="L1248" t="s">
        <v>4</v>
      </c>
      <c r="M1248" t="s">
        <v>49</v>
      </c>
      <c r="N1248" t="s">
        <v>4573</v>
      </c>
      <c r="O1248" s="31" t="s">
        <v>4574</v>
      </c>
      <c r="P1248">
        <v>20000</v>
      </c>
      <c r="Q1248" t="s">
        <v>64</v>
      </c>
      <c r="R1248">
        <v>1</v>
      </c>
      <c r="S1248" s="31">
        <v>0</v>
      </c>
      <c r="T1248" s="39">
        <v>0</v>
      </c>
      <c r="U1248">
        <v>0</v>
      </c>
      <c r="V1248">
        <v>0</v>
      </c>
      <c r="W1248">
        <v>0</v>
      </c>
      <c r="X1248" s="39">
        <v>0</v>
      </c>
      <c r="Y1248">
        <v>0</v>
      </c>
      <c r="Z1248" s="31">
        <v>0</v>
      </c>
      <c r="AA1248">
        <v>8</v>
      </c>
      <c r="AB1248" s="3">
        <f t="shared" si="59"/>
        <v>0</v>
      </c>
      <c r="AC1248" t="str">
        <f>IF(AB1248-S1248&lt;0,"YES","NO")</f>
        <v>NO</v>
      </c>
      <c r="AD1248">
        <f>IF(AC1248="NO",0,AB1248-S1248)</f>
        <v>0</v>
      </c>
      <c r="AE1248" s="43">
        <v>0.08</v>
      </c>
      <c r="AF1248" s="3">
        <f t="shared" si="60"/>
        <v>0</v>
      </c>
      <c r="AG1248" s="45">
        <f t="shared" si="61"/>
        <v>0</v>
      </c>
      <c r="AH1248" s="55"/>
    </row>
    <row r="1249" spans="1:34" x14ac:dyDescent="0.25">
      <c r="A1249" t="s">
        <v>4567</v>
      </c>
      <c r="B1249" t="s">
        <v>4568</v>
      </c>
      <c r="C1249" t="s">
        <v>4569</v>
      </c>
      <c r="D1249" t="s">
        <v>4570</v>
      </c>
      <c r="E1249" t="s">
        <v>4571</v>
      </c>
      <c r="F1249" t="s">
        <v>4572</v>
      </c>
      <c r="G1249" t="s">
        <v>5</v>
      </c>
      <c r="H1249" t="s">
        <v>65</v>
      </c>
      <c r="I1249" t="s">
        <v>68</v>
      </c>
      <c r="J1249" t="s">
        <v>69</v>
      </c>
      <c r="K1249" t="s">
        <v>3</v>
      </c>
      <c r="L1249" t="s">
        <v>4</v>
      </c>
      <c r="M1249" t="s">
        <v>49</v>
      </c>
      <c r="N1249" t="s">
        <v>4573</v>
      </c>
      <c r="O1249" s="31" t="s">
        <v>4574</v>
      </c>
      <c r="P1249">
        <v>220</v>
      </c>
      <c r="Q1249" t="s">
        <v>70</v>
      </c>
      <c r="R1249">
        <v>1</v>
      </c>
      <c r="S1249" s="31">
        <v>59000</v>
      </c>
      <c r="T1249" s="39">
        <v>65000</v>
      </c>
      <c r="U1249">
        <v>11666.67</v>
      </c>
      <c r="V1249">
        <v>5000</v>
      </c>
      <c r="W1249">
        <v>0</v>
      </c>
      <c r="X1249" s="39">
        <v>17466.669999999998</v>
      </c>
      <c r="Y1249">
        <v>0</v>
      </c>
      <c r="Z1249" s="31">
        <v>48333.33</v>
      </c>
      <c r="AA1249">
        <v>8</v>
      </c>
      <c r="AB1249" s="3">
        <f t="shared" si="59"/>
        <v>48333.33</v>
      </c>
      <c r="AC1249" t="str">
        <f>IF(AB1249-S1249&lt;0,"YES","NO")</f>
        <v>YES</v>
      </c>
      <c r="AD1249">
        <f>IF(AC1249="NO",0,AB1249-S1249)</f>
        <v>-10666.669999999998</v>
      </c>
      <c r="AE1249" s="43">
        <v>0.08</v>
      </c>
      <c r="AF1249" s="3">
        <f t="shared" si="60"/>
        <v>-9876.5462962962938</v>
      </c>
      <c r="AG1249" s="45">
        <f t="shared" si="61"/>
        <v>-10864.200925925925</v>
      </c>
      <c r="AH1249" s="55"/>
    </row>
    <row r="1250" spans="1:34" x14ac:dyDescent="0.25">
      <c r="A1250" t="s">
        <v>4567</v>
      </c>
      <c r="B1250" t="s">
        <v>4568</v>
      </c>
      <c r="C1250" t="s">
        <v>4569</v>
      </c>
      <c r="D1250" t="s">
        <v>4570</v>
      </c>
      <c r="E1250" t="s">
        <v>4571</v>
      </c>
      <c r="F1250" t="s">
        <v>4572</v>
      </c>
      <c r="G1250" t="s">
        <v>5</v>
      </c>
      <c r="H1250" t="s">
        <v>65</v>
      </c>
      <c r="I1250" t="s">
        <v>71</v>
      </c>
      <c r="J1250" t="s">
        <v>72</v>
      </c>
      <c r="K1250" t="s">
        <v>3</v>
      </c>
      <c r="L1250" t="s">
        <v>4</v>
      </c>
      <c r="M1250" t="s">
        <v>49</v>
      </c>
      <c r="N1250" t="s">
        <v>4573</v>
      </c>
      <c r="O1250" s="31" t="s">
        <v>4574</v>
      </c>
      <c r="P1250">
        <v>220</v>
      </c>
      <c r="Q1250" t="s">
        <v>70</v>
      </c>
      <c r="R1250">
        <v>1</v>
      </c>
      <c r="S1250" s="31">
        <v>59000</v>
      </c>
      <c r="T1250" s="39">
        <v>65000</v>
      </c>
      <c r="U1250">
        <v>11666.67</v>
      </c>
      <c r="V1250">
        <v>5000</v>
      </c>
      <c r="W1250">
        <v>0</v>
      </c>
      <c r="X1250" s="39">
        <v>17466.669999999998</v>
      </c>
      <c r="Y1250">
        <v>0</v>
      </c>
      <c r="Z1250" s="31">
        <v>48333.33</v>
      </c>
      <c r="AA1250">
        <v>8</v>
      </c>
      <c r="AB1250" s="3">
        <f t="shared" si="59"/>
        <v>48333.33</v>
      </c>
      <c r="AC1250" t="str">
        <f>IF(AB1250-S1250&lt;0,"YES","NO")</f>
        <v>YES</v>
      </c>
      <c r="AD1250">
        <f>IF(AC1250="NO",0,AB1250-S1250)</f>
        <v>-10666.669999999998</v>
      </c>
      <c r="AE1250" s="43">
        <v>0.08</v>
      </c>
      <c r="AF1250" s="3">
        <f t="shared" si="60"/>
        <v>-9876.5462962962938</v>
      </c>
      <c r="AG1250" s="45">
        <f t="shared" si="61"/>
        <v>-10864.200925925925</v>
      </c>
      <c r="AH1250" s="55"/>
    </row>
    <row r="1251" spans="1:34" x14ac:dyDescent="0.25">
      <c r="A1251" t="s">
        <v>4567</v>
      </c>
      <c r="B1251" t="s">
        <v>4568</v>
      </c>
      <c r="C1251" t="s">
        <v>4569</v>
      </c>
      <c r="D1251" t="s">
        <v>4570</v>
      </c>
      <c r="E1251" t="s">
        <v>4571</v>
      </c>
      <c r="F1251" t="s">
        <v>4572</v>
      </c>
      <c r="G1251" t="s">
        <v>5</v>
      </c>
      <c r="H1251" t="s">
        <v>65</v>
      </c>
      <c r="I1251" t="s">
        <v>73</v>
      </c>
      <c r="J1251" t="s">
        <v>74</v>
      </c>
      <c r="K1251" t="s">
        <v>3</v>
      </c>
      <c r="L1251" t="s">
        <v>4</v>
      </c>
      <c r="M1251" t="s">
        <v>49</v>
      </c>
      <c r="N1251" t="s">
        <v>4573</v>
      </c>
      <c r="O1251" s="31" t="s">
        <v>4574</v>
      </c>
      <c r="P1251">
        <v>220</v>
      </c>
      <c r="Q1251" t="s">
        <v>70</v>
      </c>
      <c r="R1251">
        <v>1</v>
      </c>
      <c r="S1251" s="31">
        <v>59000</v>
      </c>
      <c r="T1251" s="39">
        <v>65000</v>
      </c>
      <c r="U1251">
        <v>11666.67</v>
      </c>
      <c r="V1251">
        <v>5000</v>
      </c>
      <c r="W1251">
        <v>0</v>
      </c>
      <c r="X1251" s="39">
        <v>17466.669999999998</v>
      </c>
      <c r="Y1251">
        <v>0</v>
      </c>
      <c r="Z1251" s="31">
        <v>48333.33</v>
      </c>
      <c r="AA1251">
        <v>8</v>
      </c>
      <c r="AB1251" s="3">
        <f t="shared" si="59"/>
        <v>48333.33</v>
      </c>
      <c r="AC1251" t="str">
        <f>IF(AB1251-S1251&lt;0,"YES","NO")</f>
        <v>YES</v>
      </c>
      <c r="AD1251">
        <f>IF(AC1251="NO",0,AB1251-S1251)</f>
        <v>-10666.669999999998</v>
      </c>
      <c r="AE1251" s="43">
        <v>0.08</v>
      </c>
      <c r="AF1251" s="3">
        <f t="shared" si="60"/>
        <v>-9876.5462962962938</v>
      </c>
      <c r="AG1251" s="45">
        <f t="shared" si="61"/>
        <v>-10864.200925925925</v>
      </c>
      <c r="AH1251" s="55"/>
    </row>
    <row r="1252" spans="1:34" x14ac:dyDescent="0.25">
      <c r="A1252" t="s">
        <v>4567</v>
      </c>
      <c r="B1252" t="s">
        <v>4568</v>
      </c>
      <c r="C1252" t="s">
        <v>4569</v>
      </c>
      <c r="D1252" t="s">
        <v>4570</v>
      </c>
      <c r="E1252" t="s">
        <v>4571</v>
      </c>
      <c r="F1252" t="s">
        <v>4572</v>
      </c>
      <c r="G1252" t="s">
        <v>5</v>
      </c>
      <c r="H1252" t="s">
        <v>65</v>
      </c>
      <c r="I1252" t="s">
        <v>87</v>
      </c>
      <c r="J1252" t="s">
        <v>88</v>
      </c>
      <c r="K1252" t="s">
        <v>3</v>
      </c>
      <c r="L1252" t="s">
        <v>4</v>
      </c>
      <c r="M1252" t="s">
        <v>49</v>
      </c>
      <c r="N1252" t="s">
        <v>4573</v>
      </c>
      <c r="O1252" s="31" t="s">
        <v>4574</v>
      </c>
      <c r="P1252">
        <v>220</v>
      </c>
      <c r="Q1252" t="s">
        <v>89</v>
      </c>
      <c r="R1252">
        <v>1</v>
      </c>
      <c r="S1252" s="31">
        <v>59000</v>
      </c>
      <c r="T1252" s="39">
        <v>70000</v>
      </c>
      <c r="U1252">
        <v>0</v>
      </c>
      <c r="V1252">
        <v>6500</v>
      </c>
      <c r="W1252">
        <v>0</v>
      </c>
      <c r="X1252" s="39">
        <v>7620</v>
      </c>
      <c r="Y1252">
        <v>0</v>
      </c>
      <c r="Z1252" s="31">
        <v>63500</v>
      </c>
      <c r="AA1252">
        <v>8</v>
      </c>
      <c r="AB1252" s="3">
        <f t="shared" si="59"/>
        <v>63500</v>
      </c>
      <c r="AC1252" t="str">
        <f>IF(AB1252-S1252&lt;0,"YES","NO")</f>
        <v>NO</v>
      </c>
      <c r="AD1252">
        <f>IF(AC1252="NO",0,AB1252-S1252)</f>
        <v>0</v>
      </c>
      <c r="AE1252" s="43">
        <v>0.08</v>
      </c>
      <c r="AF1252" s="3">
        <f t="shared" si="60"/>
        <v>0</v>
      </c>
      <c r="AG1252" s="45">
        <f t="shared" si="61"/>
        <v>0</v>
      </c>
      <c r="AH1252" s="55"/>
    </row>
    <row r="1253" spans="1:34" x14ac:dyDescent="0.25">
      <c r="A1253" t="s">
        <v>4567</v>
      </c>
      <c r="B1253" t="s">
        <v>4568</v>
      </c>
      <c r="C1253" t="s">
        <v>4569</v>
      </c>
      <c r="D1253" t="s">
        <v>4570</v>
      </c>
      <c r="E1253" t="s">
        <v>4571</v>
      </c>
      <c r="F1253" t="s">
        <v>4572</v>
      </c>
      <c r="G1253" t="s">
        <v>5</v>
      </c>
      <c r="H1253" t="s">
        <v>65</v>
      </c>
      <c r="I1253" t="s">
        <v>90</v>
      </c>
      <c r="J1253" t="s">
        <v>91</v>
      </c>
      <c r="K1253" t="s">
        <v>3</v>
      </c>
      <c r="L1253" t="s">
        <v>4</v>
      </c>
      <c r="M1253" t="s">
        <v>49</v>
      </c>
      <c r="N1253" t="s">
        <v>4573</v>
      </c>
      <c r="O1253" s="31" t="s">
        <v>4574</v>
      </c>
      <c r="P1253">
        <v>220</v>
      </c>
      <c r="Q1253" t="s">
        <v>92</v>
      </c>
      <c r="R1253">
        <v>1</v>
      </c>
      <c r="S1253" s="31">
        <v>59000</v>
      </c>
      <c r="T1253" s="39">
        <v>70000</v>
      </c>
      <c r="U1253">
        <v>0</v>
      </c>
      <c r="V1253">
        <v>6500</v>
      </c>
      <c r="W1253">
        <v>0</v>
      </c>
      <c r="X1253" s="39">
        <v>7620</v>
      </c>
      <c r="Y1253">
        <v>0</v>
      </c>
      <c r="Z1253" s="31">
        <v>63500</v>
      </c>
      <c r="AA1253">
        <v>8</v>
      </c>
      <c r="AB1253" s="3">
        <f t="shared" si="59"/>
        <v>63500</v>
      </c>
      <c r="AC1253" t="str">
        <f>IF(AB1253-S1253&lt;0,"YES","NO")</f>
        <v>NO</v>
      </c>
      <c r="AD1253">
        <f>IF(AC1253="NO",0,AB1253-S1253)</f>
        <v>0</v>
      </c>
      <c r="AE1253" s="43">
        <v>0.08</v>
      </c>
      <c r="AF1253" s="3">
        <f t="shared" si="60"/>
        <v>0</v>
      </c>
      <c r="AG1253" s="45">
        <f t="shared" si="61"/>
        <v>0</v>
      </c>
      <c r="AH1253" s="55"/>
    </row>
    <row r="1254" spans="1:34" x14ac:dyDescent="0.25">
      <c r="A1254" t="s">
        <v>4567</v>
      </c>
      <c r="B1254" t="s">
        <v>4568</v>
      </c>
      <c r="C1254" t="s">
        <v>4569</v>
      </c>
      <c r="D1254" t="s">
        <v>4570</v>
      </c>
      <c r="E1254" t="s">
        <v>4571</v>
      </c>
      <c r="F1254" t="s">
        <v>4572</v>
      </c>
      <c r="G1254" t="s">
        <v>5</v>
      </c>
      <c r="H1254" t="s">
        <v>65</v>
      </c>
      <c r="I1254" t="s">
        <v>66</v>
      </c>
      <c r="J1254" t="s">
        <v>67</v>
      </c>
      <c r="K1254" t="s">
        <v>3</v>
      </c>
      <c r="L1254" t="s">
        <v>4</v>
      </c>
      <c r="M1254" t="s">
        <v>49</v>
      </c>
      <c r="N1254" t="s">
        <v>4573</v>
      </c>
      <c r="O1254" s="31" t="s">
        <v>4574</v>
      </c>
      <c r="P1254">
        <v>220</v>
      </c>
      <c r="R1254">
        <v>2</v>
      </c>
      <c r="S1254" s="31">
        <v>150000</v>
      </c>
      <c r="T1254" s="39">
        <v>160000</v>
      </c>
      <c r="U1254">
        <v>0</v>
      </c>
      <c r="V1254">
        <v>16000</v>
      </c>
      <c r="W1254">
        <v>0</v>
      </c>
      <c r="X1254" s="39">
        <v>17280</v>
      </c>
      <c r="Y1254">
        <v>0</v>
      </c>
      <c r="Z1254" s="31">
        <v>144000</v>
      </c>
      <c r="AA1254">
        <v>8</v>
      </c>
      <c r="AB1254" s="3">
        <f t="shared" si="59"/>
        <v>144000</v>
      </c>
      <c r="AC1254" t="str">
        <f>IF(AB1254-S1254&lt;0,"YES","NO")</f>
        <v>YES</v>
      </c>
      <c r="AD1254">
        <f>IF(AC1254="NO",0,AB1254-S1254)</f>
        <v>-6000</v>
      </c>
      <c r="AE1254" s="43">
        <v>0.08</v>
      </c>
      <c r="AF1254" s="3">
        <f t="shared" si="60"/>
        <v>-5555.5555555555547</v>
      </c>
      <c r="AG1254" s="45">
        <f t="shared" si="61"/>
        <v>-6111.1111111111104</v>
      </c>
      <c r="AH1254" s="55"/>
    </row>
    <row r="1255" spans="1:34" x14ac:dyDescent="0.25">
      <c r="A1255" t="s">
        <v>4575</v>
      </c>
      <c r="B1255" t="s">
        <v>4576</v>
      </c>
      <c r="C1255" t="s">
        <v>4577</v>
      </c>
      <c r="D1255" t="s">
        <v>4578</v>
      </c>
      <c r="E1255" t="s">
        <v>4579</v>
      </c>
      <c r="F1255" t="s">
        <v>4580</v>
      </c>
      <c r="G1255" t="s">
        <v>5</v>
      </c>
      <c r="H1255" t="s">
        <v>61</v>
      </c>
      <c r="I1255" t="s">
        <v>62</v>
      </c>
      <c r="J1255" t="s">
        <v>63</v>
      </c>
      <c r="K1255" t="s">
        <v>3</v>
      </c>
      <c r="L1255" t="s">
        <v>4</v>
      </c>
      <c r="M1255" t="s">
        <v>49</v>
      </c>
      <c r="N1255" t="s">
        <v>4581</v>
      </c>
      <c r="O1255" s="31" t="s">
        <v>4582</v>
      </c>
      <c r="P1255">
        <v>20000</v>
      </c>
      <c r="Q1255" t="s">
        <v>64</v>
      </c>
      <c r="R1255">
        <v>1</v>
      </c>
      <c r="S1255" s="31">
        <v>0</v>
      </c>
      <c r="T1255" s="39">
        <v>0</v>
      </c>
      <c r="U1255">
        <v>0</v>
      </c>
      <c r="V1255">
        <v>0</v>
      </c>
      <c r="W1255">
        <v>0</v>
      </c>
      <c r="X1255" s="39">
        <v>0</v>
      </c>
      <c r="Y1255">
        <v>0</v>
      </c>
      <c r="Z1255" s="31">
        <v>0</v>
      </c>
      <c r="AA1255">
        <v>8</v>
      </c>
      <c r="AB1255" s="3">
        <f t="shared" si="59"/>
        <v>0</v>
      </c>
      <c r="AC1255" t="str">
        <f>IF(AB1255-S1255&lt;0,"YES","NO")</f>
        <v>NO</v>
      </c>
      <c r="AD1255">
        <f>IF(AC1255="NO",0,AB1255-S1255)</f>
        <v>0</v>
      </c>
      <c r="AE1255" s="43">
        <v>0.08</v>
      </c>
      <c r="AF1255" s="3">
        <f t="shared" si="60"/>
        <v>0</v>
      </c>
      <c r="AG1255" s="45">
        <f t="shared" si="61"/>
        <v>0</v>
      </c>
      <c r="AH1255" s="55"/>
    </row>
    <row r="1256" spans="1:34" x14ac:dyDescent="0.25">
      <c r="A1256" t="s">
        <v>4575</v>
      </c>
      <c r="B1256" t="s">
        <v>4576</v>
      </c>
      <c r="C1256" t="s">
        <v>4577</v>
      </c>
      <c r="D1256" t="s">
        <v>4578</v>
      </c>
      <c r="E1256" t="s">
        <v>4579</v>
      </c>
      <c r="F1256" t="s">
        <v>4580</v>
      </c>
      <c r="G1256" t="s">
        <v>5</v>
      </c>
      <c r="H1256" t="s">
        <v>65</v>
      </c>
      <c r="I1256" t="s">
        <v>87</v>
      </c>
      <c r="J1256" t="s">
        <v>88</v>
      </c>
      <c r="K1256" t="s">
        <v>3</v>
      </c>
      <c r="L1256" t="s">
        <v>4</v>
      </c>
      <c r="M1256" t="s">
        <v>49</v>
      </c>
      <c r="N1256" t="s">
        <v>4581</v>
      </c>
      <c r="O1256" s="31" t="s">
        <v>4582</v>
      </c>
      <c r="P1256">
        <v>220</v>
      </c>
      <c r="Q1256" t="s">
        <v>89</v>
      </c>
      <c r="R1256">
        <v>1</v>
      </c>
      <c r="S1256" s="31">
        <v>59000</v>
      </c>
      <c r="T1256" s="39">
        <v>70000</v>
      </c>
      <c r="U1256">
        <v>10000</v>
      </c>
      <c r="V1256">
        <v>6500</v>
      </c>
      <c r="W1256">
        <v>0</v>
      </c>
      <c r="X1256" s="39">
        <v>16420</v>
      </c>
      <c r="Y1256">
        <v>0</v>
      </c>
      <c r="Z1256" s="31">
        <v>53500</v>
      </c>
      <c r="AA1256">
        <v>8</v>
      </c>
      <c r="AB1256" s="3">
        <f t="shared" si="59"/>
        <v>53500</v>
      </c>
      <c r="AC1256" t="str">
        <f>IF(AB1256-S1256&lt;0,"YES","NO")</f>
        <v>YES</v>
      </c>
      <c r="AD1256">
        <f>IF(AC1256="NO",0,AB1256-S1256)</f>
        <v>-5500</v>
      </c>
      <c r="AE1256" s="43">
        <v>0.08</v>
      </c>
      <c r="AF1256" s="3">
        <f t="shared" si="60"/>
        <v>-5092.5925925925922</v>
      </c>
      <c r="AG1256" s="45">
        <f t="shared" si="61"/>
        <v>-5601.8518518518522</v>
      </c>
      <c r="AH1256" s="55"/>
    </row>
    <row r="1257" spans="1:34" x14ac:dyDescent="0.25">
      <c r="A1257" t="s">
        <v>4575</v>
      </c>
      <c r="B1257" t="s">
        <v>4576</v>
      </c>
      <c r="C1257" t="s">
        <v>4577</v>
      </c>
      <c r="D1257" t="s">
        <v>4578</v>
      </c>
      <c r="E1257" t="s">
        <v>4579</v>
      </c>
      <c r="F1257" t="s">
        <v>4580</v>
      </c>
      <c r="G1257" t="s">
        <v>5</v>
      </c>
      <c r="H1257" t="s">
        <v>65</v>
      </c>
      <c r="I1257" t="s">
        <v>90</v>
      </c>
      <c r="J1257" t="s">
        <v>91</v>
      </c>
      <c r="K1257" t="s">
        <v>3</v>
      </c>
      <c r="L1257" t="s">
        <v>4</v>
      </c>
      <c r="M1257" t="s">
        <v>49</v>
      </c>
      <c r="N1257" t="s">
        <v>4581</v>
      </c>
      <c r="O1257" s="31" t="s">
        <v>4582</v>
      </c>
      <c r="P1257">
        <v>220</v>
      </c>
      <c r="Q1257" t="s">
        <v>92</v>
      </c>
      <c r="R1257">
        <v>1</v>
      </c>
      <c r="S1257" s="31">
        <v>59000</v>
      </c>
      <c r="T1257" s="39">
        <v>70000</v>
      </c>
      <c r="U1257">
        <v>10000</v>
      </c>
      <c r="V1257">
        <v>6500</v>
      </c>
      <c r="W1257">
        <v>0</v>
      </c>
      <c r="X1257" s="39">
        <v>16420</v>
      </c>
      <c r="Y1257">
        <v>0</v>
      </c>
      <c r="Z1257" s="31">
        <v>53500</v>
      </c>
      <c r="AA1257">
        <v>8</v>
      </c>
      <c r="AB1257" s="3">
        <f t="shared" si="59"/>
        <v>53500</v>
      </c>
      <c r="AC1257" t="str">
        <f>IF(AB1257-S1257&lt;0,"YES","NO")</f>
        <v>YES</v>
      </c>
      <c r="AD1257">
        <f>IF(AC1257="NO",0,AB1257-S1257)</f>
        <v>-5500</v>
      </c>
      <c r="AE1257" s="43">
        <v>0.08</v>
      </c>
      <c r="AF1257" s="3">
        <f t="shared" si="60"/>
        <v>-5092.5925925925922</v>
      </c>
      <c r="AG1257" s="45">
        <f t="shared" si="61"/>
        <v>-5601.8518518518522</v>
      </c>
      <c r="AH1257" s="55"/>
    </row>
    <row r="1258" spans="1:34" x14ac:dyDescent="0.25">
      <c r="A1258" t="s">
        <v>4583</v>
      </c>
      <c r="B1258" t="s">
        <v>4584</v>
      </c>
      <c r="C1258" t="s">
        <v>4585</v>
      </c>
      <c r="D1258" t="s">
        <v>4586</v>
      </c>
      <c r="E1258" t="s">
        <v>4587</v>
      </c>
      <c r="F1258" t="s">
        <v>4588</v>
      </c>
      <c r="G1258" t="s">
        <v>5</v>
      </c>
      <c r="H1258" t="s">
        <v>61</v>
      </c>
      <c r="I1258" t="s">
        <v>62</v>
      </c>
      <c r="J1258" t="s">
        <v>63</v>
      </c>
      <c r="K1258" t="s">
        <v>3</v>
      </c>
      <c r="L1258" t="s">
        <v>4</v>
      </c>
      <c r="M1258" t="s">
        <v>49</v>
      </c>
      <c r="N1258" t="s">
        <v>4589</v>
      </c>
      <c r="O1258" s="31" t="s">
        <v>4590</v>
      </c>
      <c r="P1258">
        <v>20000</v>
      </c>
      <c r="Q1258" t="s">
        <v>64</v>
      </c>
      <c r="R1258">
        <v>1</v>
      </c>
      <c r="S1258" s="31">
        <v>0</v>
      </c>
      <c r="T1258" s="39">
        <v>0</v>
      </c>
      <c r="U1258">
        <v>0</v>
      </c>
      <c r="V1258">
        <v>0</v>
      </c>
      <c r="W1258">
        <v>0</v>
      </c>
      <c r="X1258" s="39">
        <v>0</v>
      </c>
      <c r="Y1258">
        <v>0</v>
      </c>
      <c r="Z1258" s="31">
        <v>0</v>
      </c>
      <c r="AA1258">
        <v>8</v>
      </c>
      <c r="AB1258" s="3">
        <f t="shared" si="59"/>
        <v>0</v>
      </c>
      <c r="AC1258" t="str">
        <f>IF(AB1258-S1258&lt;0,"YES","NO")</f>
        <v>NO</v>
      </c>
      <c r="AD1258">
        <f>IF(AC1258="NO",0,AB1258-S1258)</f>
        <v>0</v>
      </c>
      <c r="AE1258" s="43">
        <v>0.08</v>
      </c>
      <c r="AF1258" s="3">
        <f t="shared" si="60"/>
        <v>0</v>
      </c>
      <c r="AG1258" s="45">
        <f t="shared" si="61"/>
        <v>0</v>
      </c>
      <c r="AH1258" s="55"/>
    </row>
    <row r="1259" spans="1:34" x14ac:dyDescent="0.25">
      <c r="A1259" t="s">
        <v>4583</v>
      </c>
      <c r="B1259" t="s">
        <v>4584</v>
      </c>
      <c r="C1259" t="s">
        <v>4585</v>
      </c>
      <c r="D1259" t="s">
        <v>4586</v>
      </c>
      <c r="E1259" t="s">
        <v>4587</v>
      </c>
      <c r="F1259" t="s">
        <v>4588</v>
      </c>
      <c r="G1259" t="s">
        <v>5</v>
      </c>
      <c r="H1259" t="s">
        <v>65</v>
      </c>
      <c r="I1259" t="s">
        <v>66</v>
      </c>
      <c r="J1259" t="s">
        <v>67</v>
      </c>
      <c r="K1259" t="s">
        <v>3</v>
      </c>
      <c r="L1259" t="s">
        <v>4</v>
      </c>
      <c r="M1259" t="s">
        <v>49</v>
      </c>
      <c r="N1259" t="s">
        <v>4589</v>
      </c>
      <c r="O1259" s="31" t="s">
        <v>4590</v>
      </c>
      <c r="P1259">
        <v>220</v>
      </c>
      <c r="R1259">
        <v>3</v>
      </c>
      <c r="S1259" s="31">
        <v>225000</v>
      </c>
      <c r="T1259" s="39">
        <v>240000</v>
      </c>
      <c r="U1259">
        <v>35000.01</v>
      </c>
      <c r="V1259">
        <v>24000</v>
      </c>
      <c r="W1259">
        <v>0</v>
      </c>
      <c r="X1259" s="39">
        <v>56720.01</v>
      </c>
      <c r="Y1259">
        <v>0</v>
      </c>
      <c r="Z1259" s="31">
        <v>180999.99</v>
      </c>
      <c r="AA1259">
        <v>8</v>
      </c>
      <c r="AB1259" s="3">
        <f t="shared" si="59"/>
        <v>180999.99</v>
      </c>
      <c r="AC1259" t="str">
        <f>IF(AB1259-S1259&lt;0,"YES","NO")</f>
        <v>YES</v>
      </c>
      <c r="AD1259">
        <f>IF(AC1259="NO",0,AB1259-S1259)</f>
        <v>-44000.010000000009</v>
      </c>
      <c r="AE1259" s="43">
        <v>0.08</v>
      </c>
      <c r="AF1259" s="3">
        <f t="shared" si="60"/>
        <v>-40740.750000000007</v>
      </c>
      <c r="AG1259" s="45">
        <f t="shared" si="61"/>
        <v>-44814.825000000012</v>
      </c>
      <c r="AH1259" s="55"/>
    </row>
    <row r="1260" spans="1:34" x14ac:dyDescent="0.25">
      <c r="A1260" t="s">
        <v>4591</v>
      </c>
      <c r="B1260" t="s">
        <v>4592</v>
      </c>
      <c r="C1260" t="s">
        <v>4593</v>
      </c>
      <c r="D1260" t="s">
        <v>4594</v>
      </c>
      <c r="E1260" t="s">
        <v>4595</v>
      </c>
      <c r="F1260" t="s">
        <v>4596</v>
      </c>
      <c r="G1260" t="s">
        <v>5</v>
      </c>
      <c r="H1260" t="s">
        <v>61</v>
      </c>
      <c r="I1260" t="s">
        <v>62</v>
      </c>
      <c r="J1260" t="s">
        <v>63</v>
      </c>
      <c r="K1260" t="s">
        <v>3</v>
      </c>
      <c r="L1260" t="s">
        <v>4</v>
      </c>
      <c r="M1260" t="s">
        <v>49</v>
      </c>
      <c r="N1260" t="s">
        <v>4597</v>
      </c>
      <c r="O1260" s="31" t="s">
        <v>4598</v>
      </c>
      <c r="P1260">
        <v>20000</v>
      </c>
      <c r="Q1260" t="s">
        <v>64</v>
      </c>
      <c r="R1260">
        <v>1</v>
      </c>
      <c r="S1260" s="31">
        <v>0</v>
      </c>
      <c r="T1260" s="39">
        <v>0</v>
      </c>
      <c r="U1260">
        <v>0</v>
      </c>
      <c r="V1260">
        <v>0</v>
      </c>
      <c r="W1260">
        <v>0</v>
      </c>
      <c r="X1260" s="39">
        <v>0</v>
      </c>
      <c r="Y1260">
        <v>0</v>
      </c>
      <c r="Z1260" s="31">
        <v>0</v>
      </c>
      <c r="AA1260">
        <v>8</v>
      </c>
      <c r="AB1260" s="3">
        <f t="shared" si="59"/>
        <v>0</v>
      </c>
      <c r="AC1260" t="str">
        <f>IF(AB1260-S1260&lt;0,"YES","NO")</f>
        <v>NO</v>
      </c>
      <c r="AD1260">
        <f>IF(AC1260="NO",0,AB1260-S1260)</f>
        <v>0</v>
      </c>
      <c r="AE1260" s="43">
        <v>0.08</v>
      </c>
      <c r="AF1260" s="3">
        <f t="shared" si="60"/>
        <v>0</v>
      </c>
      <c r="AG1260" s="45">
        <f t="shared" si="61"/>
        <v>0</v>
      </c>
      <c r="AH1260" s="55"/>
    </row>
    <row r="1261" spans="1:34" x14ac:dyDescent="0.25">
      <c r="A1261" t="s">
        <v>4591</v>
      </c>
      <c r="B1261" t="s">
        <v>4592</v>
      </c>
      <c r="C1261" t="s">
        <v>4593</v>
      </c>
      <c r="D1261" t="s">
        <v>4594</v>
      </c>
      <c r="E1261" t="s">
        <v>4595</v>
      </c>
      <c r="F1261" t="s">
        <v>4596</v>
      </c>
      <c r="G1261" t="s">
        <v>5</v>
      </c>
      <c r="H1261" t="s">
        <v>61</v>
      </c>
      <c r="I1261" t="s">
        <v>62</v>
      </c>
      <c r="J1261" t="s">
        <v>63</v>
      </c>
      <c r="K1261" t="s">
        <v>3</v>
      </c>
      <c r="L1261" t="s">
        <v>4</v>
      </c>
      <c r="M1261" t="s">
        <v>49</v>
      </c>
      <c r="N1261" t="s">
        <v>4597</v>
      </c>
      <c r="O1261" s="31" t="s">
        <v>4598</v>
      </c>
      <c r="P1261">
        <v>20000</v>
      </c>
      <c r="Q1261" t="s">
        <v>64</v>
      </c>
      <c r="R1261">
        <v>1</v>
      </c>
      <c r="S1261" s="31">
        <v>0</v>
      </c>
      <c r="T1261" s="39">
        <v>0</v>
      </c>
      <c r="U1261">
        <v>0</v>
      </c>
      <c r="V1261">
        <v>0</v>
      </c>
      <c r="W1261">
        <v>0</v>
      </c>
      <c r="X1261" s="39">
        <v>0</v>
      </c>
      <c r="Y1261">
        <v>0</v>
      </c>
      <c r="Z1261" s="31">
        <v>0</v>
      </c>
      <c r="AA1261">
        <v>8</v>
      </c>
      <c r="AB1261" s="3">
        <f t="shared" si="59"/>
        <v>0</v>
      </c>
      <c r="AC1261" t="str">
        <f>IF(AB1261-S1261&lt;0,"YES","NO")</f>
        <v>NO</v>
      </c>
      <c r="AD1261">
        <f>IF(AC1261="NO",0,AB1261-S1261)</f>
        <v>0</v>
      </c>
      <c r="AE1261" s="43">
        <v>0.08</v>
      </c>
      <c r="AF1261" s="3">
        <f t="shared" si="60"/>
        <v>0</v>
      </c>
      <c r="AG1261" s="45">
        <f t="shared" si="61"/>
        <v>0</v>
      </c>
      <c r="AH1261" s="55"/>
    </row>
    <row r="1262" spans="1:34" x14ac:dyDescent="0.25">
      <c r="A1262" t="s">
        <v>4591</v>
      </c>
      <c r="B1262" t="s">
        <v>4592</v>
      </c>
      <c r="C1262" t="s">
        <v>4593</v>
      </c>
      <c r="D1262" t="s">
        <v>4594</v>
      </c>
      <c r="E1262" t="s">
        <v>4595</v>
      </c>
      <c r="F1262" t="s">
        <v>4596</v>
      </c>
      <c r="G1262" t="s">
        <v>5</v>
      </c>
      <c r="H1262" t="s">
        <v>65</v>
      </c>
      <c r="I1262" t="s">
        <v>71</v>
      </c>
      <c r="J1262" t="s">
        <v>72</v>
      </c>
      <c r="K1262" t="s">
        <v>3</v>
      </c>
      <c r="L1262" t="s">
        <v>4</v>
      </c>
      <c r="M1262" t="s">
        <v>49</v>
      </c>
      <c r="N1262" t="s">
        <v>4597</v>
      </c>
      <c r="O1262" s="31" t="s">
        <v>4598</v>
      </c>
      <c r="P1262">
        <v>220</v>
      </c>
      <c r="Q1262" t="s">
        <v>70</v>
      </c>
      <c r="R1262">
        <v>2</v>
      </c>
      <c r="S1262" s="31">
        <v>118000</v>
      </c>
      <c r="T1262" s="39">
        <v>130000</v>
      </c>
      <c r="U1262">
        <v>5974</v>
      </c>
      <c r="V1262">
        <v>12000</v>
      </c>
      <c r="W1262">
        <v>0</v>
      </c>
      <c r="X1262" s="39">
        <v>20537</v>
      </c>
      <c r="Y1262">
        <v>0</v>
      </c>
      <c r="Z1262" s="31">
        <v>112026</v>
      </c>
      <c r="AA1262">
        <v>8</v>
      </c>
      <c r="AB1262" s="3">
        <f t="shared" si="59"/>
        <v>112026</v>
      </c>
      <c r="AC1262" t="str">
        <f>IF(AB1262-S1262&lt;0,"YES","NO")</f>
        <v>YES</v>
      </c>
      <c r="AD1262">
        <f>IF(AC1262="NO",0,AB1262-S1262)</f>
        <v>-5974</v>
      </c>
      <c r="AE1262" s="43">
        <v>0.08</v>
      </c>
      <c r="AF1262" s="3">
        <f t="shared" si="60"/>
        <v>-5531.4814814814808</v>
      </c>
      <c r="AG1262" s="45">
        <f t="shared" si="61"/>
        <v>-6084.6296296296296</v>
      </c>
      <c r="AH1262" s="55"/>
    </row>
    <row r="1263" spans="1:34" x14ac:dyDescent="0.25">
      <c r="A1263" t="s">
        <v>4591</v>
      </c>
      <c r="B1263" t="s">
        <v>4592</v>
      </c>
      <c r="C1263" t="s">
        <v>4593</v>
      </c>
      <c r="D1263" t="s">
        <v>4594</v>
      </c>
      <c r="E1263" t="s">
        <v>4595</v>
      </c>
      <c r="F1263" t="s">
        <v>4596</v>
      </c>
      <c r="G1263" t="s">
        <v>5</v>
      </c>
      <c r="H1263" t="s">
        <v>65</v>
      </c>
      <c r="I1263" t="s">
        <v>87</v>
      </c>
      <c r="J1263" t="s">
        <v>88</v>
      </c>
      <c r="K1263" t="s">
        <v>3</v>
      </c>
      <c r="L1263" t="s">
        <v>4</v>
      </c>
      <c r="M1263" t="s">
        <v>49</v>
      </c>
      <c r="N1263" t="s">
        <v>4597</v>
      </c>
      <c r="O1263" s="31" t="s">
        <v>4598</v>
      </c>
      <c r="P1263">
        <v>220</v>
      </c>
      <c r="Q1263" t="s">
        <v>89</v>
      </c>
      <c r="R1263">
        <v>1</v>
      </c>
      <c r="S1263" s="31">
        <v>59000</v>
      </c>
      <c r="T1263" s="39">
        <v>70000</v>
      </c>
      <c r="U1263">
        <v>3215.5</v>
      </c>
      <c r="V1263">
        <v>6500</v>
      </c>
      <c r="W1263">
        <v>0</v>
      </c>
      <c r="X1263" s="39">
        <v>11052.5</v>
      </c>
      <c r="Y1263">
        <v>0</v>
      </c>
      <c r="Z1263" s="31">
        <v>60284.5</v>
      </c>
      <c r="AA1263">
        <v>8</v>
      </c>
      <c r="AB1263" s="3">
        <f t="shared" si="59"/>
        <v>60284.5</v>
      </c>
      <c r="AC1263" t="str">
        <f>IF(AB1263-S1263&lt;0,"YES","NO")</f>
        <v>NO</v>
      </c>
      <c r="AD1263">
        <f>IF(AC1263="NO",0,AB1263-S1263)</f>
        <v>0</v>
      </c>
      <c r="AE1263" s="43">
        <v>0.08</v>
      </c>
      <c r="AF1263" s="3">
        <f t="shared" si="60"/>
        <v>0</v>
      </c>
      <c r="AG1263" s="45">
        <f t="shared" si="61"/>
        <v>0</v>
      </c>
      <c r="AH1263" s="55"/>
    </row>
    <row r="1264" spans="1:34" x14ac:dyDescent="0.25">
      <c r="A1264" t="s">
        <v>4591</v>
      </c>
      <c r="B1264" t="s">
        <v>4592</v>
      </c>
      <c r="C1264" t="s">
        <v>4593</v>
      </c>
      <c r="D1264" t="s">
        <v>4594</v>
      </c>
      <c r="E1264" t="s">
        <v>4595</v>
      </c>
      <c r="F1264" t="s">
        <v>4596</v>
      </c>
      <c r="G1264" t="s">
        <v>5</v>
      </c>
      <c r="H1264" t="s">
        <v>65</v>
      </c>
      <c r="I1264" t="s">
        <v>90</v>
      </c>
      <c r="J1264" t="s">
        <v>91</v>
      </c>
      <c r="K1264" t="s">
        <v>3</v>
      </c>
      <c r="L1264" t="s">
        <v>4</v>
      </c>
      <c r="M1264" t="s">
        <v>49</v>
      </c>
      <c r="N1264" t="s">
        <v>4597</v>
      </c>
      <c r="O1264" s="31" t="s">
        <v>4598</v>
      </c>
      <c r="P1264">
        <v>220</v>
      </c>
      <c r="Q1264" t="s">
        <v>92</v>
      </c>
      <c r="R1264">
        <v>1</v>
      </c>
      <c r="S1264" s="31">
        <v>59000</v>
      </c>
      <c r="T1264" s="39">
        <v>70000</v>
      </c>
      <c r="U1264">
        <v>3215.5</v>
      </c>
      <c r="V1264">
        <v>6500</v>
      </c>
      <c r="W1264">
        <v>0</v>
      </c>
      <c r="X1264" s="39">
        <v>11052.5</v>
      </c>
      <c r="Y1264">
        <v>0</v>
      </c>
      <c r="Z1264" s="31">
        <v>60284.5</v>
      </c>
      <c r="AA1264">
        <v>8</v>
      </c>
      <c r="AB1264" s="3">
        <f t="shared" si="59"/>
        <v>60284.5</v>
      </c>
      <c r="AC1264" t="str">
        <f>IF(AB1264-S1264&lt;0,"YES","NO")</f>
        <v>NO</v>
      </c>
      <c r="AD1264">
        <f>IF(AC1264="NO",0,AB1264-S1264)</f>
        <v>0</v>
      </c>
      <c r="AE1264" s="43">
        <v>0.08</v>
      </c>
      <c r="AF1264" s="3">
        <f t="shared" si="60"/>
        <v>0</v>
      </c>
      <c r="AG1264" s="45">
        <f t="shared" si="61"/>
        <v>0</v>
      </c>
      <c r="AH1264" s="55"/>
    </row>
    <row r="1265" spans="1:34" x14ac:dyDescent="0.25">
      <c r="A1265" t="s">
        <v>4591</v>
      </c>
      <c r="B1265" t="s">
        <v>4592</v>
      </c>
      <c r="C1265" t="s">
        <v>4593</v>
      </c>
      <c r="D1265" t="s">
        <v>4594</v>
      </c>
      <c r="E1265" t="s">
        <v>4595</v>
      </c>
      <c r="F1265" t="s">
        <v>4596</v>
      </c>
      <c r="G1265" t="s">
        <v>5</v>
      </c>
      <c r="H1265" t="s">
        <v>65</v>
      </c>
      <c r="I1265" t="s">
        <v>82</v>
      </c>
      <c r="J1265" t="s">
        <v>83</v>
      </c>
      <c r="K1265" t="s">
        <v>3</v>
      </c>
      <c r="L1265" t="s">
        <v>4</v>
      </c>
      <c r="M1265" t="s">
        <v>49</v>
      </c>
      <c r="N1265" t="s">
        <v>4597</v>
      </c>
      <c r="O1265" s="31" t="s">
        <v>4598</v>
      </c>
      <c r="P1265">
        <v>220</v>
      </c>
      <c r="R1265">
        <v>2</v>
      </c>
      <c r="S1265" s="31">
        <v>150000</v>
      </c>
      <c r="T1265" s="39">
        <v>160000</v>
      </c>
      <c r="U1265">
        <v>7595</v>
      </c>
      <c r="V1265">
        <v>10000</v>
      </c>
      <c r="W1265">
        <v>0</v>
      </c>
      <c r="X1265" s="39">
        <v>26108</v>
      </c>
      <c r="Y1265">
        <v>0</v>
      </c>
      <c r="Z1265" s="31">
        <v>142405</v>
      </c>
      <c r="AA1265">
        <v>8</v>
      </c>
      <c r="AB1265" s="3">
        <f t="shared" si="59"/>
        <v>142405</v>
      </c>
      <c r="AC1265" t="str">
        <f>IF(AB1265-S1265&lt;0,"YES","NO")</f>
        <v>YES</v>
      </c>
      <c r="AD1265">
        <f>IF(AC1265="NO",0,AB1265-S1265)</f>
        <v>-7595</v>
      </c>
      <c r="AE1265" s="43">
        <v>0.08</v>
      </c>
      <c r="AF1265" s="3">
        <f t="shared" si="60"/>
        <v>-7032.4074074074069</v>
      </c>
      <c r="AG1265" s="45">
        <f t="shared" si="61"/>
        <v>-7735.6481481481478</v>
      </c>
      <c r="AH1265" s="55"/>
    </row>
    <row r="1266" spans="1:34" x14ac:dyDescent="0.25">
      <c r="A1266" t="s">
        <v>4599</v>
      </c>
      <c r="B1266" t="s">
        <v>4600</v>
      </c>
      <c r="C1266" t="s">
        <v>4601</v>
      </c>
      <c r="D1266" t="s">
        <v>4602</v>
      </c>
      <c r="E1266" t="s">
        <v>4603</v>
      </c>
      <c r="F1266" t="s">
        <v>4604</v>
      </c>
      <c r="G1266" t="s">
        <v>5</v>
      </c>
      <c r="H1266" t="s">
        <v>65</v>
      </c>
      <c r="I1266" t="s">
        <v>106</v>
      </c>
      <c r="J1266" t="s">
        <v>107</v>
      </c>
      <c r="K1266" t="s">
        <v>3</v>
      </c>
      <c r="L1266" t="s">
        <v>4</v>
      </c>
      <c r="M1266" t="s">
        <v>49</v>
      </c>
      <c r="N1266" t="s">
        <v>4605</v>
      </c>
      <c r="O1266" s="31" t="s">
        <v>4606</v>
      </c>
      <c r="P1266">
        <v>20</v>
      </c>
      <c r="Q1266" t="s">
        <v>108</v>
      </c>
      <c r="R1266">
        <v>1</v>
      </c>
      <c r="S1266" s="31">
        <v>0</v>
      </c>
      <c r="T1266" s="39">
        <v>0</v>
      </c>
      <c r="U1266">
        <v>0</v>
      </c>
      <c r="V1266">
        <v>0</v>
      </c>
      <c r="W1266">
        <v>0</v>
      </c>
      <c r="X1266" s="39">
        <v>0</v>
      </c>
      <c r="Y1266">
        <v>0</v>
      </c>
      <c r="Z1266" s="31">
        <v>0</v>
      </c>
      <c r="AA1266">
        <v>8</v>
      </c>
      <c r="AB1266" s="3">
        <f t="shared" si="59"/>
        <v>0</v>
      </c>
      <c r="AC1266" t="str">
        <f>IF(AB1266-S1266&lt;0,"YES","NO")</f>
        <v>NO</v>
      </c>
      <c r="AD1266">
        <f>IF(AC1266="NO",0,AB1266-S1266)</f>
        <v>0</v>
      </c>
      <c r="AE1266" s="43">
        <v>0.08</v>
      </c>
      <c r="AF1266" s="3">
        <f t="shared" si="60"/>
        <v>0</v>
      </c>
      <c r="AG1266" s="45">
        <f t="shared" si="61"/>
        <v>0</v>
      </c>
      <c r="AH1266" s="55"/>
    </row>
    <row r="1267" spans="1:34" x14ac:dyDescent="0.25">
      <c r="A1267" t="s">
        <v>4599</v>
      </c>
      <c r="B1267" t="s">
        <v>4600</v>
      </c>
      <c r="C1267" t="s">
        <v>4601</v>
      </c>
      <c r="D1267" t="s">
        <v>4602</v>
      </c>
      <c r="E1267" t="s">
        <v>4603</v>
      </c>
      <c r="F1267" t="s">
        <v>4604</v>
      </c>
      <c r="G1267" t="s">
        <v>5</v>
      </c>
      <c r="H1267" t="s">
        <v>65</v>
      </c>
      <c r="I1267" t="s">
        <v>66</v>
      </c>
      <c r="J1267" t="s">
        <v>67</v>
      </c>
      <c r="K1267" t="s">
        <v>3</v>
      </c>
      <c r="L1267" t="s">
        <v>4</v>
      </c>
      <c r="M1267" t="s">
        <v>49</v>
      </c>
      <c r="N1267" t="s">
        <v>4605</v>
      </c>
      <c r="O1267" s="31" t="s">
        <v>4606</v>
      </c>
      <c r="P1267">
        <v>220</v>
      </c>
      <c r="R1267">
        <v>2</v>
      </c>
      <c r="S1267" s="31">
        <v>150000</v>
      </c>
      <c r="T1267" s="39">
        <v>160000</v>
      </c>
      <c r="U1267">
        <v>25000</v>
      </c>
      <c r="V1267">
        <v>8333.34</v>
      </c>
      <c r="W1267">
        <v>0</v>
      </c>
      <c r="X1267" s="39">
        <v>44000</v>
      </c>
      <c r="Y1267">
        <v>0</v>
      </c>
      <c r="Z1267" s="31">
        <v>126666.66</v>
      </c>
      <c r="AA1267">
        <v>8</v>
      </c>
      <c r="AB1267" s="3">
        <f t="shared" si="59"/>
        <v>126666.66</v>
      </c>
      <c r="AC1267" t="str">
        <f>IF(AB1267-S1267&lt;0,"YES","NO")</f>
        <v>YES</v>
      </c>
      <c r="AD1267">
        <f>IF(AC1267="NO",0,AB1267-S1267)</f>
        <v>-23333.339999999997</v>
      </c>
      <c r="AE1267" s="43">
        <v>0.08</v>
      </c>
      <c r="AF1267" s="3">
        <f t="shared" si="60"/>
        <v>-21604.944444444438</v>
      </c>
      <c r="AG1267" s="45">
        <f t="shared" si="61"/>
        <v>-23765.438888888883</v>
      </c>
      <c r="AH1267" s="55"/>
    </row>
    <row r="1268" spans="1:34" x14ac:dyDescent="0.25">
      <c r="A1268" t="s">
        <v>4599</v>
      </c>
      <c r="B1268" t="s">
        <v>4600</v>
      </c>
      <c r="C1268" t="s">
        <v>4601</v>
      </c>
      <c r="D1268" t="s">
        <v>4602</v>
      </c>
      <c r="E1268" t="s">
        <v>4603</v>
      </c>
      <c r="F1268" t="s">
        <v>4604</v>
      </c>
      <c r="G1268" t="s">
        <v>5</v>
      </c>
      <c r="H1268" t="s">
        <v>65</v>
      </c>
      <c r="I1268" t="s">
        <v>78</v>
      </c>
      <c r="J1268" t="s">
        <v>79</v>
      </c>
      <c r="K1268" t="s">
        <v>3</v>
      </c>
      <c r="L1268" t="s">
        <v>4</v>
      </c>
      <c r="M1268" t="s">
        <v>49</v>
      </c>
      <c r="N1268" t="s">
        <v>4605</v>
      </c>
      <c r="O1268" s="31" t="s">
        <v>4606</v>
      </c>
      <c r="P1268">
        <v>220</v>
      </c>
      <c r="R1268">
        <v>2</v>
      </c>
      <c r="S1268" s="31">
        <v>150000</v>
      </c>
      <c r="T1268" s="39">
        <v>160000</v>
      </c>
      <c r="U1268">
        <v>25000</v>
      </c>
      <c r="V1268">
        <v>8333.34</v>
      </c>
      <c r="W1268">
        <v>0</v>
      </c>
      <c r="X1268" s="39">
        <v>44000</v>
      </c>
      <c r="Y1268">
        <v>0</v>
      </c>
      <c r="Z1268" s="31">
        <v>126666.66</v>
      </c>
      <c r="AA1268">
        <v>8</v>
      </c>
      <c r="AB1268" s="3">
        <f t="shared" si="59"/>
        <v>126666.66</v>
      </c>
      <c r="AC1268" t="str">
        <f>IF(AB1268-S1268&lt;0,"YES","NO")</f>
        <v>YES</v>
      </c>
      <c r="AD1268">
        <f>IF(AC1268="NO",0,AB1268-S1268)</f>
        <v>-23333.339999999997</v>
      </c>
      <c r="AE1268" s="43">
        <v>0.08</v>
      </c>
      <c r="AF1268" s="3">
        <f t="shared" si="60"/>
        <v>-21604.944444444438</v>
      </c>
      <c r="AG1268" s="45">
        <f t="shared" si="61"/>
        <v>-23765.438888888883</v>
      </c>
      <c r="AH1268" s="55"/>
    </row>
    <row r="1269" spans="1:34" x14ac:dyDescent="0.25">
      <c r="A1269" t="s">
        <v>4599</v>
      </c>
      <c r="B1269" t="s">
        <v>4600</v>
      </c>
      <c r="C1269" t="s">
        <v>4601</v>
      </c>
      <c r="D1269" t="s">
        <v>4602</v>
      </c>
      <c r="E1269" t="s">
        <v>4603</v>
      </c>
      <c r="F1269" t="s">
        <v>4604</v>
      </c>
      <c r="G1269" t="s">
        <v>5</v>
      </c>
      <c r="H1269" t="s">
        <v>65</v>
      </c>
      <c r="I1269" t="s">
        <v>80</v>
      </c>
      <c r="J1269" t="s">
        <v>81</v>
      </c>
      <c r="K1269" t="s">
        <v>3</v>
      </c>
      <c r="L1269" t="s">
        <v>4</v>
      </c>
      <c r="M1269" t="s">
        <v>49</v>
      </c>
      <c r="N1269" t="s">
        <v>4605</v>
      </c>
      <c r="O1269" s="31" t="s">
        <v>4606</v>
      </c>
      <c r="P1269">
        <v>220</v>
      </c>
      <c r="R1269">
        <v>2</v>
      </c>
      <c r="S1269" s="31">
        <v>150000</v>
      </c>
      <c r="T1269" s="39">
        <v>160000</v>
      </c>
      <c r="U1269">
        <v>25000</v>
      </c>
      <c r="V1269">
        <v>8333.34</v>
      </c>
      <c r="W1269">
        <v>0</v>
      </c>
      <c r="X1269" s="39">
        <v>44000</v>
      </c>
      <c r="Y1269">
        <v>0</v>
      </c>
      <c r="Z1269" s="31">
        <v>126666.66</v>
      </c>
      <c r="AA1269">
        <v>8</v>
      </c>
      <c r="AB1269" s="3">
        <f t="shared" si="59"/>
        <v>126666.66</v>
      </c>
      <c r="AC1269" t="str">
        <f>IF(AB1269-S1269&lt;0,"YES","NO")</f>
        <v>YES</v>
      </c>
      <c r="AD1269">
        <f>IF(AC1269="NO",0,AB1269-S1269)</f>
        <v>-23333.339999999997</v>
      </c>
      <c r="AE1269" s="43">
        <v>0.08</v>
      </c>
      <c r="AF1269" s="3">
        <f t="shared" si="60"/>
        <v>-21604.944444444438</v>
      </c>
      <c r="AG1269" s="45">
        <f t="shared" si="61"/>
        <v>-23765.438888888883</v>
      </c>
      <c r="AH1269" s="55"/>
    </row>
    <row r="1270" spans="1:34" x14ac:dyDescent="0.25">
      <c r="A1270" t="s">
        <v>4607</v>
      </c>
      <c r="B1270" t="s">
        <v>4608</v>
      </c>
      <c r="C1270" t="s">
        <v>4609</v>
      </c>
      <c r="D1270" t="s">
        <v>4610</v>
      </c>
      <c r="E1270" t="s">
        <v>4611</v>
      </c>
      <c r="F1270" t="s">
        <v>4612</v>
      </c>
      <c r="G1270" t="s">
        <v>5</v>
      </c>
      <c r="H1270" t="s">
        <v>65</v>
      </c>
      <c r="I1270" t="s">
        <v>66</v>
      </c>
      <c r="J1270" t="s">
        <v>67</v>
      </c>
      <c r="K1270" t="s">
        <v>3</v>
      </c>
      <c r="L1270" t="s">
        <v>4</v>
      </c>
      <c r="M1270" t="s">
        <v>49</v>
      </c>
      <c r="N1270" t="s">
        <v>4613</v>
      </c>
      <c r="O1270" s="31" t="s">
        <v>4614</v>
      </c>
      <c r="P1270">
        <v>220</v>
      </c>
      <c r="R1270">
        <v>2</v>
      </c>
      <c r="S1270" s="31">
        <v>150000</v>
      </c>
      <c r="T1270" s="39">
        <v>160000</v>
      </c>
      <c r="U1270">
        <v>20000</v>
      </c>
      <c r="V1270">
        <v>16000</v>
      </c>
      <c r="W1270">
        <v>0</v>
      </c>
      <c r="X1270" s="39">
        <v>55000</v>
      </c>
      <c r="Y1270">
        <v>0</v>
      </c>
      <c r="Z1270" s="31">
        <v>124000</v>
      </c>
      <c r="AA1270">
        <v>8</v>
      </c>
      <c r="AB1270" s="3">
        <f t="shared" si="59"/>
        <v>124000</v>
      </c>
      <c r="AC1270" t="str">
        <f>IF(AB1270-S1270&lt;0,"YES","NO")</f>
        <v>YES</v>
      </c>
      <c r="AD1270">
        <f>IF(AC1270="NO",0,AB1270-S1270)</f>
        <v>-26000</v>
      </c>
      <c r="AE1270" s="43">
        <v>0.08</v>
      </c>
      <c r="AF1270" s="3">
        <f t="shared" si="60"/>
        <v>-24074.074074074073</v>
      </c>
      <c r="AG1270" s="45">
        <f t="shared" si="61"/>
        <v>-26481.481481481482</v>
      </c>
      <c r="AH1270" s="55"/>
    </row>
    <row r="1271" spans="1:34" x14ac:dyDescent="0.25">
      <c r="A1271" t="s">
        <v>4615</v>
      </c>
      <c r="B1271" t="s">
        <v>4616</v>
      </c>
      <c r="C1271" t="s">
        <v>4617</v>
      </c>
      <c r="D1271" t="s">
        <v>4618</v>
      </c>
      <c r="E1271" t="s">
        <v>4619</v>
      </c>
      <c r="F1271" t="s">
        <v>4620</v>
      </c>
      <c r="G1271" t="s">
        <v>5</v>
      </c>
      <c r="H1271" t="s">
        <v>61</v>
      </c>
      <c r="I1271" t="s">
        <v>62</v>
      </c>
      <c r="J1271" t="s">
        <v>63</v>
      </c>
      <c r="K1271" t="s">
        <v>3</v>
      </c>
      <c r="L1271" t="s">
        <v>4</v>
      </c>
      <c r="M1271" t="s">
        <v>49</v>
      </c>
      <c r="N1271" t="s">
        <v>4621</v>
      </c>
      <c r="O1271" s="31" t="s">
        <v>4622</v>
      </c>
      <c r="P1271">
        <v>20000</v>
      </c>
      <c r="Q1271" t="s">
        <v>64</v>
      </c>
      <c r="R1271">
        <v>1</v>
      </c>
      <c r="S1271" s="31">
        <v>0</v>
      </c>
      <c r="T1271" s="39">
        <v>0</v>
      </c>
      <c r="U1271">
        <v>0</v>
      </c>
      <c r="V1271">
        <v>0</v>
      </c>
      <c r="W1271">
        <v>0</v>
      </c>
      <c r="X1271" s="39">
        <v>0</v>
      </c>
      <c r="Y1271">
        <v>0</v>
      </c>
      <c r="Z1271" s="31">
        <v>0</v>
      </c>
      <c r="AA1271">
        <v>8</v>
      </c>
      <c r="AB1271" s="3">
        <f t="shared" si="59"/>
        <v>0</v>
      </c>
      <c r="AC1271" t="str">
        <f>IF(AB1271-S1271&lt;0,"YES","NO")</f>
        <v>NO</v>
      </c>
      <c r="AD1271">
        <f>IF(AC1271="NO",0,AB1271-S1271)</f>
        <v>0</v>
      </c>
      <c r="AE1271" s="43">
        <v>0.08</v>
      </c>
      <c r="AF1271" s="3">
        <f t="shared" si="60"/>
        <v>0</v>
      </c>
      <c r="AG1271" s="45">
        <f t="shared" si="61"/>
        <v>0</v>
      </c>
      <c r="AH1271" s="55"/>
    </row>
    <row r="1272" spans="1:34" x14ac:dyDescent="0.25">
      <c r="A1272" t="s">
        <v>4615</v>
      </c>
      <c r="B1272" t="s">
        <v>4616</v>
      </c>
      <c r="C1272" t="s">
        <v>4617</v>
      </c>
      <c r="D1272" t="s">
        <v>4618</v>
      </c>
      <c r="E1272" t="s">
        <v>4619</v>
      </c>
      <c r="F1272" t="s">
        <v>4620</v>
      </c>
      <c r="G1272" t="s">
        <v>5</v>
      </c>
      <c r="H1272" t="s">
        <v>61</v>
      </c>
      <c r="I1272" t="s">
        <v>62</v>
      </c>
      <c r="J1272" t="s">
        <v>63</v>
      </c>
      <c r="K1272" t="s">
        <v>3</v>
      </c>
      <c r="L1272" t="s">
        <v>4</v>
      </c>
      <c r="M1272" t="s">
        <v>49</v>
      </c>
      <c r="N1272" t="s">
        <v>4621</v>
      </c>
      <c r="O1272" s="31" t="s">
        <v>4622</v>
      </c>
      <c r="P1272">
        <v>20000</v>
      </c>
      <c r="Q1272" t="s">
        <v>64</v>
      </c>
      <c r="R1272">
        <v>1</v>
      </c>
      <c r="S1272" s="31">
        <v>0</v>
      </c>
      <c r="T1272" s="39">
        <v>0</v>
      </c>
      <c r="U1272">
        <v>0</v>
      </c>
      <c r="V1272">
        <v>0</v>
      </c>
      <c r="W1272">
        <v>0</v>
      </c>
      <c r="X1272" s="39">
        <v>0</v>
      </c>
      <c r="Y1272">
        <v>0</v>
      </c>
      <c r="Z1272" s="31">
        <v>0</v>
      </c>
      <c r="AA1272">
        <v>8</v>
      </c>
      <c r="AB1272" s="3">
        <f t="shared" si="59"/>
        <v>0</v>
      </c>
      <c r="AC1272" t="str">
        <f>IF(AB1272-S1272&lt;0,"YES","NO")</f>
        <v>NO</v>
      </c>
      <c r="AD1272">
        <f>IF(AC1272="NO",0,AB1272-S1272)</f>
        <v>0</v>
      </c>
      <c r="AE1272" s="43">
        <v>0.08</v>
      </c>
      <c r="AF1272" s="3">
        <f t="shared" si="60"/>
        <v>0</v>
      </c>
      <c r="AG1272" s="45">
        <f t="shared" si="61"/>
        <v>0</v>
      </c>
      <c r="AH1272" s="55"/>
    </row>
    <row r="1273" spans="1:34" x14ac:dyDescent="0.25">
      <c r="A1273" t="s">
        <v>4615</v>
      </c>
      <c r="B1273" t="s">
        <v>4616</v>
      </c>
      <c r="C1273" t="s">
        <v>4617</v>
      </c>
      <c r="D1273" t="s">
        <v>4618</v>
      </c>
      <c r="E1273" t="s">
        <v>4619</v>
      </c>
      <c r="F1273" t="s">
        <v>4620</v>
      </c>
      <c r="G1273" t="s">
        <v>5</v>
      </c>
      <c r="H1273" t="s">
        <v>65</v>
      </c>
      <c r="I1273" t="s">
        <v>68</v>
      </c>
      <c r="J1273" t="s">
        <v>69</v>
      </c>
      <c r="K1273" t="s">
        <v>3</v>
      </c>
      <c r="L1273" t="s">
        <v>4</v>
      </c>
      <c r="M1273" t="s">
        <v>49</v>
      </c>
      <c r="N1273" t="s">
        <v>4621</v>
      </c>
      <c r="O1273" s="31" t="s">
        <v>4622</v>
      </c>
      <c r="P1273">
        <v>220</v>
      </c>
      <c r="Q1273" t="s">
        <v>70</v>
      </c>
      <c r="R1273">
        <v>1</v>
      </c>
      <c r="S1273" s="31">
        <v>59000</v>
      </c>
      <c r="T1273" s="39">
        <v>65000</v>
      </c>
      <c r="U1273">
        <v>5303</v>
      </c>
      <c r="V1273">
        <v>5000</v>
      </c>
      <c r="W1273">
        <v>0</v>
      </c>
      <c r="X1273" s="39">
        <v>14054.67</v>
      </c>
      <c r="Y1273">
        <v>0</v>
      </c>
      <c r="Z1273" s="31">
        <v>54697</v>
      </c>
      <c r="AA1273">
        <v>8</v>
      </c>
      <c r="AB1273" s="3">
        <f t="shared" si="59"/>
        <v>54697</v>
      </c>
      <c r="AC1273" t="str">
        <f>IF(AB1273-S1273&lt;0,"YES","NO")</f>
        <v>YES</v>
      </c>
      <c r="AD1273">
        <f>IF(AC1273="NO",0,AB1273-S1273)</f>
        <v>-4303</v>
      </c>
      <c r="AE1273" s="43">
        <v>0.08</v>
      </c>
      <c r="AF1273" s="3">
        <f t="shared" si="60"/>
        <v>-3984.2592592592591</v>
      </c>
      <c r="AG1273" s="45">
        <f t="shared" si="61"/>
        <v>-4382.6851851851852</v>
      </c>
      <c r="AH1273" s="55"/>
    </row>
    <row r="1274" spans="1:34" x14ac:dyDescent="0.25">
      <c r="A1274" t="s">
        <v>4615</v>
      </c>
      <c r="B1274" t="s">
        <v>4616</v>
      </c>
      <c r="C1274" t="s">
        <v>4617</v>
      </c>
      <c r="D1274" t="s">
        <v>4618</v>
      </c>
      <c r="E1274" t="s">
        <v>4619</v>
      </c>
      <c r="F1274" t="s">
        <v>4620</v>
      </c>
      <c r="G1274" t="s">
        <v>5</v>
      </c>
      <c r="H1274" t="s">
        <v>65</v>
      </c>
      <c r="I1274" t="s">
        <v>71</v>
      </c>
      <c r="J1274" t="s">
        <v>72</v>
      </c>
      <c r="K1274" t="s">
        <v>3</v>
      </c>
      <c r="L1274" t="s">
        <v>4</v>
      </c>
      <c r="M1274" t="s">
        <v>49</v>
      </c>
      <c r="N1274" t="s">
        <v>4621</v>
      </c>
      <c r="O1274" s="31" t="s">
        <v>4622</v>
      </c>
      <c r="P1274">
        <v>220</v>
      </c>
      <c r="Q1274" t="s">
        <v>70</v>
      </c>
      <c r="R1274">
        <v>1</v>
      </c>
      <c r="S1274" s="31">
        <v>59000</v>
      </c>
      <c r="T1274" s="39">
        <v>65000</v>
      </c>
      <c r="U1274">
        <v>5303</v>
      </c>
      <c r="V1274">
        <v>5000</v>
      </c>
      <c r="W1274">
        <v>0</v>
      </c>
      <c r="X1274" s="39">
        <v>14054.67</v>
      </c>
      <c r="Y1274">
        <v>0</v>
      </c>
      <c r="Z1274" s="31">
        <v>54697</v>
      </c>
      <c r="AA1274">
        <v>8</v>
      </c>
      <c r="AB1274" s="3">
        <f t="shared" si="59"/>
        <v>54697</v>
      </c>
      <c r="AC1274" t="str">
        <f>IF(AB1274-S1274&lt;0,"YES","NO")</f>
        <v>YES</v>
      </c>
      <c r="AD1274">
        <f>IF(AC1274="NO",0,AB1274-S1274)</f>
        <v>-4303</v>
      </c>
      <c r="AE1274" s="43">
        <v>0.08</v>
      </c>
      <c r="AF1274" s="3">
        <f t="shared" si="60"/>
        <v>-3984.2592592592591</v>
      </c>
      <c r="AG1274" s="45">
        <f t="shared" si="61"/>
        <v>-4382.6851851851852</v>
      </c>
      <c r="AH1274" s="55"/>
    </row>
    <row r="1275" spans="1:34" x14ac:dyDescent="0.25">
      <c r="A1275" t="s">
        <v>4615</v>
      </c>
      <c r="B1275" t="s">
        <v>4616</v>
      </c>
      <c r="C1275" t="s">
        <v>4617</v>
      </c>
      <c r="D1275" t="s">
        <v>4618</v>
      </c>
      <c r="E1275" t="s">
        <v>4619</v>
      </c>
      <c r="F1275" t="s">
        <v>4620</v>
      </c>
      <c r="G1275" t="s">
        <v>5</v>
      </c>
      <c r="H1275" t="s">
        <v>65</v>
      </c>
      <c r="I1275" t="s">
        <v>73</v>
      </c>
      <c r="J1275" t="s">
        <v>74</v>
      </c>
      <c r="K1275" t="s">
        <v>3</v>
      </c>
      <c r="L1275" t="s">
        <v>4</v>
      </c>
      <c r="M1275" t="s">
        <v>49</v>
      </c>
      <c r="N1275" t="s">
        <v>4621</v>
      </c>
      <c r="O1275" s="31" t="s">
        <v>4622</v>
      </c>
      <c r="P1275">
        <v>220</v>
      </c>
      <c r="Q1275" t="s">
        <v>70</v>
      </c>
      <c r="R1275">
        <v>1</v>
      </c>
      <c r="S1275" s="31">
        <v>59000</v>
      </c>
      <c r="T1275" s="39">
        <v>65000</v>
      </c>
      <c r="U1275">
        <v>5303</v>
      </c>
      <c r="V1275">
        <v>5000</v>
      </c>
      <c r="W1275">
        <v>0</v>
      </c>
      <c r="X1275" s="39">
        <v>14054.67</v>
      </c>
      <c r="Y1275">
        <v>0</v>
      </c>
      <c r="Z1275" s="31">
        <v>54697</v>
      </c>
      <c r="AA1275">
        <v>8</v>
      </c>
      <c r="AB1275" s="3">
        <f t="shared" si="59"/>
        <v>54697</v>
      </c>
      <c r="AC1275" t="str">
        <f>IF(AB1275-S1275&lt;0,"YES","NO")</f>
        <v>YES</v>
      </c>
      <c r="AD1275">
        <f>IF(AC1275="NO",0,AB1275-S1275)</f>
        <v>-4303</v>
      </c>
      <c r="AE1275" s="43">
        <v>0.08</v>
      </c>
      <c r="AF1275" s="3">
        <f t="shared" si="60"/>
        <v>-3984.2592592592591</v>
      </c>
      <c r="AG1275" s="45">
        <f t="shared" si="61"/>
        <v>-4382.6851851851852</v>
      </c>
      <c r="AH1275" s="55"/>
    </row>
    <row r="1276" spans="1:34" x14ac:dyDescent="0.25">
      <c r="A1276" t="s">
        <v>4615</v>
      </c>
      <c r="B1276" t="s">
        <v>4616</v>
      </c>
      <c r="C1276" t="s">
        <v>4617</v>
      </c>
      <c r="D1276" t="s">
        <v>4618</v>
      </c>
      <c r="E1276" t="s">
        <v>4619</v>
      </c>
      <c r="F1276" t="s">
        <v>4620</v>
      </c>
      <c r="G1276" t="s">
        <v>5</v>
      </c>
      <c r="H1276" t="s">
        <v>65</v>
      </c>
      <c r="I1276" t="s">
        <v>87</v>
      </c>
      <c r="J1276" t="s">
        <v>88</v>
      </c>
      <c r="K1276" t="s">
        <v>3</v>
      </c>
      <c r="L1276" t="s">
        <v>4</v>
      </c>
      <c r="M1276" t="s">
        <v>49</v>
      </c>
      <c r="N1276" t="s">
        <v>4621</v>
      </c>
      <c r="O1276" s="31" t="s">
        <v>4622</v>
      </c>
      <c r="P1276">
        <v>220</v>
      </c>
      <c r="Q1276" t="s">
        <v>89</v>
      </c>
      <c r="R1276">
        <v>1</v>
      </c>
      <c r="S1276" s="31">
        <v>59000</v>
      </c>
      <c r="T1276" s="39">
        <v>70000</v>
      </c>
      <c r="U1276">
        <v>0</v>
      </c>
      <c r="V1276">
        <v>6500</v>
      </c>
      <c r="W1276">
        <v>0</v>
      </c>
      <c r="X1276" s="39">
        <v>10159.5</v>
      </c>
      <c r="Y1276">
        <v>0</v>
      </c>
      <c r="Z1276" s="31">
        <v>63500</v>
      </c>
      <c r="AA1276">
        <v>8</v>
      </c>
      <c r="AB1276" s="3">
        <f t="shared" si="59"/>
        <v>63500</v>
      </c>
      <c r="AC1276" t="str">
        <f>IF(AB1276-S1276&lt;0,"YES","NO")</f>
        <v>NO</v>
      </c>
      <c r="AD1276">
        <f>IF(AC1276="NO",0,AB1276-S1276)</f>
        <v>0</v>
      </c>
      <c r="AE1276" s="43">
        <v>0.08</v>
      </c>
      <c r="AF1276" s="3">
        <f t="shared" si="60"/>
        <v>0</v>
      </c>
      <c r="AG1276" s="45">
        <f t="shared" si="61"/>
        <v>0</v>
      </c>
      <c r="AH1276" s="55"/>
    </row>
    <row r="1277" spans="1:34" x14ac:dyDescent="0.25">
      <c r="A1277" t="s">
        <v>4615</v>
      </c>
      <c r="B1277" t="s">
        <v>4616</v>
      </c>
      <c r="C1277" t="s">
        <v>4617</v>
      </c>
      <c r="D1277" t="s">
        <v>4618</v>
      </c>
      <c r="E1277" t="s">
        <v>4619</v>
      </c>
      <c r="F1277" t="s">
        <v>4620</v>
      </c>
      <c r="G1277" t="s">
        <v>5</v>
      </c>
      <c r="H1277" t="s">
        <v>65</v>
      </c>
      <c r="I1277" t="s">
        <v>90</v>
      </c>
      <c r="J1277" t="s">
        <v>91</v>
      </c>
      <c r="K1277" t="s">
        <v>3</v>
      </c>
      <c r="L1277" t="s">
        <v>4</v>
      </c>
      <c r="M1277" t="s">
        <v>49</v>
      </c>
      <c r="N1277" t="s">
        <v>4621</v>
      </c>
      <c r="O1277" s="31" t="s">
        <v>4622</v>
      </c>
      <c r="P1277">
        <v>220</v>
      </c>
      <c r="Q1277" t="s">
        <v>92</v>
      </c>
      <c r="R1277">
        <v>1</v>
      </c>
      <c r="S1277" s="31">
        <v>59000</v>
      </c>
      <c r="T1277" s="39">
        <v>70000</v>
      </c>
      <c r="U1277">
        <v>0</v>
      </c>
      <c r="V1277">
        <v>6500</v>
      </c>
      <c r="W1277">
        <v>0</v>
      </c>
      <c r="X1277" s="39">
        <v>10159.5</v>
      </c>
      <c r="Y1277">
        <v>0</v>
      </c>
      <c r="Z1277" s="31">
        <v>63500</v>
      </c>
      <c r="AA1277">
        <v>8</v>
      </c>
      <c r="AB1277" s="3">
        <f t="shared" si="59"/>
        <v>63500</v>
      </c>
      <c r="AC1277" t="str">
        <f>IF(AB1277-S1277&lt;0,"YES","NO")</f>
        <v>NO</v>
      </c>
      <c r="AD1277">
        <f>IF(AC1277="NO",0,AB1277-S1277)</f>
        <v>0</v>
      </c>
      <c r="AE1277" s="43">
        <v>0.08</v>
      </c>
      <c r="AF1277" s="3">
        <f t="shared" si="60"/>
        <v>0</v>
      </c>
      <c r="AG1277" s="45">
        <f t="shared" si="61"/>
        <v>0</v>
      </c>
      <c r="AH1277" s="55"/>
    </row>
    <row r="1278" spans="1:34" x14ac:dyDescent="0.25">
      <c r="A1278" t="s">
        <v>4615</v>
      </c>
      <c r="B1278" t="s">
        <v>4616</v>
      </c>
      <c r="C1278" t="s">
        <v>4617</v>
      </c>
      <c r="D1278" t="s">
        <v>4618</v>
      </c>
      <c r="E1278" t="s">
        <v>4619</v>
      </c>
      <c r="F1278" t="s">
        <v>4620</v>
      </c>
      <c r="G1278" t="s">
        <v>5</v>
      </c>
      <c r="H1278" t="s">
        <v>65</v>
      </c>
      <c r="I1278" t="s">
        <v>66</v>
      </c>
      <c r="J1278" t="s">
        <v>67</v>
      </c>
      <c r="K1278" t="s">
        <v>3</v>
      </c>
      <c r="L1278" t="s">
        <v>4</v>
      </c>
      <c r="M1278" t="s">
        <v>49</v>
      </c>
      <c r="N1278" t="s">
        <v>4621</v>
      </c>
      <c r="O1278" s="31" t="s">
        <v>4622</v>
      </c>
      <c r="P1278">
        <v>220</v>
      </c>
      <c r="R1278">
        <v>3</v>
      </c>
      <c r="S1278" s="31">
        <v>225000</v>
      </c>
      <c r="T1278" s="39">
        <v>240000</v>
      </c>
      <c r="U1278">
        <v>19091.009999999998</v>
      </c>
      <c r="V1278">
        <v>24000</v>
      </c>
      <c r="W1278">
        <v>0</v>
      </c>
      <c r="X1278" s="39">
        <v>50597.01</v>
      </c>
      <c r="Y1278">
        <v>0</v>
      </c>
      <c r="Z1278" s="31">
        <v>196908.99</v>
      </c>
      <c r="AA1278">
        <v>8</v>
      </c>
      <c r="AB1278" s="3">
        <f t="shared" si="59"/>
        <v>196908.99</v>
      </c>
      <c r="AC1278" t="str">
        <f>IF(AB1278-S1278&lt;0,"YES","NO")</f>
        <v>YES</v>
      </c>
      <c r="AD1278">
        <f>IF(AC1278="NO",0,AB1278-S1278)</f>
        <v>-28091.010000000009</v>
      </c>
      <c r="AE1278" s="43">
        <v>0.08</v>
      </c>
      <c r="AF1278" s="3">
        <f t="shared" si="60"/>
        <v>-26010.194444444453</v>
      </c>
      <c r="AG1278" s="45">
        <f t="shared" si="61"/>
        <v>-28611.213888888899</v>
      </c>
      <c r="AH1278" s="55"/>
    </row>
    <row r="1279" spans="1:34" x14ac:dyDescent="0.25">
      <c r="A1279" t="s">
        <v>4623</v>
      </c>
      <c r="B1279" t="s">
        <v>4624</v>
      </c>
      <c r="C1279" t="s">
        <v>4625</v>
      </c>
      <c r="D1279" t="s">
        <v>4626</v>
      </c>
      <c r="E1279" t="s">
        <v>4627</v>
      </c>
      <c r="F1279" t="s">
        <v>4628</v>
      </c>
      <c r="G1279" t="s">
        <v>5</v>
      </c>
      <c r="H1279" t="s">
        <v>61</v>
      </c>
      <c r="I1279" t="s">
        <v>93</v>
      </c>
      <c r="J1279" t="s">
        <v>94</v>
      </c>
      <c r="K1279" t="s">
        <v>3</v>
      </c>
      <c r="L1279" t="s">
        <v>4</v>
      </c>
      <c r="M1279" t="s">
        <v>49</v>
      </c>
      <c r="N1279" t="s">
        <v>4629</v>
      </c>
      <c r="O1279" s="31" t="s">
        <v>4630</v>
      </c>
      <c r="P1279">
        <v>20</v>
      </c>
      <c r="Q1279" t="s">
        <v>86</v>
      </c>
      <c r="R1279">
        <v>1</v>
      </c>
      <c r="S1279" s="31">
        <v>0</v>
      </c>
      <c r="T1279" s="39">
        <v>0</v>
      </c>
      <c r="U1279">
        <v>0</v>
      </c>
      <c r="V1279">
        <v>0</v>
      </c>
      <c r="W1279">
        <v>0</v>
      </c>
      <c r="X1279" s="39">
        <v>0</v>
      </c>
      <c r="Y1279">
        <v>0</v>
      </c>
      <c r="Z1279" s="31">
        <v>0</v>
      </c>
      <c r="AA1279">
        <v>8</v>
      </c>
      <c r="AB1279" s="3">
        <f t="shared" si="59"/>
        <v>0</v>
      </c>
      <c r="AC1279" t="str">
        <f>IF(AB1279-S1279&lt;0,"YES","NO")</f>
        <v>NO</v>
      </c>
      <c r="AD1279">
        <f>IF(AC1279="NO",0,AB1279-S1279)</f>
        <v>0</v>
      </c>
      <c r="AE1279" s="43">
        <v>0.08</v>
      </c>
      <c r="AF1279" s="3">
        <f t="shared" si="60"/>
        <v>0</v>
      </c>
      <c r="AG1279" s="45">
        <f t="shared" si="61"/>
        <v>0</v>
      </c>
      <c r="AH1279" s="55"/>
    </row>
    <row r="1280" spans="1:34" x14ac:dyDescent="0.25">
      <c r="A1280" t="s">
        <v>4623</v>
      </c>
      <c r="B1280" t="s">
        <v>4624</v>
      </c>
      <c r="C1280" t="s">
        <v>4625</v>
      </c>
      <c r="D1280" t="s">
        <v>4626</v>
      </c>
      <c r="E1280" t="s">
        <v>4627</v>
      </c>
      <c r="F1280" t="s">
        <v>4628</v>
      </c>
      <c r="G1280" t="s">
        <v>5</v>
      </c>
      <c r="H1280" t="s">
        <v>65</v>
      </c>
      <c r="I1280" t="s">
        <v>102</v>
      </c>
      <c r="J1280" t="s">
        <v>103</v>
      </c>
      <c r="K1280" t="s">
        <v>3</v>
      </c>
      <c r="L1280" t="s">
        <v>4</v>
      </c>
      <c r="M1280" t="s">
        <v>49</v>
      </c>
      <c r="N1280" t="s">
        <v>4629</v>
      </c>
      <c r="O1280" s="31" t="s">
        <v>4630</v>
      </c>
      <c r="P1280">
        <v>200</v>
      </c>
      <c r="R1280">
        <v>6</v>
      </c>
      <c r="S1280" s="31">
        <v>432000</v>
      </c>
      <c r="T1280" s="39">
        <v>480000</v>
      </c>
      <c r="U1280">
        <v>75000</v>
      </c>
      <c r="V1280">
        <v>40000.019999999997</v>
      </c>
      <c r="W1280">
        <v>0</v>
      </c>
      <c r="X1280" s="39">
        <v>122449.98</v>
      </c>
      <c r="Y1280">
        <v>0</v>
      </c>
      <c r="Z1280" s="31">
        <v>364999.98</v>
      </c>
      <c r="AA1280">
        <v>8</v>
      </c>
      <c r="AB1280" s="3">
        <f t="shared" si="59"/>
        <v>364999.98</v>
      </c>
      <c r="AC1280" t="str">
        <f>IF(AB1280-S1280&lt;0,"YES","NO")</f>
        <v>YES</v>
      </c>
      <c r="AD1280">
        <f>IF(AC1280="NO",0,AB1280-S1280)</f>
        <v>-67000.020000000019</v>
      </c>
      <c r="AE1280" s="43">
        <v>0.08</v>
      </c>
      <c r="AF1280" s="3">
        <f t="shared" si="60"/>
        <v>-62037.055555555569</v>
      </c>
      <c r="AG1280" s="45">
        <f t="shared" si="61"/>
        <v>-68240.761111111133</v>
      </c>
      <c r="AH1280" s="55"/>
    </row>
    <row r="1281" spans="1:34" x14ac:dyDescent="0.25">
      <c r="A1281" t="s">
        <v>4631</v>
      </c>
      <c r="B1281" t="s">
        <v>4632</v>
      </c>
      <c r="C1281" t="s">
        <v>4633</v>
      </c>
      <c r="D1281" t="s">
        <v>4634</v>
      </c>
      <c r="E1281" t="s">
        <v>4635</v>
      </c>
      <c r="F1281" t="s">
        <v>4636</v>
      </c>
      <c r="G1281" t="s">
        <v>5</v>
      </c>
      <c r="H1281" t="s">
        <v>61</v>
      </c>
      <c r="I1281" t="s">
        <v>62</v>
      </c>
      <c r="J1281" t="s">
        <v>63</v>
      </c>
      <c r="K1281" t="s">
        <v>3</v>
      </c>
      <c r="L1281" t="s">
        <v>4</v>
      </c>
      <c r="M1281" t="s">
        <v>49</v>
      </c>
      <c r="N1281" t="s">
        <v>4637</v>
      </c>
      <c r="O1281" s="31" t="s">
        <v>4638</v>
      </c>
      <c r="P1281">
        <v>20000</v>
      </c>
      <c r="Q1281" t="s">
        <v>64</v>
      </c>
      <c r="R1281">
        <v>1</v>
      </c>
      <c r="S1281" s="31">
        <v>0</v>
      </c>
      <c r="T1281" s="39">
        <v>0</v>
      </c>
      <c r="U1281">
        <v>0</v>
      </c>
      <c r="V1281">
        <v>0</v>
      </c>
      <c r="W1281">
        <v>0</v>
      </c>
      <c r="X1281" s="39">
        <v>0</v>
      </c>
      <c r="Y1281">
        <v>0</v>
      </c>
      <c r="Z1281" s="31">
        <v>0</v>
      </c>
      <c r="AA1281">
        <v>8</v>
      </c>
      <c r="AB1281" s="3">
        <f t="shared" si="59"/>
        <v>0</v>
      </c>
      <c r="AC1281" t="str">
        <f>IF(AB1281-S1281&lt;0,"YES","NO")</f>
        <v>NO</v>
      </c>
      <c r="AD1281">
        <f>IF(AC1281="NO",0,AB1281-S1281)</f>
        <v>0</v>
      </c>
      <c r="AE1281" s="43">
        <v>0.08</v>
      </c>
      <c r="AF1281" s="3">
        <f t="shared" si="60"/>
        <v>0</v>
      </c>
      <c r="AG1281" s="45">
        <f t="shared" si="61"/>
        <v>0</v>
      </c>
      <c r="AH1281" s="55"/>
    </row>
    <row r="1282" spans="1:34" x14ac:dyDescent="0.25">
      <c r="A1282" t="s">
        <v>4631</v>
      </c>
      <c r="B1282" t="s">
        <v>4632</v>
      </c>
      <c r="C1282" t="s">
        <v>4633</v>
      </c>
      <c r="D1282" t="s">
        <v>4634</v>
      </c>
      <c r="E1282" t="s">
        <v>4635</v>
      </c>
      <c r="F1282" t="s">
        <v>4636</v>
      </c>
      <c r="G1282" t="s">
        <v>5</v>
      </c>
      <c r="H1282" t="s">
        <v>65</v>
      </c>
      <c r="I1282" t="s">
        <v>66</v>
      </c>
      <c r="J1282" t="s">
        <v>67</v>
      </c>
      <c r="K1282" t="s">
        <v>3</v>
      </c>
      <c r="L1282" t="s">
        <v>4</v>
      </c>
      <c r="M1282" t="s">
        <v>49</v>
      </c>
      <c r="N1282" t="s">
        <v>4637</v>
      </c>
      <c r="O1282" s="31" t="s">
        <v>4638</v>
      </c>
      <c r="P1282">
        <v>220</v>
      </c>
      <c r="R1282">
        <v>2</v>
      </c>
      <c r="S1282" s="31">
        <v>150000</v>
      </c>
      <c r="T1282" s="39">
        <v>160000</v>
      </c>
      <c r="U1282">
        <v>20000</v>
      </c>
      <c r="V1282">
        <v>16000</v>
      </c>
      <c r="W1282">
        <v>0</v>
      </c>
      <c r="X1282" s="39">
        <v>34880</v>
      </c>
      <c r="Y1282">
        <v>0</v>
      </c>
      <c r="Z1282" s="31">
        <v>124000</v>
      </c>
      <c r="AA1282">
        <v>8</v>
      </c>
      <c r="AB1282" s="3">
        <f t="shared" si="59"/>
        <v>124000</v>
      </c>
      <c r="AC1282" t="str">
        <f>IF(AB1282-S1282&lt;0,"YES","NO")</f>
        <v>YES</v>
      </c>
      <c r="AD1282">
        <f>IF(AC1282="NO",0,AB1282-S1282)</f>
        <v>-26000</v>
      </c>
      <c r="AE1282" s="43">
        <v>0.08</v>
      </c>
      <c r="AF1282" s="3">
        <f t="shared" si="60"/>
        <v>-24074.074074074073</v>
      </c>
      <c r="AG1282" s="45">
        <f t="shared" si="61"/>
        <v>-26481.481481481482</v>
      </c>
      <c r="AH1282" s="55"/>
    </row>
    <row r="1283" spans="1:34" x14ac:dyDescent="0.25">
      <c r="A1283" t="s">
        <v>4639</v>
      </c>
      <c r="B1283" t="s">
        <v>4640</v>
      </c>
      <c r="C1283" t="s">
        <v>4641</v>
      </c>
      <c r="D1283" t="s">
        <v>4642</v>
      </c>
      <c r="E1283" t="s">
        <v>4643</v>
      </c>
      <c r="F1283" t="s">
        <v>4644</v>
      </c>
      <c r="G1283" t="s">
        <v>5</v>
      </c>
      <c r="H1283" t="s">
        <v>61</v>
      </c>
      <c r="I1283" t="s">
        <v>62</v>
      </c>
      <c r="J1283" t="s">
        <v>63</v>
      </c>
      <c r="K1283" t="s">
        <v>3</v>
      </c>
      <c r="L1283" t="s">
        <v>4</v>
      </c>
      <c r="M1283" t="s">
        <v>49</v>
      </c>
      <c r="N1283" t="s">
        <v>4645</v>
      </c>
      <c r="O1283" s="31" t="s">
        <v>4646</v>
      </c>
      <c r="P1283">
        <v>20000</v>
      </c>
      <c r="Q1283" t="s">
        <v>64</v>
      </c>
      <c r="R1283">
        <v>1</v>
      </c>
      <c r="S1283" s="31">
        <v>0</v>
      </c>
      <c r="T1283" s="39">
        <v>0</v>
      </c>
      <c r="U1283">
        <v>0</v>
      </c>
      <c r="V1283">
        <v>0</v>
      </c>
      <c r="W1283">
        <v>0</v>
      </c>
      <c r="X1283" s="39">
        <v>0</v>
      </c>
      <c r="Y1283">
        <v>0</v>
      </c>
      <c r="Z1283" s="31">
        <v>0</v>
      </c>
      <c r="AA1283">
        <v>8</v>
      </c>
      <c r="AB1283" s="3">
        <f t="shared" si="59"/>
        <v>0</v>
      </c>
      <c r="AC1283" t="str">
        <f>IF(AB1283-S1283&lt;0,"YES","NO")</f>
        <v>NO</v>
      </c>
      <c r="AD1283">
        <f>IF(AC1283="NO",0,AB1283-S1283)</f>
        <v>0</v>
      </c>
      <c r="AE1283" s="43">
        <v>0.08</v>
      </c>
      <c r="AF1283" s="3">
        <f t="shared" si="60"/>
        <v>0</v>
      </c>
      <c r="AG1283" s="45">
        <f t="shared" si="61"/>
        <v>0</v>
      </c>
      <c r="AH1283" s="55"/>
    </row>
    <row r="1284" spans="1:34" x14ac:dyDescent="0.25">
      <c r="A1284" t="s">
        <v>4639</v>
      </c>
      <c r="B1284" t="s">
        <v>4640</v>
      </c>
      <c r="C1284" t="s">
        <v>4641</v>
      </c>
      <c r="D1284" t="s">
        <v>4642</v>
      </c>
      <c r="E1284" t="s">
        <v>4643</v>
      </c>
      <c r="F1284" t="s">
        <v>4644</v>
      </c>
      <c r="G1284" t="s">
        <v>5</v>
      </c>
      <c r="H1284" t="s">
        <v>65</v>
      </c>
      <c r="I1284" t="s">
        <v>71</v>
      </c>
      <c r="J1284" t="s">
        <v>72</v>
      </c>
      <c r="K1284" t="s">
        <v>3</v>
      </c>
      <c r="L1284" t="s">
        <v>4</v>
      </c>
      <c r="M1284" t="s">
        <v>49</v>
      </c>
      <c r="N1284" t="s">
        <v>4645</v>
      </c>
      <c r="O1284" s="31" t="s">
        <v>4646</v>
      </c>
      <c r="P1284">
        <v>220</v>
      </c>
      <c r="Q1284" t="s">
        <v>70</v>
      </c>
      <c r="R1284">
        <v>3</v>
      </c>
      <c r="S1284" s="31">
        <v>177000</v>
      </c>
      <c r="T1284" s="39">
        <v>195000</v>
      </c>
      <c r="U1284">
        <v>35000.01</v>
      </c>
      <c r="V1284">
        <v>19500</v>
      </c>
      <c r="W1284">
        <v>0</v>
      </c>
      <c r="X1284" s="39">
        <v>51860.01</v>
      </c>
      <c r="Y1284">
        <v>0</v>
      </c>
      <c r="Z1284" s="31">
        <v>140499.99</v>
      </c>
      <c r="AA1284">
        <v>8</v>
      </c>
      <c r="AB1284" s="3">
        <f t="shared" si="59"/>
        <v>140499.99</v>
      </c>
      <c r="AC1284" t="str">
        <f>IF(AB1284-S1284&lt;0,"YES","NO")</f>
        <v>YES</v>
      </c>
      <c r="AD1284">
        <f>IF(AC1284="NO",0,AB1284-S1284)</f>
        <v>-36500.010000000009</v>
      </c>
      <c r="AE1284" s="43">
        <v>0.08</v>
      </c>
      <c r="AF1284" s="3">
        <f t="shared" si="60"/>
        <v>-33796.305555555562</v>
      </c>
      <c r="AG1284" s="45">
        <f t="shared" si="61"/>
        <v>-37175.936111111121</v>
      </c>
      <c r="AH1284" s="55"/>
    </row>
    <row r="1285" spans="1:34" x14ac:dyDescent="0.25">
      <c r="A1285" t="s">
        <v>4647</v>
      </c>
      <c r="B1285" t="s">
        <v>4648</v>
      </c>
      <c r="C1285" t="s">
        <v>4649</v>
      </c>
      <c r="D1285" t="s">
        <v>4650</v>
      </c>
      <c r="E1285" t="s">
        <v>4651</v>
      </c>
      <c r="F1285" t="s">
        <v>4652</v>
      </c>
      <c r="G1285" t="s">
        <v>5</v>
      </c>
      <c r="H1285" t="s">
        <v>61</v>
      </c>
      <c r="I1285" t="s">
        <v>62</v>
      </c>
      <c r="J1285" t="s">
        <v>63</v>
      </c>
      <c r="K1285" t="s">
        <v>3</v>
      </c>
      <c r="L1285" t="s">
        <v>4</v>
      </c>
      <c r="M1285" t="s">
        <v>49</v>
      </c>
      <c r="N1285" t="s">
        <v>4653</v>
      </c>
      <c r="O1285" s="31" t="s">
        <v>4654</v>
      </c>
      <c r="P1285">
        <v>20000</v>
      </c>
      <c r="Q1285" t="s">
        <v>64</v>
      </c>
      <c r="R1285">
        <v>1</v>
      </c>
      <c r="S1285" s="31">
        <v>0</v>
      </c>
      <c r="T1285" s="39">
        <v>0</v>
      </c>
      <c r="U1285">
        <v>0</v>
      </c>
      <c r="V1285">
        <v>0</v>
      </c>
      <c r="W1285">
        <v>0</v>
      </c>
      <c r="X1285" s="39">
        <v>0</v>
      </c>
      <c r="Y1285">
        <v>0</v>
      </c>
      <c r="Z1285" s="31">
        <v>0</v>
      </c>
      <c r="AA1285">
        <v>8</v>
      </c>
      <c r="AB1285" s="3">
        <f t="shared" si="59"/>
        <v>0</v>
      </c>
      <c r="AC1285" t="str">
        <f>IF(AB1285-S1285&lt;0,"YES","NO")</f>
        <v>NO</v>
      </c>
      <c r="AD1285">
        <f>IF(AC1285="NO",0,AB1285-S1285)</f>
        <v>0</v>
      </c>
      <c r="AE1285" s="43">
        <v>0.08</v>
      </c>
      <c r="AF1285" s="3">
        <f t="shared" si="60"/>
        <v>0</v>
      </c>
      <c r="AG1285" s="45">
        <f t="shared" si="61"/>
        <v>0</v>
      </c>
      <c r="AH1285" s="55"/>
    </row>
    <row r="1286" spans="1:34" x14ac:dyDescent="0.25">
      <c r="A1286" t="s">
        <v>4647</v>
      </c>
      <c r="B1286" t="s">
        <v>4648</v>
      </c>
      <c r="C1286" t="s">
        <v>4649</v>
      </c>
      <c r="D1286" t="s">
        <v>4650</v>
      </c>
      <c r="E1286" t="s">
        <v>4651</v>
      </c>
      <c r="F1286" t="s">
        <v>4652</v>
      </c>
      <c r="G1286" t="s">
        <v>5</v>
      </c>
      <c r="H1286" t="s">
        <v>65</v>
      </c>
      <c r="I1286" t="s">
        <v>68</v>
      </c>
      <c r="J1286" t="s">
        <v>69</v>
      </c>
      <c r="K1286" t="s">
        <v>3</v>
      </c>
      <c r="L1286" t="s">
        <v>4</v>
      </c>
      <c r="M1286" t="s">
        <v>49</v>
      </c>
      <c r="N1286" t="s">
        <v>4653</v>
      </c>
      <c r="O1286" s="31" t="s">
        <v>4654</v>
      </c>
      <c r="P1286">
        <v>220</v>
      </c>
      <c r="Q1286" t="s">
        <v>70</v>
      </c>
      <c r="R1286">
        <v>3</v>
      </c>
      <c r="S1286" s="31">
        <v>177000</v>
      </c>
      <c r="T1286" s="39">
        <v>195000</v>
      </c>
      <c r="U1286">
        <v>35000.01</v>
      </c>
      <c r="V1286">
        <v>19500</v>
      </c>
      <c r="W1286">
        <v>0</v>
      </c>
      <c r="X1286" s="39">
        <v>63099.99</v>
      </c>
      <c r="Y1286">
        <v>0</v>
      </c>
      <c r="Z1286" s="31">
        <v>140499.99</v>
      </c>
      <c r="AA1286">
        <v>8</v>
      </c>
      <c r="AB1286" s="3">
        <f t="shared" ref="AB1286:AB1311" si="62">Z1286</f>
        <v>140499.99</v>
      </c>
      <c r="AC1286" t="str">
        <f>IF(AB1286-S1286&lt;0,"YES","NO")</f>
        <v>YES</v>
      </c>
      <c r="AD1286">
        <f>IF(AC1286="NO",0,AB1286-S1286)</f>
        <v>-36500.010000000009</v>
      </c>
      <c r="AE1286" s="43">
        <v>0.08</v>
      </c>
      <c r="AF1286" s="3">
        <f t="shared" ref="AF1286:AF1311" si="63">AD1286/(1+AE1286)</f>
        <v>-33796.305555555562</v>
      </c>
      <c r="AG1286" s="45">
        <f t="shared" ref="AG1286:AG1311" si="64">AF1286*1.1</f>
        <v>-37175.936111111121</v>
      </c>
      <c r="AH1286" s="55"/>
    </row>
    <row r="1287" spans="1:34" x14ac:dyDescent="0.25">
      <c r="A1287" t="s">
        <v>4655</v>
      </c>
      <c r="B1287" t="s">
        <v>4656</v>
      </c>
      <c r="C1287" t="s">
        <v>4657</v>
      </c>
      <c r="D1287" t="s">
        <v>4658</v>
      </c>
      <c r="E1287" t="s">
        <v>4659</v>
      </c>
      <c r="F1287" t="s">
        <v>4660</v>
      </c>
      <c r="G1287" t="s">
        <v>5</v>
      </c>
      <c r="H1287" t="s">
        <v>61</v>
      </c>
      <c r="I1287" t="s">
        <v>62</v>
      </c>
      <c r="J1287" t="s">
        <v>63</v>
      </c>
      <c r="K1287" t="s">
        <v>3</v>
      </c>
      <c r="L1287" t="s">
        <v>4</v>
      </c>
      <c r="M1287" t="s">
        <v>49</v>
      </c>
      <c r="N1287" t="s">
        <v>4661</v>
      </c>
      <c r="O1287" s="31" t="s">
        <v>4662</v>
      </c>
      <c r="P1287">
        <v>20000</v>
      </c>
      <c r="Q1287" t="s">
        <v>64</v>
      </c>
      <c r="R1287">
        <v>1</v>
      </c>
      <c r="S1287" s="31">
        <v>0</v>
      </c>
      <c r="T1287" s="39">
        <v>0</v>
      </c>
      <c r="U1287">
        <v>0</v>
      </c>
      <c r="V1287">
        <v>0</v>
      </c>
      <c r="W1287">
        <v>0</v>
      </c>
      <c r="X1287" s="39">
        <v>0</v>
      </c>
      <c r="Y1287">
        <v>0</v>
      </c>
      <c r="Z1287" s="31">
        <v>0</v>
      </c>
      <c r="AA1287">
        <v>8</v>
      </c>
      <c r="AB1287" s="3">
        <f t="shared" si="62"/>
        <v>0</v>
      </c>
      <c r="AC1287" t="str">
        <f>IF(AB1287-S1287&lt;0,"YES","NO")</f>
        <v>NO</v>
      </c>
      <c r="AD1287">
        <f>IF(AC1287="NO",0,AB1287-S1287)</f>
        <v>0</v>
      </c>
      <c r="AE1287" s="43">
        <v>0.08</v>
      </c>
      <c r="AF1287" s="3">
        <f t="shared" si="63"/>
        <v>0</v>
      </c>
      <c r="AG1287" s="45">
        <f t="shared" si="64"/>
        <v>0</v>
      </c>
      <c r="AH1287" s="55"/>
    </row>
    <row r="1288" spans="1:34" x14ac:dyDescent="0.25">
      <c r="A1288" t="s">
        <v>4655</v>
      </c>
      <c r="B1288" t="s">
        <v>4656</v>
      </c>
      <c r="C1288" t="s">
        <v>4657</v>
      </c>
      <c r="D1288" t="s">
        <v>4658</v>
      </c>
      <c r="E1288" t="s">
        <v>4659</v>
      </c>
      <c r="F1288" t="s">
        <v>4660</v>
      </c>
      <c r="G1288" t="s">
        <v>5</v>
      </c>
      <c r="H1288" t="s">
        <v>65</v>
      </c>
      <c r="I1288" t="s">
        <v>66</v>
      </c>
      <c r="J1288" t="s">
        <v>67</v>
      </c>
      <c r="K1288" t="s">
        <v>3</v>
      </c>
      <c r="L1288" t="s">
        <v>4</v>
      </c>
      <c r="M1288" t="s">
        <v>49</v>
      </c>
      <c r="N1288" t="s">
        <v>4661</v>
      </c>
      <c r="O1288" s="31" t="s">
        <v>4662</v>
      </c>
      <c r="P1288">
        <v>220</v>
      </c>
      <c r="R1288">
        <v>3</v>
      </c>
      <c r="S1288" s="31">
        <v>225000</v>
      </c>
      <c r="T1288" s="39">
        <v>240000</v>
      </c>
      <c r="U1288">
        <v>35000.01</v>
      </c>
      <c r="V1288">
        <v>24000</v>
      </c>
      <c r="W1288">
        <v>0</v>
      </c>
      <c r="X1288" s="39">
        <v>71199.990000000005</v>
      </c>
      <c r="Y1288">
        <v>0</v>
      </c>
      <c r="Z1288" s="31">
        <v>180999.99</v>
      </c>
      <c r="AA1288">
        <v>8</v>
      </c>
      <c r="AB1288" s="3">
        <f t="shared" si="62"/>
        <v>180999.99</v>
      </c>
      <c r="AC1288" t="str">
        <f>IF(AB1288-S1288&lt;0,"YES","NO")</f>
        <v>YES</v>
      </c>
      <c r="AD1288">
        <f>IF(AC1288="NO",0,AB1288-S1288)</f>
        <v>-44000.010000000009</v>
      </c>
      <c r="AE1288" s="43">
        <v>0.08</v>
      </c>
      <c r="AF1288" s="3">
        <f t="shared" si="63"/>
        <v>-40740.750000000007</v>
      </c>
      <c r="AG1288" s="45">
        <f t="shared" si="64"/>
        <v>-44814.825000000012</v>
      </c>
      <c r="AH1288" s="55"/>
    </row>
    <row r="1289" spans="1:34" x14ac:dyDescent="0.25">
      <c r="A1289" t="s">
        <v>4663</v>
      </c>
      <c r="B1289" t="s">
        <v>4664</v>
      </c>
      <c r="C1289" t="s">
        <v>4665</v>
      </c>
      <c r="D1289" t="s">
        <v>4666</v>
      </c>
      <c r="E1289" t="s">
        <v>4667</v>
      </c>
      <c r="F1289" t="s">
        <v>4668</v>
      </c>
      <c r="G1289" t="s">
        <v>5</v>
      </c>
      <c r="H1289" t="s">
        <v>61</v>
      </c>
      <c r="I1289" t="s">
        <v>62</v>
      </c>
      <c r="J1289" t="s">
        <v>63</v>
      </c>
      <c r="K1289" t="s">
        <v>3</v>
      </c>
      <c r="L1289" t="s">
        <v>4</v>
      </c>
      <c r="M1289" t="s">
        <v>49</v>
      </c>
      <c r="N1289" t="s">
        <v>4669</v>
      </c>
      <c r="O1289" s="31" t="s">
        <v>4670</v>
      </c>
      <c r="P1289">
        <v>20000</v>
      </c>
      <c r="Q1289" t="s">
        <v>64</v>
      </c>
      <c r="R1289">
        <v>1</v>
      </c>
      <c r="S1289" s="31">
        <v>0</v>
      </c>
      <c r="T1289" s="39">
        <v>0</v>
      </c>
      <c r="U1289">
        <v>0</v>
      </c>
      <c r="V1289">
        <v>0</v>
      </c>
      <c r="W1289">
        <v>0</v>
      </c>
      <c r="X1289" s="39">
        <v>0</v>
      </c>
      <c r="Y1289">
        <v>0</v>
      </c>
      <c r="Z1289" s="31">
        <v>0</v>
      </c>
      <c r="AA1289">
        <v>8</v>
      </c>
      <c r="AB1289" s="3">
        <f t="shared" si="62"/>
        <v>0</v>
      </c>
      <c r="AC1289" t="str">
        <f>IF(AB1289-S1289&lt;0,"YES","NO")</f>
        <v>NO</v>
      </c>
      <c r="AD1289">
        <f>IF(AC1289="NO",0,AB1289-S1289)</f>
        <v>0</v>
      </c>
      <c r="AE1289" s="43">
        <v>0.08</v>
      </c>
      <c r="AF1289" s="3">
        <f t="shared" si="63"/>
        <v>0</v>
      </c>
      <c r="AG1289" s="45">
        <f t="shared" si="64"/>
        <v>0</v>
      </c>
      <c r="AH1289" s="55"/>
    </row>
    <row r="1290" spans="1:34" x14ac:dyDescent="0.25">
      <c r="A1290" t="s">
        <v>4663</v>
      </c>
      <c r="B1290" t="s">
        <v>4664</v>
      </c>
      <c r="C1290" t="s">
        <v>4665</v>
      </c>
      <c r="D1290" t="s">
        <v>4666</v>
      </c>
      <c r="E1290" t="s">
        <v>4667</v>
      </c>
      <c r="F1290" t="s">
        <v>4668</v>
      </c>
      <c r="G1290" t="s">
        <v>5</v>
      </c>
      <c r="H1290" t="s">
        <v>65</v>
      </c>
      <c r="I1290" t="s">
        <v>66</v>
      </c>
      <c r="J1290" t="s">
        <v>67</v>
      </c>
      <c r="K1290" t="s">
        <v>3</v>
      </c>
      <c r="L1290" t="s">
        <v>4</v>
      </c>
      <c r="M1290" t="s">
        <v>49</v>
      </c>
      <c r="N1290" t="s">
        <v>4669</v>
      </c>
      <c r="O1290" s="31" t="s">
        <v>4670</v>
      </c>
      <c r="P1290">
        <v>220</v>
      </c>
      <c r="R1290">
        <v>3</v>
      </c>
      <c r="S1290" s="31">
        <v>225000</v>
      </c>
      <c r="T1290" s="39">
        <v>240000</v>
      </c>
      <c r="U1290">
        <v>35000.01</v>
      </c>
      <c r="V1290">
        <v>24000</v>
      </c>
      <c r="W1290">
        <v>0</v>
      </c>
      <c r="X1290" s="39">
        <v>71199.990000000005</v>
      </c>
      <c r="Y1290">
        <v>0</v>
      </c>
      <c r="Z1290" s="31">
        <v>180999.99</v>
      </c>
      <c r="AA1290">
        <v>8</v>
      </c>
      <c r="AB1290" s="3">
        <f t="shared" si="62"/>
        <v>180999.99</v>
      </c>
      <c r="AC1290" t="str">
        <f>IF(AB1290-S1290&lt;0,"YES","NO")</f>
        <v>YES</v>
      </c>
      <c r="AD1290">
        <f>IF(AC1290="NO",0,AB1290-S1290)</f>
        <v>-44000.010000000009</v>
      </c>
      <c r="AE1290" s="43">
        <v>0.08</v>
      </c>
      <c r="AF1290" s="3">
        <f t="shared" si="63"/>
        <v>-40740.750000000007</v>
      </c>
      <c r="AG1290" s="45">
        <f t="shared" si="64"/>
        <v>-44814.825000000012</v>
      </c>
      <c r="AH1290" s="55"/>
    </row>
    <row r="1291" spans="1:34" x14ac:dyDescent="0.25">
      <c r="A1291" t="s">
        <v>4671</v>
      </c>
      <c r="B1291" t="s">
        <v>4672</v>
      </c>
      <c r="C1291" t="s">
        <v>4673</v>
      </c>
      <c r="D1291" t="s">
        <v>4674</v>
      </c>
      <c r="E1291" t="s">
        <v>4675</v>
      </c>
      <c r="F1291" t="s">
        <v>4676</v>
      </c>
      <c r="G1291" t="s">
        <v>5</v>
      </c>
      <c r="H1291" t="s">
        <v>61</v>
      </c>
      <c r="I1291" t="s">
        <v>62</v>
      </c>
      <c r="J1291" t="s">
        <v>63</v>
      </c>
      <c r="K1291" t="s">
        <v>3</v>
      </c>
      <c r="L1291" t="s">
        <v>4</v>
      </c>
      <c r="M1291" t="s">
        <v>49</v>
      </c>
      <c r="N1291" t="s">
        <v>4677</v>
      </c>
      <c r="O1291" s="31" t="s">
        <v>4678</v>
      </c>
      <c r="P1291">
        <v>20000</v>
      </c>
      <c r="Q1291" t="s">
        <v>64</v>
      </c>
      <c r="R1291">
        <v>1</v>
      </c>
      <c r="S1291" s="31">
        <v>0</v>
      </c>
      <c r="T1291" s="39">
        <v>0</v>
      </c>
      <c r="U1291">
        <v>0</v>
      </c>
      <c r="V1291">
        <v>0</v>
      </c>
      <c r="W1291">
        <v>0</v>
      </c>
      <c r="X1291" s="39">
        <v>0</v>
      </c>
      <c r="Y1291">
        <v>0</v>
      </c>
      <c r="Z1291" s="31">
        <v>0</v>
      </c>
      <c r="AA1291">
        <v>8</v>
      </c>
      <c r="AB1291" s="3">
        <f t="shared" si="62"/>
        <v>0</v>
      </c>
      <c r="AC1291" t="str">
        <f>IF(AB1291-S1291&lt;0,"YES","NO")</f>
        <v>NO</v>
      </c>
      <c r="AD1291">
        <f>IF(AC1291="NO",0,AB1291-S1291)</f>
        <v>0</v>
      </c>
      <c r="AE1291" s="43">
        <v>0.08</v>
      </c>
      <c r="AF1291" s="3">
        <f t="shared" si="63"/>
        <v>0</v>
      </c>
      <c r="AG1291" s="45">
        <f t="shared" si="64"/>
        <v>0</v>
      </c>
      <c r="AH1291" s="55"/>
    </row>
    <row r="1292" spans="1:34" x14ac:dyDescent="0.25">
      <c r="A1292" t="s">
        <v>4671</v>
      </c>
      <c r="B1292" t="s">
        <v>4672</v>
      </c>
      <c r="C1292" t="s">
        <v>4673</v>
      </c>
      <c r="D1292" t="s">
        <v>4674</v>
      </c>
      <c r="E1292" t="s">
        <v>4675</v>
      </c>
      <c r="F1292" t="s">
        <v>4676</v>
      </c>
      <c r="G1292" t="s">
        <v>5</v>
      </c>
      <c r="H1292" t="s">
        <v>65</v>
      </c>
      <c r="I1292" t="s">
        <v>66</v>
      </c>
      <c r="J1292" t="s">
        <v>67</v>
      </c>
      <c r="K1292" t="s">
        <v>3</v>
      </c>
      <c r="L1292" t="s">
        <v>4</v>
      </c>
      <c r="M1292" t="s">
        <v>49</v>
      </c>
      <c r="N1292" t="s">
        <v>4677</v>
      </c>
      <c r="O1292" s="31" t="s">
        <v>4678</v>
      </c>
      <c r="P1292">
        <v>220</v>
      </c>
      <c r="R1292">
        <v>2</v>
      </c>
      <c r="S1292" s="31">
        <v>150000</v>
      </c>
      <c r="T1292" s="39">
        <v>160000</v>
      </c>
      <c r="U1292">
        <v>20000</v>
      </c>
      <c r="V1292">
        <v>16000</v>
      </c>
      <c r="W1292">
        <v>0</v>
      </c>
      <c r="X1292" s="39">
        <v>38600</v>
      </c>
      <c r="Y1292">
        <v>0</v>
      </c>
      <c r="Z1292" s="31">
        <v>124000</v>
      </c>
      <c r="AA1292">
        <v>8</v>
      </c>
      <c r="AB1292" s="3">
        <f t="shared" si="62"/>
        <v>124000</v>
      </c>
      <c r="AC1292" t="str">
        <f>IF(AB1292-S1292&lt;0,"YES","NO")</f>
        <v>YES</v>
      </c>
      <c r="AD1292">
        <f>IF(AC1292="NO",0,AB1292-S1292)</f>
        <v>-26000</v>
      </c>
      <c r="AE1292" s="43">
        <v>0.08</v>
      </c>
      <c r="AF1292" s="3">
        <f t="shared" si="63"/>
        <v>-24074.074074074073</v>
      </c>
      <c r="AG1292" s="45">
        <f t="shared" si="64"/>
        <v>-26481.481481481482</v>
      </c>
      <c r="AH1292" s="55"/>
    </row>
    <row r="1293" spans="1:34" x14ac:dyDescent="0.25">
      <c r="A1293" t="s">
        <v>4679</v>
      </c>
      <c r="B1293" t="s">
        <v>4680</v>
      </c>
      <c r="C1293" t="s">
        <v>4681</v>
      </c>
      <c r="D1293" t="s">
        <v>4682</v>
      </c>
      <c r="E1293" t="s">
        <v>4683</v>
      </c>
      <c r="F1293" t="s">
        <v>4684</v>
      </c>
      <c r="G1293" t="s">
        <v>5</v>
      </c>
      <c r="H1293" t="s">
        <v>61</v>
      </c>
      <c r="I1293" t="s">
        <v>62</v>
      </c>
      <c r="J1293" t="s">
        <v>63</v>
      </c>
      <c r="K1293" t="s">
        <v>3</v>
      </c>
      <c r="L1293" t="s">
        <v>4</v>
      </c>
      <c r="M1293" t="s">
        <v>49</v>
      </c>
      <c r="N1293" t="s">
        <v>4685</v>
      </c>
      <c r="O1293" s="31" t="s">
        <v>4686</v>
      </c>
      <c r="P1293">
        <v>20000</v>
      </c>
      <c r="Q1293" t="s">
        <v>64</v>
      </c>
      <c r="R1293">
        <v>1</v>
      </c>
      <c r="S1293" s="31">
        <v>0</v>
      </c>
      <c r="T1293" s="39">
        <v>0</v>
      </c>
      <c r="U1293">
        <v>0</v>
      </c>
      <c r="V1293">
        <v>0</v>
      </c>
      <c r="W1293">
        <v>0</v>
      </c>
      <c r="X1293" s="39">
        <v>0</v>
      </c>
      <c r="Y1293">
        <v>0</v>
      </c>
      <c r="Z1293" s="31">
        <v>0</v>
      </c>
      <c r="AA1293">
        <v>8</v>
      </c>
      <c r="AB1293" s="3">
        <f t="shared" si="62"/>
        <v>0</v>
      </c>
      <c r="AC1293" t="str">
        <f>IF(AB1293-S1293&lt;0,"YES","NO")</f>
        <v>NO</v>
      </c>
      <c r="AD1293">
        <f>IF(AC1293="NO",0,AB1293-S1293)</f>
        <v>0</v>
      </c>
      <c r="AE1293" s="43">
        <v>0.08</v>
      </c>
      <c r="AF1293" s="3">
        <f t="shared" si="63"/>
        <v>0</v>
      </c>
      <c r="AG1293" s="45">
        <f t="shared" si="64"/>
        <v>0</v>
      </c>
      <c r="AH1293" s="55"/>
    </row>
    <row r="1294" spans="1:34" x14ac:dyDescent="0.25">
      <c r="A1294" t="s">
        <v>4679</v>
      </c>
      <c r="B1294" t="s">
        <v>4680</v>
      </c>
      <c r="C1294" t="s">
        <v>4681</v>
      </c>
      <c r="D1294" t="s">
        <v>4682</v>
      </c>
      <c r="E1294" t="s">
        <v>4683</v>
      </c>
      <c r="F1294" t="s">
        <v>4684</v>
      </c>
      <c r="G1294" t="s">
        <v>5</v>
      </c>
      <c r="H1294" t="s">
        <v>65</v>
      </c>
      <c r="I1294" t="s">
        <v>68</v>
      </c>
      <c r="J1294" t="s">
        <v>69</v>
      </c>
      <c r="K1294" t="s">
        <v>3</v>
      </c>
      <c r="L1294" t="s">
        <v>4</v>
      </c>
      <c r="M1294" t="s">
        <v>49</v>
      </c>
      <c r="N1294" t="s">
        <v>4685</v>
      </c>
      <c r="O1294" s="31" t="s">
        <v>4686</v>
      </c>
      <c r="P1294">
        <v>220</v>
      </c>
      <c r="Q1294" t="s">
        <v>70</v>
      </c>
      <c r="R1294">
        <v>1</v>
      </c>
      <c r="S1294" s="31">
        <v>59000</v>
      </c>
      <c r="T1294" s="39">
        <v>65000</v>
      </c>
      <c r="U1294">
        <v>11666.67</v>
      </c>
      <c r="V1294">
        <v>5000</v>
      </c>
      <c r="W1294">
        <v>0</v>
      </c>
      <c r="X1294" s="39">
        <v>18916.669999999998</v>
      </c>
      <c r="Y1294">
        <v>0</v>
      </c>
      <c r="Z1294" s="31">
        <v>48333.33</v>
      </c>
      <c r="AA1294">
        <v>8</v>
      </c>
      <c r="AB1294" s="3">
        <f t="shared" si="62"/>
        <v>48333.33</v>
      </c>
      <c r="AC1294" t="str">
        <f>IF(AB1294-S1294&lt;0,"YES","NO")</f>
        <v>YES</v>
      </c>
      <c r="AD1294">
        <f>IF(AC1294="NO",0,AB1294-S1294)</f>
        <v>-10666.669999999998</v>
      </c>
      <c r="AE1294" s="43">
        <v>0.08</v>
      </c>
      <c r="AF1294" s="3">
        <f t="shared" si="63"/>
        <v>-9876.5462962962938</v>
      </c>
      <c r="AG1294" s="45">
        <f t="shared" si="64"/>
        <v>-10864.200925925925</v>
      </c>
      <c r="AH1294" s="55"/>
    </row>
    <row r="1295" spans="1:34" x14ac:dyDescent="0.25">
      <c r="A1295" t="s">
        <v>4679</v>
      </c>
      <c r="B1295" t="s">
        <v>4680</v>
      </c>
      <c r="C1295" t="s">
        <v>4681</v>
      </c>
      <c r="D1295" t="s">
        <v>4682</v>
      </c>
      <c r="E1295" t="s">
        <v>4683</v>
      </c>
      <c r="F1295" t="s">
        <v>4684</v>
      </c>
      <c r="G1295" t="s">
        <v>5</v>
      </c>
      <c r="H1295" t="s">
        <v>65</v>
      </c>
      <c r="I1295" t="s">
        <v>71</v>
      </c>
      <c r="J1295" t="s">
        <v>72</v>
      </c>
      <c r="K1295" t="s">
        <v>3</v>
      </c>
      <c r="L1295" t="s">
        <v>4</v>
      </c>
      <c r="M1295" t="s">
        <v>49</v>
      </c>
      <c r="N1295" t="s">
        <v>4685</v>
      </c>
      <c r="O1295" s="31" t="s">
        <v>4686</v>
      </c>
      <c r="P1295">
        <v>220</v>
      </c>
      <c r="Q1295" t="s">
        <v>70</v>
      </c>
      <c r="R1295">
        <v>1</v>
      </c>
      <c r="S1295" s="31">
        <v>59000</v>
      </c>
      <c r="T1295" s="39">
        <v>65000</v>
      </c>
      <c r="U1295">
        <v>11666.67</v>
      </c>
      <c r="V1295">
        <v>5000</v>
      </c>
      <c r="W1295">
        <v>0</v>
      </c>
      <c r="X1295" s="39">
        <v>18916.669999999998</v>
      </c>
      <c r="Y1295">
        <v>0</v>
      </c>
      <c r="Z1295" s="31">
        <v>48333.33</v>
      </c>
      <c r="AA1295">
        <v>8</v>
      </c>
      <c r="AB1295" s="3">
        <f t="shared" si="62"/>
        <v>48333.33</v>
      </c>
      <c r="AC1295" t="str">
        <f>IF(AB1295-S1295&lt;0,"YES","NO")</f>
        <v>YES</v>
      </c>
      <c r="AD1295">
        <f>IF(AC1295="NO",0,AB1295-S1295)</f>
        <v>-10666.669999999998</v>
      </c>
      <c r="AE1295" s="43">
        <v>0.08</v>
      </c>
      <c r="AF1295" s="3">
        <f t="shared" si="63"/>
        <v>-9876.5462962962938</v>
      </c>
      <c r="AG1295" s="45">
        <f t="shared" si="64"/>
        <v>-10864.200925925925</v>
      </c>
      <c r="AH1295" s="55"/>
    </row>
    <row r="1296" spans="1:34" x14ac:dyDescent="0.25">
      <c r="A1296" t="s">
        <v>4679</v>
      </c>
      <c r="B1296" t="s">
        <v>4680</v>
      </c>
      <c r="C1296" t="s">
        <v>4681</v>
      </c>
      <c r="D1296" t="s">
        <v>4682</v>
      </c>
      <c r="E1296" t="s">
        <v>4683</v>
      </c>
      <c r="F1296" t="s">
        <v>4684</v>
      </c>
      <c r="G1296" t="s">
        <v>5</v>
      </c>
      <c r="H1296" t="s">
        <v>65</v>
      </c>
      <c r="I1296" t="s">
        <v>73</v>
      </c>
      <c r="J1296" t="s">
        <v>74</v>
      </c>
      <c r="K1296" t="s">
        <v>3</v>
      </c>
      <c r="L1296" t="s">
        <v>4</v>
      </c>
      <c r="M1296" t="s">
        <v>49</v>
      </c>
      <c r="N1296" t="s">
        <v>4685</v>
      </c>
      <c r="O1296" s="31" t="s">
        <v>4686</v>
      </c>
      <c r="P1296">
        <v>220</v>
      </c>
      <c r="Q1296" t="s">
        <v>70</v>
      </c>
      <c r="R1296">
        <v>1</v>
      </c>
      <c r="S1296" s="31">
        <v>59000</v>
      </c>
      <c r="T1296" s="39">
        <v>65000</v>
      </c>
      <c r="U1296">
        <v>11666.67</v>
      </c>
      <c r="V1296">
        <v>5000</v>
      </c>
      <c r="W1296">
        <v>0</v>
      </c>
      <c r="X1296" s="39">
        <v>18916.669999999998</v>
      </c>
      <c r="Y1296">
        <v>0</v>
      </c>
      <c r="Z1296" s="31">
        <v>48333.33</v>
      </c>
      <c r="AA1296">
        <v>8</v>
      </c>
      <c r="AB1296" s="3">
        <f t="shared" si="62"/>
        <v>48333.33</v>
      </c>
      <c r="AC1296" t="str">
        <f>IF(AB1296-S1296&lt;0,"YES","NO")</f>
        <v>YES</v>
      </c>
      <c r="AD1296">
        <f>IF(AC1296="NO",0,AB1296-S1296)</f>
        <v>-10666.669999999998</v>
      </c>
      <c r="AE1296" s="43">
        <v>0.08</v>
      </c>
      <c r="AF1296" s="3">
        <f t="shared" si="63"/>
        <v>-9876.5462962962938</v>
      </c>
      <c r="AG1296" s="45">
        <f t="shared" si="64"/>
        <v>-10864.200925925925</v>
      </c>
      <c r="AH1296" s="55"/>
    </row>
    <row r="1297" spans="1:34" x14ac:dyDescent="0.25">
      <c r="A1297" t="s">
        <v>4679</v>
      </c>
      <c r="B1297" t="s">
        <v>4680</v>
      </c>
      <c r="C1297" t="s">
        <v>4681</v>
      </c>
      <c r="D1297" t="s">
        <v>4682</v>
      </c>
      <c r="E1297" t="s">
        <v>4683</v>
      </c>
      <c r="F1297" t="s">
        <v>4684</v>
      </c>
      <c r="G1297" t="s">
        <v>5</v>
      </c>
      <c r="H1297" t="s">
        <v>65</v>
      </c>
      <c r="I1297" t="s">
        <v>90</v>
      </c>
      <c r="J1297" t="s">
        <v>91</v>
      </c>
      <c r="K1297" t="s">
        <v>3</v>
      </c>
      <c r="L1297" t="s">
        <v>4</v>
      </c>
      <c r="M1297" t="s">
        <v>49</v>
      </c>
      <c r="N1297" t="s">
        <v>4685</v>
      </c>
      <c r="O1297" s="31" t="s">
        <v>4686</v>
      </c>
      <c r="P1297">
        <v>220</v>
      </c>
      <c r="Q1297" t="s">
        <v>92</v>
      </c>
      <c r="R1297">
        <v>2</v>
      </c>
      <c r="S1297" s="31">
        <v>118000</v>
      </c>
      <c r="T1297" s="39">
        <v>140000</v>
      </c>
      <c r="U1297">
        <v>0</v>
      </c>
      <c r="V1297">
        <v>13000</v>
      </c>
      <c r="W1297">
        <v>0</v>
      </c>
      <c r="X1297" s="39">
        <v>19050</v>
      </c>
      <c r="Y1297">
        <v>0</v>
      </c>
      <c r="Z1297" s="31">
        <v>127000</v>
      </c>
      <c r="AA1297">
        <v>8</v>
      </c>
      <c r="AB1297" s="3">
        <f t="shared" si="62"/>
        <v>127000</v>
      </c>
      <c r="AC1297" t="str">
        <f>IF(AB1297-S1297&lt;0,"YES","NO")</f>
        <v>NO</v>
      </c>
      <c r="AD1297">
        <f>IF(AC1297="NO",0,AB1297-S1297)</f>
        <v>0</v>
      </c>
      <c r="AE1297" s="43">
        <v>0.08</v>
      </c>
      <c r="AF1297" s="3">
        <f t="shared" si="63"/>
        <v>0</v>
      </c>
      <c r="AG1297" s="45">
        <f t="shared" si="64"/>
        <v>0</v>
      </c>
      <c r="AH1297" s="55"/>
    </row>
    <row r="1298" spans="1:34" x14ac:dyDescent="0.25">
      <c r="A1298" t="s">
        <v>4687</v>
      </c>
      <c r="B1298" t="s">
        <v>4688</v>
      </c>
      <c r="C1298" t="s">
        <v>4689</v>
      </c>
      <c r="D1298" t="s">
        <v>4690</v>
      </c>
      <c r="E1298" t="s">
        <v>4691</v>
      </c>
      <c r="F1298" t="s">
        <v>4692</v>
      </c>
      <c r="G1298" t="s">
        <v>54</v>
      </c>
      <c r="H1298" t="s">
        <v>65</v>
      </c>
      <c r="I1298" t="s">
        <v>82</v>
      </c>
      <c r="J1298" t="s">
        <v>83</v>
      </c>
      <c r="K1298" t="s">
        <v>3</v>
      </c>
      <c r="L1298" t="s">
        <v>4</v>
      </c>
      <c r="M1298" t="s">
        <v>49</v>
      </c>
      <c r="N1298" t="s">
        <v>4693</v>
      </c>
      <c r="O1298" s="31" t="s">
        <v>4694</v>
      </c>
      <c r="P1298">
        <v>220</v>
      </c>
      <c r="R1298">
        <v>1</v>
      </c>
      <c r="S1298" s="31">
        <v>75000</v>
      </c>
      <c r="T1298" s="39">
        <v>80000</v>
      </c>
      <c r="U1298">
        <v>0</v>
      </c>
      <c r="V1298">
        <v>15000</v>
      </c>
      <c r="W1298">
        <v>0</v>
      </c>
      <c r="X1298" s="39">
        <v>35000</v>
      </c>
      <c r="Y1298">
        <v>0</v>
      </c>
      <c r="Z1298" s="31">
        <v>65000</v>
      </c>
      <c r="AA1298">
        <v>8</v>
      </c>
      <c r="AB1298" s="3">
        <f t="shared" si="62"/>
        <v>65000</v>
      </c>
      <c r="AC1298" t="str">
        <f>IF(AB1298-S1298&lt;0,"YES","NO")</f>
        <v>YES</v>
      </c>
      <c r="AD1298">
        <f>IF(AC1298="NO",0,AB1298-S1298)</f>
        <v>-10000</v>
      </c>
      <c r="AE1298" s="43">
        <v>0.08</v>
      </c>
      <c r="AF1298" s="3">
        <f t="shared" si="63"/>
        <v>-9259.2592592592591</v>
      </c>
      <c r="AG1298" s="45">
        <f t="shared" si="64"/>
        <v>-10185.185185185186</v>
      </c>
      <c r="AH1298" s="55"/>
    </row>
    <row r="1299" spans="1:34" x14ac:dyDescent="0.25">
      <c r="A1299" t="s">
        <v>4695</v>
      </c>
      <c r="B1299" t="s">
        <v>4696</v>
      </c>
      <c r="C1299" t="s">
        <v>4697</v>
      </c>
      <c r="D1299" t="s">
        <v>4698</v>
      </c>
      <c r="E1299" t="s">
        <v>4699</v>
      </c>
      <c r="F1299" t="s">
        <v>4700</v>
      </c>
      <c r="G1299" t="s">
        <v>5</v>
      </c>
      <c r="H1299" t="s">
        <v>61</v>
      </c>
      <c r="I1299" t="s">
        <v>62</v>
      </c>
      <c r="J1299" t="s">
        <v>63</v>
      </c>
      <c r="K1299" t="s">
        <v>3</v>
      </c>
      <c r="L1299" t="s">
        <v>4</v>
      </c>
      <c r="M1299" t="s">
        <v>49</v>
      </c>
      <c r="N1299" t="s">
        <v>4701</v>
      </c>
      <c r="O1299" s="31" t="s">
        <v>4702</v>
      </c>
      <c r="P1299">
        <v>20000</v>
      </c>
      <c r="Q1299" t="s">
        <v>64</v>
      </c>
      <c r="R1299">
        <v>1</v>
      </c>
      <c r="S1299" s="31">
        <v>0</v>
      </c>
      <c r="T1299" s="39">
        <v>0</v>
      </c>
      <c r="U1299">
        <v>0</v>
      </c>
      <c r="V1299">
        <v>0</v>
      </c>
      <c r="W1299">
        <v>0</v>
      </c>
      <c r="X1299" s="39">
        <v>0</v>
      </c>
      <c r="Y1299">
        <v>0</v>
      </c>
      <c r="Z1299" s="31">
        <v>0</v>
      </c>
      <c r="AA1299">
        <v>8</v>
      </c>
      <c r="AB1299" s="3">
        <f t="shared" si="62"/>
        <v>0</v>
      </c>
      <c r="AC1299" t="str">
        <f>IF(AB1299-S1299&lt;0,"YES","NO")</f>
        <v>NO</v>
      </c>
      <c r="AD1299">
        <f>IF(AC1299="NO",0,AB1299-S1299)</f>
        <v>0</v>
      </c>
      <c r="AE1299" s="43">
        <v>0.08</v>
      </c>
      <c r="AF1299" s="3">
        <f t="shared" si="63"/>
        <v>0</v>
      </c>
      <c r="AG1299" s="45">
        <f t="shared" si="64"/>
        <v>0</v>
      </c>
      <c r="AH1299" s="55"/>
    </row>
    <row r="1300" spans="1:34" x14ac:dyDescent="0.25">
      <c r="A1300" t="s">
        <v>4695</v>
      </c>
      <c r="B1300" t="s">
        <v>4696</v>
      </c>
      <c r="C1300" t="s">
        <v>4697</v>
      </c>
      <c r="D1300" t="s">
        <v>4698</v>
      </c>
      <c r="E1300" t="s">
        <v>4699</v>
      </c>
      <c r="F1300" t="s">
        <v>4700</v>
      </c>
      <c r="G1300" t="s">
        <v>5</v>
      </c>
      <c r="H1300" t="s">
        <v>65</v>
      </c>
      <c r="I1300" t="s">
        <v>66</v>
      </c>
      <c r="J1300" t="s">
        <v>67</v>
      </c>
      <c r="K1300" t="s">
        <v>3</v>
      </c>
      <c r="L1300" t="s">
        <v>4</v>
      </c>
      <c r="M1300" t="s">
        <v>49</v>
      </c>
      <c r="N1300" t="s">
        <v>4701</v>
      </c>
      <c r="O1300" s="31" t="s">
        <v>4702</v>
      </c>
      <c r="P1300">
        <v>220</v>
      </c>
      <c r="R1300">
        <v>3</v>
      </c>
      <c r="S1300" s="31">
        <v>225000</v>
      </c>
      <c r="T1300" s="39">
        <v>240000</v>
      </c>
      <c r="U1300">
        <v>35000.01</v>
      </c>
      <c r="V1300">
        <v>24000</v>
      </c>
      <c r="W1300">
        <v>0</v>
      </c>
      <c r="X1300" s="39">
        <v>67580.009999999995</v>
      </c>
      <c r="Y1300">
        <v>0</v>
      </c>
      <c r="Z1300" s="31">
        <v>180999.99</v>
      </c>
      <c r="AA1300">
        <v>8</v>
      </c>
      <c r="AB1300" s="3">
        <f t="shared" si="62"/>
        <v>180999.99</v>
      </c>
      <c r="AC1300" t="str">
        <f>IF(AB1300-S1300&lt;0,"YES","NO")</f>
        <v>YES</v>
      </c>
      <c r="AD1300">
        <f>IF(AC1300="NO",0,AB1300-S1300)</f>
        <v>-44000.010000000009</v>
      </c>
      <c r="AE1300" s="43">
        <v>0.08</v>
      </c>
      <c r="AF1300" s="3">
        <f t="shared" si="63"/>
        <v>-40740.750000000007</v>
      </c>
      <c r="AG1300" s="45">
        <f t="shared" si="64"/>
        <v>-44814.825000000012</v>
      </c>
      <c r="AH1300" s="55"/>
    </row>
    <row r="1301" spans="1:34" x14ac:dyDescent="0.25">
      <c r="A1301" t="s">
        <v>4703</v>
      </c>
      <c r="B1301" t="s">
        <v>4704</v>
      </c>
      <c r="C1301" t="s">
        <v>4705</v>
      </c>
      <c r="D1301" t="s">
        <v>4706</v>
      </c>
      <c r="E1301" t="s">
        <v>4707</v>
      </c>
      <c r="F1301" t="s">
        <v>4708</v>
      </c>
      <c r="G1301" t="s">
        <v>5</v>
      </c>
      <c r="H1301" t="s">
        <v>61</v>
      </c>
      <c r="I1301" t="s">
        <v>75</v>
      </c>
      <c r="J1301" t="s">
        <v>76</v>
      </c>
      <c r="K1301" t="s">
        <v>3</v>
      </c>
      <c r="L1301" t="s">
        <v>4</v>
      </c>
      <c r="M1301" t="s">
        <v>49</v>
      </c>
      <c r="N1301" t="s">
        <v>4709</v>
      </c>
      <c r="O1301" s="31" t="s">
        <v>4710</v>
      </c>
      <c r="P1301">
        <v>20</v>
      </c>
      <c r="Q1301" t="s">
        <v>77</v>
      </c>
      <c r="R1301">
        <v>1</v>
      </c>
      <c r="S1301" s="31">
        <v>0</v>
      </c>
      <c r="T1301" s="39">
        <v>0</v>
      </c>
      <c r="U1301">
        <v>0</v>
      </c>
      <c r="V1301">
        <v>0</v>
      </c>
      <c r="W1301">
        <v>0</v>
      </c>
      <c r="X1301" s="39">
        <v>0</v>
      </c>
      <c r="Y1301">
        <v>0</v>
      </c>
      <c r="Z1301" s="31">
        <v>0</v>
      </c>
      <c r="AA1301">
        <v>8</v>
      </c>
      <c r="AB1301" s="3">
        <f t="shared" si="62"/>
        <v>0</v>
      </c>
      <c r="AC1301" t="str">
        <f>IF(AB1301-S1301&lt;0,"YES","NO")</f>
        <v>NO</v>
      </c>
      <c r="AD1301">
        <f>IF(AC1301="NO",0,AB1301-S1301)</f>
        <v>0</v>
      </c>
      <c r="AE1301" s="43">
        <v>0.08</v>
      </c>
      <c r="AF1301" s="3">
        <f t="shared" si="63"/>
        <v>0</v>
      </c>
      <c r="AG1301" s="45">
        <f t="shared" si="64"/>
        <v>0</v>
      </c>
      <c r="AH1301" s="55"/>
    </row>
    <row r="1302" spans="1:34" x14ac:dyDescent="0.25">
      <c r="A1302" t="s">
        <v>4703</v>
      </c>
      <c r="B1302" t="s">
        <v>4704</v>
      </c>
      <c r="C1302" t="s">
        <v>4705</v>
      </c>
      <c r="D1302" t="s">
        <v>4706</v>
      </c>
      <c r="E1302" t="s">
        <v>4707</v>
      </c>
      <c r="F1302" t="s">
        <v>4708</v>
      </c>
      <c r="G1302" t="s">
        <v>5</v>
      </c>
      <c r="H1302" t="s">
        <v>65</v>
      </c>
      <c r="I1302" t="s">
        <v>66</v>
      </c>
      <c r="J1302" t="s">
        <v>67</v>
      </c>
      <c r="K1302" t="s">
        <v>3</v>
      </c>
      <c r="L1302" t="s">
        <v>4</v>
      </c>
      <c r="M1302" t="s">
        <v>49</v>
      </c>
      <c r="N1302" t="s">
        <v>4709</v>
      </c>
      <c r="O1302" s="31" t="s">
        <v>4710</v>
      </c>
      <c r="P1302">
        <v>220</v>
      </c>
      <c r="R1302">
        <v>6</v>
      </c>
      <c r="S1302" s="31">
        <v>450000</v>
      </c>
      <c r="T1302" s="39">
        <v>480000</v>
      </c>
      <c r="U1302">
        <v>75000</v>
      </c>
      <c r="V1302">
        <v>48000</v>
      </c>
      <c r="W1302">
        <v>0</v>
      </c>
      <c r="X1302" s="39">
        <v>132120</v>
      </c>
      <c r="Y1302">
        <v>0</v>
      </c>
      <c r="Z1302" s="31">
        <v>357000</v>
      </c>
      <c r="AA1302">
        <v>8</v>
      </c>
      <c r="AB1302" s="3">
        <f t="shared" si="62"/>
        <v>357000</v>
      </c>
      <c r="AC1302" t="str">
        <f>IF(AB1302-S1302&lt;0,"YES","NO")</f>
        <v>YES</v>
      </c>
      <c r="AD1302">
        <f>IF(AC1302="NO",0,AB1302-S1302)</f>
        <v>-93000</v>
      </c>
      <c r="AE1302" s="43">
        <v>0.08</v>
      </c>
      <c r="AF1302" s="3">
        <f t="shared" si="63"/>
        <v>-86111.111111111109</v>
      </c>
      <c r="AG1302" s="45">
        <f t="shared" si="64"/>
        <v>-94722.222222222234</v>
      </c>
      <c r="AH1302" s="55"/>
    </row>
    <row r="1303" spans="1:34" x14ac:dyDescent="0.25">
      <c r="A1303" t="s">
        <v>4711</v>
      </c>
      <c r="B1303" t="s">
        <v>4712</v>
      </c>
      <c r="C1303" t="s">
        <v>4713</v>
      </c>
      <c r="D1303" t="s">
        <v>4714</v>
      </c>
      <c r="E1303" t="s">
        <v>4715</v>
      </c>
      <c r="F1303" t="s">
        <v>4716</v>
      </c>
      <c r="G1303" t="s">
        <v>5</v>
      </c>
      <c r="H1303" t="s">
        <v>61</v>
      </c>
      <c r="I1303" t="s">
        <v>75</v>
      </c>
      <c r="J1303" t="s">
        <v>76</v>
      </c>
      <c r="K1303" t="s">
        <v>3</v>
      </c>
      <c r="L1303" t="s">
        <v>4</v>
      </c>
      <c r="M1303" t="s">
        <v>49</v>
      </c>
      <c r="N1303" t="s">
        <v>4717</v>
      </c>
      <c r="O1303" s="31" t="s">
        <v>4718</v>
      </c>
      <c r="P1303">
        <v>20</v>
      </c>
      <c r="Q1303" t="s">
        <v>77</v>
      </c>
      <c r="R1303">
        <v>1</v>
      </c>
      <c r="S1303" s="31">
        <v>0</v>
      </c>
      <c r="T1303" s="39">
        <v>0</v>
      </c>
      <c r="U1303">
        <v>0</v>
      </c>
      <c r="V1303">
        <v>0</v>
      </c>
      <c r="W1303">
        <v>0</v>
      </c>
      <c r="X1303" s="39">
        <v>0</v>
      </c>
      <c r="Y1303">
        <v>0</v>
      </c>
      <c r="Z1303" s="31">
        <v>0</v>
      </c>
      <c r="AA1303">
        <v>8</v>
      </c>
      <c r="AB1303" s="3">
        <f t="shared" si="62"/>
        <v>0</v>
      </c>
      <c r="AC1303" t="str">
        <f>IF(AB1303-S1303&lt;0,"YES","NO")</f>
        <v>NO</v>
      </c>
      <c r="AD1303">
        <f>IF(AC1303="NO",0,AB1303-S1303)</f>
        <v>0</v>
      </c>
      <c r="AE1303" s="43">
        <v>0.08</v>
      </c>
      <c r="AF1303" s="3">
        <f t="shared" si="63"/>
        <v>0</v>
      </c>
      <c r="AG1303" s="45">
        <f t="shared" si="64"/>
        <v>0</v>
      </c>
      <c r="AH1303" s="55"/>
    </row>
    <row r="1304" spans="1:34" x14ac:dyDescent="0.25">
      <c r="A1304" t="s">
        <v>4711</v>
      </c>
      <c r="B1304" t="s">
        <v>4712</v>
      </c>
      <c r="C1304" t="s">
        <v>4713</v>
      </c>
      <c r="D1304" t="s">
        <v>4714</v>
      </c>
      <c r="E1304" t="s">
        <v>4715</v>
      </c>
      <c r="F1304" t="s">
        <v>4716</v>
      </c>
      <c r="G1304" t="s">
        <v>5</v>
      </c>
      <c r="H1304" t="s">
        <v>65</v>
      </c>
      <c r="I1304" t="s">
        <v>66</v>
      </c>
      <c r="J1304" t="s">
        <v>67</v>
      </c>
      <c r="K1304" t="s">
        <v>3</v>
      </c>
      <c r="L1304" t="s">
        <v>4</v>
      </c>
      <c r="M1304" t="s">
        <v>49</v>
      </c>
      <c r="N1304" t="s">
        <v>4717</v>
      </c>
      <c r="O1304" s="31" t="s">
        <v>4718</v>
      </c>
      <c r="P1304">
        <v>220</v>
      </c>
      <c r="R1304">
        <v>2</v>
      </c>
      <c r="S1304" s="31">
        <v>150000</v>
      </c>
      <c r="T1304" s="39">
        <v>160000</v>
      </c>
      <c r="U1304">
        <v>25000</v>
      </c>
      <c r="V1304">
        <v>16333.34</v>
      </c>
      <c r="W1304">
        <v>0</v>
      </c>
      <c r="X1304" s="39">
        <v>46360</v>
      </c>
      <c r="Y1304">
        <v>0</v>
      </c>
      <c r="Z1304" s="31">
        <v>118666.66</v>
      </c>
      <c r="AA1304">
        <v>8</v>
      </c>
      <c r="AB1304" s="3">
        <f t="shared" si="62"/>
        <v>118666.66</v>
      </c>
      <c r="AC1304" t="str">
        <f>IF(AB1304-S1304&lt;0,"YES","NO")</f>
        <v>YES</v>
      </c>
      <c r="AD1304">
        <f>IF(AC1304="NO",0,AB1304-S1304)</f>
        <v>-31333.339999999997</v>
      </c>
      <c r="AE1304" s="43">
        <v>0.08</v>
      </c>
      <c r="AF1304" s="3">
        <f t="shared" si="63"/>
        <v>-29012.351851851847</v>
      </c>
      <c r="AG1304" s="45">
        <f t="shared" si="64"/>
        <v>-31913.587037037036</v>
      </c>
      <c r="AH1304" s="55"/>
    </row>
    <row r="1305" spans="1:34" x14ac:dyDescent="0.25">
      <c r="A1305" t="s">
        <v>4711</v>
      </c>
      <c r="B1305" t="s">
        <v>4712</v>
      </c>
      <c r="C1305" t="s">
        <v>4713</v>
      </c>
      <c r="D1305" t="s">
        <v>4714</v>
      </c>
      <c r="E1305" t="s">
        <v>4715</v>
      </c>
      <c r="F1305" t="s">
        <v>4716</v>
      </c>
      <c r="G1305" t="s">
        <v>5</v>
      </c>
      <c r="H1305" t="s">
        <v>65</v>
      </c>
      <c r="I1305" t="s">
        <v>78</v>
      </c>
      <c r="J1305" t="s">
        <v>79</v>
      </c>
      <c r="K1305" t="s">
        <v>3</v>
      </c>
      <c r="L1305" t="s">
        <v>4</v>
      </c>
      <c r="M1305" t="s">
        <v>49</v>
      </c>
      <c r="N1305" t="s">
        <v>4717</v>
      </c>
      <c r="O1305" s="31" t="s">
        <v>4718</v>
      </c>
      <c r="P1305">
        <v>220</v>
      </c>
      <c r="R1305">
        <v>2</v>
      </c>
      <c r="S1305" s="31">
        <v>150000</v>
      </c>
      <c r="T1305" s="39">
        <v>160000</v>
      </c>
      <c r="U1305">
        <v>25000</v>
      </c>
      <c r="V1305">
        <v>16333.34</v>
      </c>
      <c r="W1305">
        <v>0</v>
      </c>
      <c r="X1305" s="39">
        <v>46360</v>
      </c>
      <c r="Y1305">
        <v>0</v>
      </c>
      <c r="Z1305" s="31">
        <v>118666.66</v>
      </c>
      <c r="AA1305">
        <v>8</v>
      </c>
      <c r="AB1305" s="3">
        <f t="shared" si="62"/>
        <v>118666.66</v>
      </c>
      <c r="AC1305" t="str">
        <f>IF(AB1305-S1305&lt;0,"YES","NO")</f>
        <v>YES</v>
      </c>
      <c r="AD1305">
        <f>IF(AC1305="NO",0,AB1305-S1305)</f>
        <v>-31333.339999999997</v>
      </c>
      <c r="AE1305" s="43">
        <v>0.08</v>
      </c>
      <c r="AF1305" s="3">
        <f t="shared" si="63"/>
        <v>-29012.351851851847</v>
      </c>
      <c r="AG1305" s="45">
        <f t="shared" si="64"/>
        <v>-31913.587037037036</v>
      </c>
      <c r="AH1305" s="55"/>
    </row>
    <row r="1306" spans="1:34" x14ac:dyDescent="0.25">
      <c r="A1306" t="s">
        <v>4711</v>
      </c>
      <c r="B1306" t="s">
        <v>4712</v>
      </c>
      <c r="C1306" t="s">
        <v>4713</v>
      </c>
      <c r="D1306" t="s">
        <v>4714</v>
      </c>
      <c r="E1306" t="s">
        <v>4715</v>
      </c>
      <c r="F1306" t="s">
        <v>4716</v>
      </c>
      <c r="G1306" t="s">
        <v>5</v>
      </c>
      <c r="H1306" t="s">
        <v>65</v>
      </c>
      <c r="I1306" t="s">
        <v>80</v>
      </c>
      <c r="J1306" t="s">
        <v>81</v>
      </c>
      <c r="K1306" t="s">
        <v>3</v>
      </c>
      <c r="L1306" t="s">
        <v>4</v>
      </c>
      <c r="M1306" t="s">
        <v>49</v>
      </c>
      <c r="N1306" t="s">
        <v>4717</v>
      </c>
      <c r="O1306" s="31" t="s">
        <v>4718</v>
      </c>
      <c r="P1306">
        <v>220</v>
      </c>
      <c r="R1306">
        <v>2</v>
      </c>
      <c r="S1306" s="31">
        <v>150000</v>
      </c>
      <c r="T1306" s="39">
        <v>160000</v>
      </c>
      <c r="U1306">
        <v>25000</v>
      </c>
      <c r="V1306">
        <v>16333.34</v>
      </c>
      <c r="W1306">
        <v>0</v>
      </c>
      <c r="X1306" s="39">
        <v>46360</v>
      </c>
      <c r="Y1306">
        <v>0</v>
      </c>
      <c r="Z1306" s="31">
        <v>118666.66</v>
      </c>
      <c r="AA1306">
        <v>8</v>
      </c>
      <c r="AB1306" s="3">
        <f t="shared" si="62"/>
        <v>118666.66</v>
      </c>
      <c r="AC1306" t="str">
        <f>IF(AB1306-S1306&lt;0,"YES","NO")</f>
        <v>YES</v>
      </c>
      <c r="AD1306">
        <f>IF(AC1306="NO",0,AB1306-S1306)</f>
        <v>-31333.339999999997</v>
      </c>
      <c r="AE1306" s="43">
        <v>0.08</v>
      </c>
      <c r="AF1306" s="3">
        <f t="shared" si="63"/>
        <v>-29012.351851851847</v>
      </c>
      <c r="AG1306" s="45">
        <f t="shared" si="64"/>
        <v>-31913.587037037036</v>
      </c>
      <c r="AH1306" s="55"/>
    </row>
    <row r="1307" spans="1:34" x14ac:dyDescent="0.25">
      <c r="A1307" t="s">
        <v>4719</v>
      </c>
      <c r="B1307" t="s">
        <v>4720</v>
      </c>
      <c r="C1307" t="s">
        <v>4721</v>
      </c>
      <c r="D1307" t="s">
        <v>4722</v>
      </c>
      <c r="E1307" t="s">
        <v>4723</v>
      </c>
      <c r="F1307" t="s">
        <v>4724</v>
      </c>
      <c r="G1307" t="s">
        <v>5</v>
      </c>
      <c r="H1307" t="s">
        <v>61</v>
      </c>
      <c r="I1307" t="s">
        <v>75</v>
      </c>
      <c r="J1307" t="s">
        <v>76</v>
      </c>
      <c r="K1307" t="s">
        <v>3</v>
      </c>
      <c r="L1307" t="s">
        <v>4</v>
      </c>
      <c r="M1307" t="s">
        <v>49</v>
      </c>
      <c r="N1307" t="s">
        <v>4725</v>
      </c>
      <c r="O1307" s="31" t="s">
        <v>4726</v>
      </c>
      <c r="P1307">
        <v>20</v>
      </c>
      <c r="Q1307" t="s">
        <v>77</v>
      </c>
      <c r="R1307">
        <v>1</v>
      </c>
      <c r="S1307" s="31">
        <v>0</v>
      </c>
      <c r="T1307" s="39">
        <v>0</v>
      </c>
      <c r="U1307">
        <v>0</v>
      </c>
      <c r="V1307">
        <v>0</v>
      </c>
      <c r="W1307">
        <v>0</v>
      </c>
      <c r="X1307" s="39">
        <v>0</v>
      </c>
      <c r="Y1307">
        <v>0</v>
      </c>
      <c r="Z1307" s="31">
        <v>0</v>
      </c>
      <c r="AA1307">
        <v>8</v>
      </c>
      <c r="AB1307" s="3">
        <f t="shared" si="62"/>
        <v>0</v>
      </c>
      <c r="AC1307" t="str">
        <f>IF(AB1307-S1307&lt;0,"YES","NO")</f>
        <v>NO</v>
      </c>
      <c r="AD1307">
        <f>IF(AC1307="NO",0,AB1307-S1307)</f>
        <v>0</v>
      </c>
      <c r="AE1307" s="43">
        <v>0.08</v>
      </c>
      <c r="AF1307" s="3">
        <f t="shared" si="63"/>
        <v>0</v>
      </c>
      <c r="AG1307" s="45">
        <f t="shared" si="64"/>
        <v>0</v>
      </c>
      <c r="AH1307" s="55"/>
    </row>
    <row r="1308" spans="1:34" x14ac:dyDescent="0.25">
      <c r="A1308" t="s">
        <v>4719</v>
      </c>
      <c r="B1308" t="s">
        <v>4720</v>
      </c>
      <c r="C1308" t="s">
        <v>4721</v>
      </c>
      <c r="D1308" t="s">
        <v>4722</v>
      </c>
      <c r="E1308" t="s">
        <v>4723</v>
      </c>
      <c r="F1308" t="s">
        <v>4724</v>
      </c>
      <c r="G1308" t="s">
        <v>5</v>
      </c>
      <c r="H1308" t="s">
        <v>65</v>
      </c>
      <c r="I1308" t="s">
        <v>66</v>
      </c>
      <c r="J1308" t="s">
        <v>67</v>
      </c>
      <c r="K1308" t="s">
        <v>3</v>
      </c>
      <c r="L1308" t="s">
        <v>4</v>
      </c>
      <c r="M1308" t="s">
        <v>49</v>
      </c>
      <c r="N1308" t="s">
        <v>4725</v>
      </c>
      <c r="O1308" s="31" t="s">
        <v>4726</v>
      </c>
      <c r="P1308">
        <v>220</v>
      </c>
      <c r="R1308">
        <v>6</v>
      </c>
      <c r="S1308" s="31">
        <v>450000</v>
      </c>
      <c r="T1308" s="39">
        <v>480000</v>
      </c>
      <c r="U1308">
        <v>75000</v>
      </c>
      <c r="V1308">
        <v>48000</v>
      </c>
      <c r="W1308">
        <v>0</v>
      </c>
      <c r="X1308" s="39">
        <v>139260</v>
      </c>
      <c r="Y1308">
        <v>0</v>
      </c>
      <c r="Z1308" s="31">
        <v>357000</v>
      </c>
      <c r="AA1308">
        <v>8</v>
      </c>
      <c r="AB1308" s="3">
        <f t="shared" si="62"/>
        <v>357000</v>
      </c>
      <c r="AC1308" t="str">
        <f>IF(AB1308-S1308&lt;0,"YES","NO")</f>
        <v>YES</v>
      </c>
      <c r="AD1308">
        <f>IF(AC1308="NO",0,AB1308-S1308)</f>
        <v>-93000</v>
      </c>
      <c r="AE1308" s="43">
        <v>0.08</v>
      </c>
      <c r="AF1308" s="3">
        <f t="shared" si="63"/>
        <v>-86111.111111111109</v>
      </c>
      <c r="AG1308" s="45">
        <f t="shared" si="64"/>
        <v>-94722.222222222234</v>
      </c>
      <c r="AH1308" s="55"/>
    </row>
    <row r="1309" spans="1:34" x14ac:dyDescent="0.25">
      <c r="A1309" t="s">
        <v>4727</v>
      </c>
      <c r="B1309" t="s">
        <v>4728</v>
      </c>
      <c r="C1309" t="s">
        <v>4729</v>
      </c>
      <c r="D1309" t="s">
        <v>4730</v>
      </c>
      <c r="E1309" t="s">
        <v>4731</v>
      </c>
      <c r="F1309" t="s">
        <v>4732</v>
      </c>
      <c r="G1309" t="s">
        <v>5</v>
      </c>
      <c r="H1309" t="s">
        <v>61</v>
      </c>
      <c r="I1309" t="s">
        <v>93</v>
      </c>
      <c r="J1309" t="s">
        <v>94</v>
      </c>
      <c r="K1309" t="s">
        <v>3</v>
      </c>
      <c r="L1309" t="s">
        <v>4</v>
      </c>
      <c r="M1309" t="s">
        <v>49</v>
      </c>
      <c r="N1309" t="s">
        <v>4733</v>
      </c>
      <c r="O1309" s="31" t="s">
        <v>4734</v>
      </c>
      <c r="P1309">
        <v>20</v>
      </c>
      <c r="Q1309" t="s">
        <v>86</v>
      </c>
      <c r="R1309">
        <v>1</v>
      </c>
      <c r="S1309" s="31">
        <v>0</v>
      </c>
      <c r="T1309" s="39">
        <v>0</v>
      </c>
      <c r="U1309">
        <v>0</v>
      </c>
      <c r="V1309">
        <v>0</v>
      </c>
      <c r="W1309">
        <v>0</v>
      </c>
      <c r="X1309" s="39">
        <v>0</v>
      </c>
      <c r="Y1309">
        <v>0</v>
      </c>
      <c r="Z1309" s="31">
        <v>0</v>
      </c>
      <c r="AA1309">
        <v>8</v>
      </c>
      <c r="AB1309" s="3">
        <f t="shared" si="62"/>
        <v>0</v>
      </c>
      <c r="AC1309" t="str">
        <f>IF(AB1309-S1309&lt;0,"YES","NO")</f>
        <v>NO</v>
      </c>
      <c r="AD1309">
        <f>IF(AC1309="NO",0,AB1309-S1309)</f>
        <v>0</v>
      </c>
      <c r="AE1309" s="43">
        <v>0.08</v>
      </c>
      <c r="AF1309" s="3">
        <f t="shared" si="63"/>
        <v>0</v>
      </c>
      <c r="AG1309" s="45">
        <f t="shared" si="64"/>
        <v>0</v>
      </c>
      <c r="AH1309" s="55"/>
    </row>
    <row r="1310" spans="1:34" x14ac:dyDescent="0.25">
      <c r="A1310" t="s">
        <v>4727</v>
      </c>
      <c r="B1310" t="s">
        <v>4728</v>
      </c>
      <c r="C1310" t="s">
        <v>4729</v>
      </c>
      <c r="D1310" t="s">
        <v>4730</v>
      </c>
      <c r="E1310" t="s">
        <v>4731</v>
      </c>
      <c r="F1310" t="s">
        <v>4732</v>
      </c>
      <c r="G1310" t="s">
        <v>5</v>
      </c>
      <c r="H1310" t="s">
        <v>65</v>
      </c>
      <c r="I1310" t="s">
        <v>100</v>
      </c>
      <c r="J1310" t="s">
        <v>101</v>
      </c>
      <c r="K1310" t="s">
        <v>3</v>
      </c>
      <c r="L1310" t="s">
        <v>4</v>
      </c>
      <c r="M1310" t="s">
        <v>49</v>
      </c>
      <c r="N1310" t="s">
        <v>4733</v>
      </c>
      <c r="O1310" s="31" t="s">
        <v>4734</v>
      </c>
      <c r="P1310">
        <v>200</v>
      </c>
      <c r="R1310">
        <v>6</v>
      </c>
      <c r="S1310" s="31">
        <v>432000</v>
      </c>
      <c r="T1310" s="39">
        <v>480000</v>
      </c>
      <c r="U1310">
        <v>75000</v>
      </c>
      <c r="V1310">
        <v>48000</v>
      </c>
      <c r="W1310">
        <v>0</v>
      </c>
      <c r="X1310" s="39">
        <v>139260</v>
      </c>
      <c r="Y1310">
        <v>0</v>
      </c>
      <c r="Z1310" s="31">
        <v>357000</v>
      </c>
      <c r="AA1310">
        <v>8</v>
      </c>
      <c r="AB1310" s="3">
        <f t="shared" si="62"/>
        <v>357000</v>
      </c>
      <c r="AC1310" t="str">
        <f>IF(AB1310-S1310&lt;0,"YES","NO")</f>
        <v>YES</v>
      </c>
      <c r="AD1310">
        <f>IF(AC1310="NO",0,AB1310-S1310)</f>
        <v>-75000</v>
      </c>
      <c r="AE1310" s="43">
        <v>0.08</v>
      </c>
      <c r="AF1310" s="3">
        <f t="shared" si="63"/>
        <v>-69444.444444444438</v>
      </c>
      <c r="AG1310" s="45">
        <f t="shared" si="64"/>
        <v>-76388.888888888891</v>
      </c>
      <c r="AH1310" s="55"/>
    </row>
    <row r="1311" spans="1:34" x14ac:dyDescent="0.25">
      <c r="A1311" t="s">
        <v>4735</v>
      </c>
      <c r="B1311" t="s">
        <v>4736</v>
      </c>
      <c r="C1311" t="s">
        <v>4737</v>
      </c>
      <c r="D1311" t="s">
        <v>4738</v>
      </c>
      <c r="E1311" t="s">
        <v>4739</v>
      </c>
      <c r="F1311" t="s">
        <v>4740</v>
      </c>
      <c r="G1311" t="s">
        <v>5</v>
      </c>
      <c r="H1311" t="s">
        <v>65</v>
      </c>
      <c r="I1311" t="s">
        <v>100</v>
      </c>
      <c r="J1311" t="s">
        <v>101</v>
      </c>
      <c r="K1311" t="s">
        <v>3</v>
      </c>
      <c r="L1311" t="s">
        <v>4</v>
      </c>
      <c r="M1311" t="s">
        <v>49</v>
      </c>
      <c r="N1311" t="s">
        <v>4741</v>
      </c>
      <c r="O1311" s="31" t="s">
        <v>4742</v>
      </c>
      <c r="P1311">
        <v>200</v>
      </c>
      <c r="R1311">
        <v>6</v>
      </c>
      <c r="S1311" s="31">
        <v>432000</v>
      </c>
      <c r="T1311" s="39">
        <v>480000</v>
      </c>
      <c r="U1311">
        <v>75000</v>
      </c>
      <c r="V1311">
        <v>48000</v>
      </c>
      <c r="W1311">
        <v>0</v>
      </c>
      <c r="X1311" s="39">
        <v>139260</v>
      </c>
      <c r="Y1311">
        <v>0</v>
      </c>
      <c r="Z1311" s="31">
        <v>357000</v>
      </c>
      <c r="AA1311">
        <v>8</v>
      </c>
      <c r="AB1311" s="3">
        <f t="shared" si="62"/>
        <v>357000</v>
      </c>
      <c r="AC1311" t="str">
        <f>IF(AB1311-S1311&lt;0,"YES","NO")</f>
        <v>YES</v>
      </c>
      <c r="AD1311">
        <f>IF(AC1311="NO",0,AB1311-S1311)</f>
        <v>-75000</v>
      </c>
      <c r="AE1311" s="43">
        <v>0.08</v>
      </c>
      <c r="AF1311" s="3">
        <f t="shared" si="63"/>
        <v>-69444.444444444438</v>
      </c>
      <c r="AG1311" s="45">
        <f t="shared" si="64"/>
        <v>-76388.888888888891</v>
      </c>
      <c r="AH1311" s="55"/>
    </row>
    <row r="1312" spans="1:34" x14ac:dyDescent="0.25">
      <c r="AE1312" s="43"/>
      <c r="AG1312" s="45"/>
      <c r="AH1312" s="55"/>
    </row>
    <row r="1313" spans="31:34" x14ac:dyDescent="0.25">
      <c r="AE1313" s="43"/>
      <c r="AG1313" s="45"/>
      <c r="AH1313" s="55"/>
    </row>
    <row r="1314" spans="31:34" x14ac:dyDescent="0.25">
      <c r="AE1314" s="43"/>
      <c r="AG1314" s="3"/>
      <c r="AH1314" s="3"/>
    </row>
    <row r="1315" spans="31:34" x14ac:dyDescent="0.25">
      <c r="AE1315" s="43"/>
      <c r="AG1315" s="3"/>
      <c r="AH1315" s="3"/>
    </row>
    <row r="1316" spans="31:34" x14ac:dyDescent="0.25">
      <c r="AE1316" s="43"/>
      <c r="AG1316" s="3"/>
      <c r="AH1316" s="3"/>
    </row>
    <row r="1317" spans="31:34" x14ac:dyDescent="0.25">
      <c r="AG1317" s="3"/>
      <c r="AH1317" s="3"/>
    </row>
    <row r="1318" spans="31:34" x14ac:dyDescent="0.25">
      <c r="AG1318" s="3"/>
      <c r="AH1318" s="3"/>
    </row>
    <row r="1319" spans="31:34" x14ac:dyDescent="0.25">
      <c r="AG1319" s="3"/>
      <c r="AH1319" s="3"/>
    </row>
  </sheetData>
  <autoFilter ref="A2:AH1311" xr:uid="{7BA20387-F937-496C-AA42-1C063E4749CE}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4693-A5DF-496F-B559-90CAFA041DF4}">
  <dimension ref="A1:H5"/>
  <sheetViews>
    <sheetView workbookViewId="0">
      <selection activeCell="F27" sqref="F27"/>
    </sheetView>
  </sheetViews>
  <sheetFormatPr defaultRowHeight="15" x14ac:dyDescent="0.25"/>
  <sheetData>
    <row r="1" spans="1:8" x14ac:dyDescent="0.25">
      <c r="A1" s="31" t="s">
        <v>117</v>
      </c>
    </row>
    <row r="2" spans="1:8" x14ac:dyDescent="0.25">
      <c r="A2" s="31" t="s">
        <v>117</v>
      </c>
    </row>
    <row r="3" spans="1:8" x14ac:dyDescent="0.25">
      <c r="A3" s="31" t="s">
        <v>118</v>
      </c>
    </row>
    <row r="4" spans="1:8" x14ac:dyDescent="0.25">
      <c r="A4" s="31" t="s">
        <v>120</v>
      </c>
    </row>
    <row r="5" spans="1:8" x14ac:dyDescent="0.25">
      <c r="A5" s="31" t="s">
        <v>121</v>
      </c>
      <c r="C5" t="s">
        <v>87</v>
      </c>
      <c r="E5" t="s">
        <v>90</v>
      </c>
      <c r="H5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C5D57-2E48-4068-A31B-8CA16FCC946F}">
  <dimension ref="A1:N585"/>
  <sheetViews>
    <sheetView workbookViewId="0">
      <selection activeCell="C12" sqref="C12"/>
    </sheetView>
  </sheetViews>
  <sheetFormatPr defaultRowHeight="15" x14ac:dyDescent="0.25"/>
  <cols>
    <col min="1" max="1" width="19.28515625" bestFit="1" customWidth="1"/>
    <col min="4" max="4" width="9.28515625" bestFit="1" customWidth="1"/>
    <col min="5" max="5" width="8.42578125" bestFit="1" customWidth="1"/>
    <col min="8" max="8" width="15.28515625" bestFit="1" customWidth="1"/>
  </cols>
  <sheetData>
    <row r="1" spans="1:14" x14ac:dyDescent="0.25">
      <c r="A1" s="2" t="s">
        <v>42</v>
      </c>
      <c r="B1" s="2" t="s">
        <v>1</v>
      </c>
      <c r="C1" s="2" t="s">
        <v>48</v>
      </c>
      <c r="D1" s="2" t="s">
        <v>50</v>
      </c>
      <c r="E1" s="2" t="s">
        <v>51</v>
      </c>
      <c r="H1" s="3"/>
      <c r="J1" s="31" t="s">
        <v>3181</v>
      </c>
      <c r="L1" t="s">
        <v>80</v>
      </c>
      <c r="N1" t="s">
        <v>66</v>
      </c>
    </row>
    <row r="2" spans="1:14" x14ac:dyDescent="0.25">
      <c r="A2" s="39" t="s">
        <v>4742</v>
      </c>
      <c r="B2" s="39">
        <v>357000</v>
      </c>
      <c r="C2" t="e">
        <f>VLOOKUP(A2,Defaut!O:O,2,0)</f>
        <v>#REF!</v>
      </c>
      <c r="D2">
        <f>SUMIF([2]Sheet2!$C:$C,A2,[2]Sheet2!$M:$M)</f>
        <v>357000</v>
      </c>
      <c r="E2">
        <f t="shared" ref="E2:E65" si="0">D2-B2</f>
        <v>0</v>
      </c>
      <c r="J2" s="31" t="s">
        <v>3260</v>
      </c>
    </row>
    <row r="3" spans="1:14" x14ac:dyDescent="0.25">
      <c r="A3" t="s">
        <v>4734</v>
      </c>
      <c r="B3">
        <v>357000</v>
      </c>
      <c r="C3" t="e">
        <f>VLOOKUP(A3,Defaut!O:O,2,0)</f>
        <v>#REF!</v>
      </c>
      <c r="D3">
        <f>SUMIF([2]Sheet2!$C:$C,A3,[2]Sheet2!$M:$M)</f>
        <v>357000</v>
      </c>
      <c r="E3">
        <f t="shared" si="0"/>
        <v>0</v>
      </c>
    </row>
    <row r="4" spans="1:14" x14ac:dyDescent="0.25">
      <c r="A4" t="s">
        <v>4726</v>
      </c>
      <c r="B4">
        <v>357000</v>
      </c>
      <c r="C4" t="e">
        <f>VLOOKUP(A4,Defaut!O:O,2,0)</f>
        <v>#REF!</v>
      </c>
      <c r="D4">
        <f>SUMIF([2]Sheet2!$C:$C,A4,[2]Sheet2!$M:$M)</f>
        <v>357000</v>
      </c>
      <c r="E4">
        <f t="shared" si="0"/>
        <v>0</v>
      </c>
    </row>
    <row r="5" spans="1:14" x14ac:dyDescent="0.25">
      <c r="A5" t="s">
        <v>4718</v>
      </c>
      <c r="B5">
        <v>355999.98</v>
      </c>
      <c r="C5" t="e">
        <f>VLOOKUP(A5,Defaut!O:O,2,0)</f>
        <v>#REF!</v>
      </c>
      <c r="D5">
        <f>SUMIF([2]Sheet2!$C:$C,A5,[2]Sheet2!$M:$M)</f>
        <v>356000</v>
      </c>
      <c r="E5">
        <f t="shared" si="0"/>
        <v>2.0000000018626451E-2</v>
      </c>
    </row>
    <row r="6" spans="1:14" x14ac:dyDescent="0.25">
      <c r="A6" t="s">
        <v>4710</v>
      </c>
      <c r="B6">
        <v>357000</v>
      </c>
      <c r="C6" t="e">
        <f>VLOOKUP(A6,Defaut!O:O,2,0)</f>
        <v>#REF!</v>
      </c>
      <c r="D6">
        <f>SUMIF([2]Sheet2!$C:$C,A6,[2]Sheet2!$M:$M)</f>
        <v>357000</v>
      </c>
      <c r="E6">
        <f t="shared" si="0"/>
        <v>0</v>
      </c>
    </row>
    <row r="7" spans="1:14" x14ac:dyDescent="0.25">
      <c r="A7" t="s">
        <v>4702</v>
      </c>
      <c r="B7">
        <v>180999.99</v>
      </c>
      <c r="C7" t="e">
        <f>VLOOKUP(A7,Defaut!O:O,2,0)</f>
        <v>#REF!</v>
      </c>
      <c r="D7">
        <f>SUMIF([2]Sheet2!$C:$C,A7,[2]Sheet2!$M:$M)</f>
        <v>181000</v>
      </c>
      <c r="E7">
        <f t="shared" si="0"/>
        <v>1.0000000009313226E-2</v>
      </c>
    </row>
    <row r="8" spans="1:14" x14ac:dyDescent="0.25">
      <c r="A8" t="s">
        <v>4686</v>
      </c>
      <c r="B8">
        <v>271999.99</v>
      </c>
      <c r="C8" t="e">
        <f>VLOOKUP(A8,Defaut!O:O,2,0)</f>
        <v>#REF!</v>
      </c>
      <c r="D8">
        <f>SUMIF([2]Sheet2!$C:$C,A8,[2]Sheet2!$M:$M)</f>
        <v>272000</v>
      </c>
      <c r="E8">
        <f t="shared" si="0"/>
        <v>1.0000000009313226E-2</v>
      </c>
    </row>
    <row r="9" spans="1:14" x14ac:dyDescent="0.25">
      <c r="A9" t="s">
        <v>4678</v>
      </c>
      <c r="B9">
        <v>124000</v>
      </c>
      <c r="C9" t="e">
        <f>VLOOKUP(A9,Defaut!O:O,2,0)</f>
        <v>#REF!</v>
      </c>
      <c r="D9">
        <f>SUMIF([2]Sheet2!$C:$C,A9,[2]Sheet2!$M:$M)</f>
        <v>124000</v>
      </c>
      <c r="E9">
        <f t="shared" si="0"/>
        <v>0</v>
      </c>
    </row>
    <row r="10" spans="1:14" x14ac:dyDescent="0.25">
      <c r="A10" t="s">
        <v>4670</v>
      </c>
      <c r="B10">
        <v>180999.99</v>
      </c>
      <c r="C10" t="e">
        <f>VLOOKUP(A10,Defaut!O:O,2,0)</f>
        <v>#REF!</v>
      </c>
      <c r="D10">
        <f>SUMIF([2]Sheet2!$C:$C,A10,[2]Sheet2!$M:$M)</f>
        <v>181000</v>
      </c>
      <c r="E10">
        <f t="shared" si="0"/>
        <v>1.0000000009313226E-2</v>
      </c>
    </row>
    <row r="11" spans="1:14" x14ac:dyDescent="0.25">
      <c r="A11" t="s">
        <v>4662</v>
      </c>
      <c r="B11">
        <v>180999.99</v>
      </c>
      <c r="C11" t="e">
        <f>VLOOKUP(A11,Defaut!O:O,2,0)</f>
        <v>#REF!</v>
      </c>
      <c r="D11">
        <f>SUMIF([2]Sheet2!$C:$C,A11,[2]Sheet2!$M:$M)</f>
        <v>181000</v>
      </c>
      <c r="E11">
        <f t="shared" si="0"/>
        <v>1.0000000009313226E-2</v>
      </c>
    </row>
    <row r="12" spans="1:14" x14ac:dyDescent="0.25">
      <c r="A12" t="s">
        <v>4654</v>
      </c>
      <c r="B12">
        <v>140499.99</v>
      </c>
      <c r="C12" t="e">
        <f>VLOOKUP(A12,Defaut!O:O,2,0)</f>
        <v>#REF!</v>
      </c>
      <c r="D12">
        <f>SUMIF([2]Sheet2!$C:$C,A12,[2]Sheet2!$M:$M)</f>
        <v>140500</v>
      </c>
      <c r="E12">
        <f t="shared" si="0"/>
        <v>1.0000000009313226E-2</v>
      </c>
    </row>
    <row r="13" spans="1:14" x14ac:dyDescent="0.25">
      <c r="A13" t="s">
        <v>4646</v>
      </c>
      <c r="B13">
        <v>140499.99</v>
      </c>
      <c r="C13" t="e">
        <f>VLOOKUP(A13,Defaut!O:O,2,0)</f>
        <v>#REF!</v>
      </c>
      <c r="D13">
        <f>SUMIF([2]Sheet2!$C:$C,A13,[2]Sheet2!$M:$M)</f>
        <v>140500</v>
      </c>
      <c r="E13">
        <f t="shared" si="0"/>
        <v>1.0000000009313226E-2</v>
      </c>
    </row>
    <row r="14" spans="1:14" x14ac:dyDescent="0.25">
      <c r="A14" t="s">
        <v>4638</v>
      </c>
      <c r="B14">
        <v>124000</v>
      </c>
      <c r="C14" t="e">
        <f>VLOOKUP(A14,Defaut!O:O,2,0)</f>
        <v>#REF!</v>
      </c>
      <c r="D14">
        <f>SUMIF([2]Sheet2!$C:$C,A14,[2]Sheet2!$M:$M)</f>
        <v>124000</v>
      </c>
      <c r="E14">
        <f t="shared" si="0"/>
        <v>0</v>
      </c>
    </row>
    <row r="15" spans="1:14" x14ac:dyDescent="0.25">
      <c r="A15" t="s">
        <v>4630</v>
      </c>
      <c r="B15">
        <v>364999.98</v>
      </c>
      <c r="C15" t="e">
        <f>VLOOKUP(A15,Defaut!O:O,2,0)</f>
        <v>#REF!</v>
      </c>
      <c r="D15">
        <f>SUMIF([2]Sheet2!$C:$C,A15,[2]Sheet2!$M:$M)</f>
        <v>365000</v>
      </c>
      <c r="E15">
        <f t="shared" si="0"/>
        <v>2.0000000018626451E-2</v>
      </c>
    </row>
    <row r="16" spans="1:14" x14ac:dyDescent="0.25">
      <c r="A16" t="s">
        <v>4622</v>
      </c>
      <c r="B16">
        <v>487999.99</v>
      </c>
      <c r="C16" t="e">
        <f>VLOOKUP(A16,Defaut!O:O,2,0)</f>
        <v>#REF!</v>
      </c>
      <c r="D16">
        <f>SUMIF([2]Sheet2!$C:$C,A16,[2]Sheet2!$M:$M)</f>
        <v>488000</v>
      </c>
      <c r="E16">
        <f t="shared" si="0"/>
        <v>1.0000000009313226E-2</v>
      </c>
    </row>
    <row r="17" spans="1:5" x14ac:dyDescent="0.25">
      <c r="A17" t="s">
        <v>4614</v>
      </c>
      <c r="B17">
        <v>124000</v>
      </c>
      <c r="C17" t="e">
        <f>VLOOKUP(A17,Defaut!O:O,2,0)</f>
        <v>#REF!</v>
      </c>
      <c r="D17">
        <f>SUMIF([2]Sheet2!$C:$C,A17,[2]Sheet2!$M:$M)</f>
        <v>124000</v>
      </c>
      <c r="E17">
        <f t="shared" si="0"/>
        <v>0</v>
      </c>
    </row>
    <row r="18" spans="1:5" x14ac:dyDescent="0.25">
      <c r="A18" t="s">
        <v>4606</v>
      </c>
      <c r="B18">
        <v>379999.98</v>
      </c>
      <c r="C18" t="e">
        <f>VLOOKUP(A18,Defaut!O:O,2,0)</f>
        <v>#REF!</v>
      </c>
      <c r="D18">
        <f>SUMIF([2]Sheet2!$C:$C,A18,[2]Sheet2!$M:$M)</f>
        <v>380000</v>
      </c>
      <c r="E18">
        <f t="shared" si="0"/>
        <v>2.0000000018626451E-2</v>
      </c>
    </row>
    <row r="19" spans="1:5" x14ac:dyDescent="0.25">
      <c r="A19" t="s">
        <v>4598</v>
      </c>
      <c r="B19">
        <v>375000</v>
      </c>
      <c r="C19" t="e">
        <f>VLOOKUP(A19,Defaut!O:O,2,0)</f>
        <v>#REF!</v>
      </c>
      <c r="D19">
        <f>SUMIF([2]Sheet2!$C:$C,A19,[2]Sheet2!$M:$M)</f>
        <v>375000</v>
      </c>
      <c r="E19">
        <f t="shared" si="0"/>
        <v>0</v>
      </c>
    </row>
    <row r="20" spans="1:5" x14ac:dyDescent="0.25">
      <c r="A20" t="s">
        <v>4590</v>
      </c>
      <c r="B20">
        <v>180999.99</v>
      </c>
      <c r="C20" t="e">
        <f>VLOOKUP(A20,Defaut!O:O,2,0)</f>
        <v>#REF!</v>
      </c>
      <c r="D20">
        <f>SUMIF([2]Sheet2!$C:$C,A20,[2]Sheet2!$M:$M)</f>
        <v>181000</v>
      </c>
      <c r="E20">
        <f t="shared" si="0"/>
        <v>1.0000000009313226E-2</v>
      </c>
    </row>
    <row r="21" spans="1:5" x14ac:dyDescent="0.25">
      <c r="A21" t="s">
        <v>4582</v>
      </c>
      <c r="B21">
        <v>107000</v>
      </c>
      <c r="C21" t="e">
        <f>VLOOKUP(A21,Defaut!O:O,2,0)</f>
        <v>#REF!</v>
      </c>
      <c r="D21">
        <f>SUMIF([2]Sheet2!$C:$C,A21,[2]Sheet2!$M:$M)</f>
        <v>107000</v>
      </c>
      <c r="E21">
        <f t="shared" si="0"/>
        <v>0</v>
      </c>
    </row>
    <row r="22" spans="1:5" x14ac:dyDescent="0.25">
      <c r="A22" t="s">
        <v>4574</v>
      </c>
      <c r="B22">
        <v>415999.99</v>
      </c>
      <c r="C22" t="e">
        <f>VLOOKUP(A22,Defaut!O:O,2,0)</f>
        <v>#REF!</v>
      </c>
      <c r="D22">
        <f>SUMIF([2]Sheet2!$C:$C,A22,[2]Sheet2!$M:$M)</f>
        <v>416000</v>
      </c>
      <c r="E22">
        <f t="shared" si="0"/>
        <v>1.0000000009313226E-2</v>
      </c>
    </row>
    <row r="23" spans="1:5" x14ac:dyDescent="0.25">
      <c r="A23" t="s">
        <v>4566</v>
      </c>
      <c r="B23">
        <v>192000</v>
      </c>
      <c r="C23" t="e">
        <f>VLOOKUP(A23,Defaut!O:O,2,0)</f>
        <v>#REF!</v>
      </c>
      <c r="D23">
        <f>SUMIF([2]Sheet2!$C:$C,A23,[2]Sheet2!$M:$M)</f>
        <v>192000</v>
      </c>
      <c r="E23">
        <f t="shared" si="0"/>
        <v>0</v>
      </c>
    </row>
    <row r="24" spans="1:5" x14ac:dyDescent="0.25">
      <c r="A24" t="s">
        <v>4550</v>
      </c>
      <c r="B24">
        <v>180999.99</v>
      </c>
      <c r="C24" t="e">
        <f>VLOOKUP(A24,Defaut!O:O,2,0)</f>
        <v>#REF!</v>
      </c>
      <c r="D24">
        <f>SUMIF([2]Sheet2!$C:$C,A24,[2]Sheet2!$M:$M)</f>
        <v>181000</v>
      </c>
      <c r="E24">
        <f t="shared" si="0"/>
        <v>1.0000000009313226E-2</v>
      </c>
    </row>
    <row r="25" spans="1:5" x14ac:dyDescent="0.25">
      <c r="A25" t="s">
        <v>4542</v>
      </c>
      <c r="B25">
        <v>379999.98</v>
      </c>
      <c r="C25" t="e">
        <f>VLOOKUP(A25,Defaut!O:O,2,0)</f>
        <v>#REF!</v>
      </c>
      <c r="D25">
        <f>SUMIF([2]Sheet2!$C:$C,A25,[2]Sheet2!$M:$M)</f>
        <v>380000</v>
      </c>
      <c r="E25">
        <f t="shared" si="0"/>
        <v>2.0000000018626451E-2</v>
      </c>
    </row>
    <row r="26" spans="1:5" x14ac:dyDescent="0.25">
      <c r="A26" t="s">
        <v>4534</v>
      </c>
      <c r="B26">
        <v>180999.99</v>
      </c>
      <c r="C26" t="e">
        <f>VLOOKUP(A26,Defaut!O:O,2,0)</f>
        <v>#REF!</v>
      </c>
      <c r="D26">
        <f>SUMIF([2]Sheet2!$C:$C,A26,[2]Sheet2!$M:$M)</f>
        <v>181000</v>
      </c>
      <c r="E26">
        <f t="shared" si="0"/>
        <v>1.0000000009313226E-2</v>
      </c>
    </row>
    <row r="27" spans="1:5" x14ac:dyDescent="0.25">
      <c r="A27" t="s">
        <v>4526</v>
      </c>
      <c r="B27">
        <v>130000</v>
      </c>
      <c r="C27" t="e">
        <f>VLOOKUP(A27,Defaut!O:O,2,0)</f>
        <v>#REF!</v>
      </c>
      <c r="D27">
        <f>SUMIF([2]Sheet2!$C:$C,A27,[2]Sheet2!$M:$M)</f>
        <v>130000</v>
      </c>
      <c r="E27">
        <f t="shared" si="0"/>
        <v>0</v>
      </c>
    </row>
    <row r="28" spans="1:5" x14ac:dyDescent="0.25">
      <c r="A28" t="s">
        <v>4518</v>
      </c>
      <c r="B28">
        <v>357000</v>
      </c>
      <c r="C28" t="e">
        <f>VLOOKUP(A28,Defaut!O:O,2,0)</f>
        <v>#REF!</v>
      </c>
      <c r="D28">
        <f>SUMIF([2]Sheet2!$C:$C,A28,[2]Sheet2!$M:$M)</f>
        <v>357000</v>
      </c>
      <c r="E28">
        <f t="shared" si="0"/>
        <v>0</v>
      </c>
    </row>
    <row r="29" spans="1:5" x14ac:dyDescent="0.25">
      <c r="A29" t="s">
        <v>4510</v>
      </c>
      <c r="B29">
        <v>426500</v>
      </c>
      <c r="C29" t="e">
        <f>VLOOKUP(A29,Defaut!O:O,2,0)</f>
        <v>#REF!</v>
      </c>
      <c r="D29">
        <f>SUMIF([2]Sheet2!$C:$C,A29,[2]Sheet2!$M:$M)</f>
        <v>426500</v>
      </c>
      <c r="E29">
        <f t="shared" si="0"/>
        <v>0</v>
      </c>
    </row>
    <row r="30" spans="1:5" x14ac:dyDescent="0.25">
      <c r="A30" t="s">
        <v>4503</v>
      </c>
      <c r="B30">
        <v>124000</v>
      </c>
      <c r="C30" t="e">
        <f>VLOOKUP(A30,Defaut!O:O,2,0)</f>
        <v>#REF!</v>
      </c>
      <c r="D30">
        <f>SUMIF([2]Sheet2!$C:$C,A30,[2]Sheet2!$M:$M)</f>
        <v>124000</v>
      </c>
      <c r="E30">
        <f t="shared" si="0"/>
        <v>0</v>
      </c>
    </row>
    <row r="31" spans="1:5" x14ac:dyDescent="0.25">
      <c r="A31" t="s">
        <v>4495</v>
      </c>
      <c r="B31">
        <v>364999.98</v>
      </c>
      <c r="C31" t="e">
        <f>VLOOKUP(A31,Defaut!O:O,2,0)</f>
        <v>#REF!</v>
      </c>
      <c r="D31">
        <f>SUMIF([2]Sheet2!$C:$C,A31,[2]Sheet2!$M:$M)</f>
        <v>365000</v>
      </c>
      <c r="E31">
        <f t="shared" si="0"/>
        <v>2.0000000018626451E-2</v>
      </c>
    </row>
    <row r="32" spans="1:5" x14ac:dyDescent="0.25">
      <c r="A32" t="s">
        <v>4487</v>
      </c>
      <c r="B32">
        <v>124000</v>
      </c>
      <c r="C32" t="e">
        <f>VLOOKUP(A32,Defaut!O:O,2,0)</f>
        <v>#REF!</v>
      </c>
      <c r="D32">
        <f>SUMIF([2]Sheet2!$C:$C,A32,[2]Sheet2!$M:$M)</f>
        <v>124000</v>
      </c>
      <c r="E32">
        <f t="shared" si="0"/>
        <v>0</v>
      </c>
    </row>
    <row r="33" spans="1:5" x14ac:dyDescent="0.25">
      <c r="A33" t="s">
        <v>4479</v>
      </c>
      <c r="B33">
        <v>130000</v>
      </c>
      <c r="C33" t="e">
        <f>VLOOKUP(A33,Defaut!O:O,2,0)</f>
        <v>#REF!</v>
      </c>
      <c r="D33">
        <f>SUMIF([2]Sheet2!$C:$C,A33,[2]Sheet2!$M:$M)</f>
        <v>130000</v>
      </c>
      <c r="E33">
        <f t="shared" si="0"/>
        <v>0</v>
      </c>
    </row>
    <row r="34" spans="1:5" x14ac:dyDescent="0.25">
      <c r="A34" t="s">
        <v>4464</v>
      </c>
      <c r="B34">
        <v>185000.01</v>
      </c>
      <c r="C34" t="e">
        <f>VLOOKUP(A34,Defaut!O:O,2,0)</f>
        <v>#REF!</v>
      </c>
      <c r="D34">
        <f>SUMIF([2]Sheet2!$C:$C,A34,[2]Sheet2!$M:$M)</f>
        <v>185000</v>
      </c>
      <c r="E34">
        <f t="shared" si="0"/>
        <v>-1.0000000009313226E-2</v>
      </c>
    </row>
    <row r="35" spans="1:5" x14ac:dyDescent="0.25">
      <c r="A35" t="s">
        <v>4457</v>
      </c>
      <c r="B35">
        <v>144999.99</v>
      </c>
      <c r="C35" t="e">
        <f>VLOOKUP(A35,Defaut!O:O,2,0)</f>
        <v>#REF!</v>
      </c>
      <c r="D35">
        <f>SUMIF([2]Sheet2!$C:$C,A35,[2]Sheet2!$M:$M)</f>
        <v>145000</v>
      </c>
      <c r="E35">
        <f t="shared" si="0"/>
        <v>1.0000000009313226E-2</v>
      </c>
    </row>
    <row r="36" spans="1:5" x14ac:dyDescent="0.25">
      <c r="A36" t="s">
        <v>4449</v>
      </c>
      <c r="B36">
        <v>271999.99</v>
      </c>
      <c r="C36" t="e">
        <f>VLOOKUP(A36,Defaut!O:O,2,0)</f>
        <v>#REF!</v>
      </c>
      <c r="D36">
        <f>SUMIF([2]Sheet2!$C:$C,A36,[2]Sheet2!$M:$M)</f>
        <v>272000</v>
      </c>
      <c r="E36">
        <f t="shared" si="0"/>
        <v>1.0000000009313226E-2</v>
      </c>
    </row>
    <row r="37" spans="1:5" x14ac:dyDescent="0.25">
      <c r="A37" t="s">
        <v>4442</v>
      </c>
      <c r="B37">
        <v>357000</v>
      </c>
      <c r="C37" t="e">
        <f>VLOOKUP(A37,Defaut!O:O,2,0)</f>
        <v>#REF!</v>
      </c>
      <c r="D37">
        <f>SUMIF([2]Sheet2!$C:$C,A37,[2]Sheet2!$M:$M)</f>
        <v>357000</v>
      </c>
      <c r="E37">
        <f t="shared" si="0"/>
        <v>0</v>
      </c>
    </row>
    <row r="38" spans="1:5" x14ac:dyDescent="0.25">
      <c r="A38" t="s">
        <v>4434</v>
      </c>
      <c r="B38">
        <v>268000</v>
      </c>
      <c r="C38" t="e">
        <f>VLOOKUP(A38,Defaut!O:O,2,0)</f>
        <v>#REF!</v>
      </c>
      <c r="D38">
        <f>SUMIF([2]Sheet2!$C:$C,A38,[2]Sheet2!$M:$M)</f>
        <v>268000</v>
      </c>
      <c r="E38">
        <f t="shared" si="0"/>
        <v>0</v>
      </c>
    </row>
    <row r="39" spans="1:5" x14ac:dyDescent="0.25">
      <c r="A39" t="s">
        <v>4426</v>
      </c>
      <c r="B39">
        <v>180999.99</v>
      </c>
      <c r="C39" t="e">
        <f>VLOOKUP(A39,Defaut!O:O,2,0)</f>
        <v>#REF!</v>
      </c>
      <c r="D39">
        <f>SUMIF([2]Sheet2!$C:$C,A39,[2]Sheet2!$M:$M)</f>
        <v>181000</v>
      </c>
      <c r="E39">
        <f t="shared" si="0"/>
        <v>1.0000000009313226E-2</v>
      </c>
    </row>
    <row r="40" spans="1:5" x14ac:dyDescent="0.25">
      <c r="A40" t="s">
        <v>4419</v>
      </c>
      <c r="B40">
        <v>144999.99</v>
      </c>
      <c r="C40" t="e">
        <f>VLOOKUP(A40,Defaut!O:O,2,0)</f>
        <v>#REF!</v>
      </c>
      <c r="D40">
        <f>SUMIF([2]Sheet2!$C:$C,A40,[2]Sheet2!$M:$M)</f>
        <v>145000</v>
      </c>
      <c r="E40">
        <f t="shared" si="0"/>
        <v>1.0000000009313226E-2</v>
      </c>
    </row>
    <row r="41" spans="1:5" x14ac:dyDescent="0.25">
      <c r="A41" t="s">
        <v>4412</v>
      </c>
      <c r="B41">
        <v>379999.98</v>
      </c>
      <c r="C41" t="e">
        <f>VLOOKUP(A41,Defaut!O:O,2,0)</f>
        <v>#REF!</v>
      </c>
      <c r="D41">
        <f>SUMIF([2]Sheet2!$C:$C,A41,[2]Sheet2!$M:$M)</f>
        <v>380000</v>
      </c>
      <c r="E41">
        <f t="shared" si="0"/>
        <v>2.0000000018626451E-2</v>
      </c>
    </row>
    <row r="42" spans="1:5" x14ac:dyDescent="0.25">
      <c r="A42" t="s">
        <v>4405</v>
      </c>
      <c r="B42">
        <v>140499.99</v>
      </c>
      <c r="C42" t="e">
        <f>VLOOKUP(A42,Defaut!O:O,2,0)</f>
        <v>#REF!</v>
      </c>
      <c r="D42">
        <f>SUMIF([2]Sheet2!$C:$C,A42,[2]Sheet2!$M:$M)</f>
        <v>140500</v>
      </c>
      <c r="E42">
        <f t="shared" si="0"/>
        <v>1.0000000009313226E-2</v>
      </c>
    </row>
    <row r="43" spans="1:5" x14ac:dyDescent="0.25">
      <c r="A43" t="s">
        <v>4398</v>
      </c>
      <c r="B43">
        <v>192000</v>
      </c>
      <c r="C43" t="e">
        <f>VLOOKUP(A43,Defaut!O:O,2,0)</f>
        <v>#REF!</v>
      </c>
      <c r="D43">
        <f>SUMIF([2]Sheet2!$C:$C,A43,[2]Sheet2!$M:$M)</f>
        <v>192000</v>
      </c>
      <c r="E43">
        <f t="shared" si="0"/>
        <v>0</v>
      </c>
    </row>
    <row r="44" spans="1:5" x14ac:dyDescent="0.25">
      <c r="A44" t="s">
        <v>4471</v>
      </c>
      <c r="B44">
        <v>124000</v>
      </c>
      <c r="C44" t="e">
        <f>VLOOKUP(A44,Defaut!O:O,2,0)</f>
        <v>#REF!</v>
      </c>
      <c r="D44">
        <f>SUMIF([2]Sheet2!$C:$C,A44,[2]Sheet2!$M:$M)</f>
        <v>124000</v>
      </c>
      <c r="E44">
        <f t="shared" si="0"/>
        <v>0</v>
      </c>
    </row>
    <row r="45" spans="1:5" x14ac:dyDescent="0.25">
      <c r="A45" t="s">
        <v>4390</v>
      </c>
      <c r="B45">
        <v>124000</v>
      </c>
      <c r="C45" t="e">
        <f>VLOOKUP(A45,Defaut!O:O,2,0)</f>
        <v>#REF!</v>
      </c>
      <c r="D45">
        <f>SUMIF([2]Sheet2!$C:$C,A45,[2]Sheet2!$M:$M)</f>
        <v>124000</v>
      </c>
      <c r="E45">
        <f t="shared" si="0"/>
        <v>0</v>
      </c>
    </row>
    <row r="46" spans="1:5" x14ac:dyDescent="0.25">
      <c r="A46" t="s">
        <v>4382</v>
      </c>
      <c r="B46">
        <v>144999.99</v>
      </c>
      <c r="C46" t="e">
        <f>VLOOKUP(A46,Defaut!O:O,2,0)</f>
        <v>#REF!</v>
      </c>
      <c r="D46">
        <f>SUMIF([2]Sheet2!$C:$C,A46,[2]Sheet2!$M:$M)</f>
        <v>145000</v>
      </c>
      <c r="E46">
        <f t="shared" si="0"/>
        <v>1.0000000009313226E-2</v>
      </c>
    </row>
    <row r="47" spans="1:5" x14ac:dyDescent="0.25">
      <c r="A47" t="s">
        <v>4374</v>
      </c>
      <c r="B47">
        <v>379999.98</v>
      </c>
      <c r="C47" t="e">
        <f>VLOOKUP(A47,Defaut!O:O,2,0)</f>
        <v>#REF!</v>
      </c>
      <c r="D47">
        <f>SUMIF([2]Sheet2!$C:$C,A47,[2]Sheet2!$M:$M)</f>
        <v>380000</v>
      </c>
      <c r="E47">
        <f t="shared" si="0"/>
        <v>2.0000000018626451E-2</v>
      </c>
    </row>
    <row r="48" spans="1:5" x14ac:dyDescent="0.25">
      <c r="A48" t="s">
        <v>4367</v>
      </c>
      <c r="B48">
        <v>180999.99</v>
      </c>
      <c r="C48" t="e">
        <f>VLOOKUP(A48,Defaut!O:O,2,0)</f>
        <v>#REF!</v>
      </c>
      <c r="D48">
        <f>SUMIF([2]Sheet2!$C:$C,A48,[2]Sheet2!$M:$M)</f>
        <v>181000</v>
      </c>
      <c r="E48">
        <f t="shared" si="0"/>
        <v>1.0000000009313226E-2</v>
      </c>
    </row>
    <row r="49" spans="1:5" x14ac:dyDescent="0.25">
      <c r="A49" t="s">
        <v>4359</v>
      </c>
      <c r="B49">
        <v>107000</v>
      </c>
      <c r="C49" t="e">
        <f>VLOOKUP(A49,Defaut!O:O,2,0)</f>
        <v>#REF!</v>
      </c>
      <c r="D49">
        <f>SUMIF([2]Sheet2!$C:$C,A49,[2]Sheet2!$M:$M)</f>
        <v>107000</v>
      </c>
      <c r="E49">
        <f t="shared" si="0"/>
        <v>0</v>
      </c>
    </row>
    <row r="50" spans="1:5" x14ac:dyDescent="0.25">
      <c r="A50" t="s">
        <v>4351</v>
      </c>
      <c r="B50">
        <v>144999.99</v>
      </c>
      <c r="C50" t="e">
        <f>VLOOKUP(A50,Defaut!O:O,2,0)</f>
        <v>#REF!</v>
      </c>
      <c r="D50">
        <f>SUMIF([2]Sheet2!$C:$C,A50,[2]Sheet2!$M:$M)</f>
        <v>145000</v>
      </c>
      <c r="E50">
        <f t="shared" si="0"/>
        <v>1.0000000009313226E-2</v>
      </c>
    </row>
    <row r="51" spans="1:5" x14ac:dyDescent="0.25">
      <c r="A51" t="s">
        <v>4343</v>
      </c>
      <c r="B51">
        <v>375000</v>
      </c>
      <c r="C51" t="e">
        <f>VLOOKUP(A51,Defaut!O:O,2,0)</f>
        <v>#REF!</v>
      </c>
      <c r="D51">
        <f>SUMIF([2]Sheet2!$C:$C,A51,[2]Sheet2!$M:$M)</f>
        <v>375000</v>
      </c>
      <c r="E51">
        <f t="shared" si="0"/>
        <v>0</v>
      </c>
    </row>
    <row r="52" spans="1:5" x14ac:dyDescent="0.25">
      <c r="A52" t="s">
        <v>4335</v>
      </c>
      <c r="B52">
        <v>315999.99</v>
      </c>
      <c r="C52" t="e">
        <f>VLOOKUP(A52,Defaut!O:O,2,0)</f>
        <v>#REF!</v>
      </c>
      <c r="D52">
        <f>SUMIF([2]Sheet2!$C:$C,A52,[2]Sheet2!$M:$M)</f>
        <v>316000</v>
      </c>
      <c r="E52">
        <f t="shared" si="0"/>
        <v>1.0000000009313226E-2</v>
      </c>
    </row>
    <row r="53" spans="1:5" x14ac:dyDescent="0.25">
      <c r="A53" t="s">
        <v>4327</v>
      </c>
      <c r="B53">
        <v>424000</v>
      </c>
      <c r="C53" t="e">
        <f>VLOOKUP(A53,Defaut!O:O,2,0)</f>
        <v>#REF!</v>
      </c>
      <c r="D53">
        <f>SUMIF([2]Sheet2!$C:$C,A53,[2]Sheet2!$M:$M)</f>
        <v>424000</v>
      </c>
      <c r="E53">
        <f t="shared" si="0"/>
        <v>0</v>
      </c>
    </row>
    <row r="54" spans="1:5" x14ac:dyDescent="0.25">
      <c r="A54" t="s">
        <v>4319</v>
      </c>
      <c r="B54">
        <v>274000</v>
      </c>
      <c r="C54" t="e">
        <f>VLOOKUP(A54,Defaut!O:O,2,0)</f>
        <v>#REF!</v>
      </c>
      <c r="D54">
        <f>SUMIF([2]Sheet2!$C:$C,A54,[2]Sheet2!$M:$M)</f>
        <v>274000</v>
      </c>
      <c r="E54">
        <f t="shared" si="0"/>
        <v>0</v>
      </c>
    </row>
    <row r="55" spans="1:5" x14ac:dyDescent="0.25">
      <c r="A55" t="s">
        <v>4311</v>
      </c>
      <c r="B55">
        <v>375000</v>
      </c>
      <c r="C55" t="e">
        <f>VLOOKUP(A55,Defaut!O:O,2,0)</f>
        <v>#REF!</v>
      </c>
      <c r="D55">
        <f>SUMIF([2]Sheet2!$C:$C,A55,[2]Sheet2!$M:$M)</f>
        <v>375000</v>
      </c>
      <c r="E55">
        <f t="shared" si="0"/>
        <v>0</v>
      </c>
    </row>
    <row r="56" spans="1:5" x14ac:dyDescent="0.25">
      <c r="A56" t="s">
        <v>4303</v>
      </c>
      <c r="B56">
        <v>124000</v>
      </c>
      <c r="C56" t="e">
        <f>VLOOKUP(A56,Defaut!O:O,2,0)</f>
        <v>#REF!</v>
      </c>
      <c r="D56">
        <f>SUMIF([2]Sheet2!$C:$C,A56,[2]Sheet2!$M:$M)</f>
        <v>124000</v>
      </c>
      <c r="E56">
        <f t="shared" si="0"/>
        <v>0</v>
      </c>
    </row>
    <row r="57" spans="1:5" x14ac:dyDescent="0.25">
      <c r="A57" t="s">
        <v>4295</v>
      </c>
      <c r="B57">
        <v>267499.99</v>
      </c>
      <c r="C57" t="e">
        <f>VLOOKUP(A57,Defaut!O:O,2,0)</f>
        <v>#REF!</v>
      </c>
      <c r="D57">
        <f>SUMIF([2]Sheet2!$C:$C,A57,[2]Sheet2!$M:$M)</f>
        <v>267500</v>
      </c>
      <c r="E57">
        <f t="shared" si="0"/>
        <v>1.0000000009313226E-2</v>
      </c>
    </row>
    <row r="58" spans="1:5" x14ac:dyDescent="0.25">
      <c r="A58" t="s">
        <v>4287</v>
      </c>
      <c r="B58">
        <v>144999.99</v>
      </c>
      <c r="C58" t="e">
        <f>VLOOKUP(A58,Defaut!O:O,2,0)</f>
        <v>#REF!</v>
      </c>
      <c r="D58">
        <f>SUMIF([2]Sheet2!$C:$C,A58,[2]Sheet2!$M:$M)</f>
        <v>145000</v>
      </c>
      <c r="E58">
        <f t="shared" si="0"/>
        <v>1.0000000009313226E-2</v>
      </c>
    </row>
    <row r="59" spans="1:5" x14ac:dyDescent="0.25">
      <c r="A59" t="s">
        <v>4279</v>
      </c>
      <c r="B59">
        <v>144999.99</v>
      </c>
      <c r="C59" t="e">
        <f>VLOOKUP(A59,Defaut!O:O,2,0)</f>
        <v>#REF!</v>
      </c>
      <c r="D59">
        <f>SUMIF([2]Sheet2!$C:$C,A59,[2]Sheet2!$M:$M)</f>
        <v>145000</v>
      </c>
      <c r="E59">
        <f t="shared" si="0"/>
        <v>1.0000000009313226E-2</v>
      </c>
    </row>
    <row r="60" spans="1:5" x14ac:dyDescent="0.25">
      <c r="A60" t="s">
        <v>4271</v>
      </c>
      <c r="B60">
        <v>274000</v>
      </c>
      <c r="C60" t="e">
        <f>VLOOKUP(A60,Defaut!O:O,2,0)</f>
        <v>#REF!</v>
      </c>
      <c r="D60">
        <f>SUMIF([2]Sheet2!$C:$C,A60,[2]Sheet2!$M:$M)</f>
        <v>274000</v>
      </c>
      <c r="E60">
        <f t="shared" si="0"/>
        <v>0</v>
      </c>
    </row>
    <row r="61" spans="1:5" x14ac:dyDescent="0.25">
      <c r="A61" t="s">
        <v>4263</v>
      </c>
      <c r="B61">
        <v>364999.98</v>
      </c>
      <c r="C61" t="e">
        <f>VLOOKUP(A61,Defaut!O:O,2,0)</f>
        <v>#REF!</v>
      </c>
      <c r="D61">
        <f>SUMIF([2]Sheet2!$C:$C,A61,[2]Sheet2!$M:$M)</f>
        <v>365000</v>
      </c>
      <c r="E61">
        <f t="shared" si="0"/>
        <v>2.0000000018626451E-2</v>
      </c>
    </row>
    <row r="62" spans="1:5" x14ac:dyDescent="0.25">
      <c r="A62" t="s">
        <v>4256</v>
      </c>
      <c r="B62">
        <v>192000</v>
      </c>
      <c r="C62" t="e">
        <f>VLOOKUP(A62,Defaut!O:O,2,0)</f>
        <v>#REF!</v>
      </c>
      <c r="D62">
        <f>SUMIF([2]Sheet2!$C:$C,A62,[2]Sheet2!$M:$M)</f>
        <v>192000</v>
      </c>
      <c r="E62">
        <f t="shared" si="0"/>
        <v>0</v>
      </c>
    </row>
    <row r="63" spans="1:5" x14ac:dyDescent="0.25">
      <c r="A63" t="s">
        <v>4249</v>
      </c>
      <c r="B63">
        <v>379999.98</v>
      </c>
      <c r="C63" t="e">
        <f>VLOOKUP(A63,Defaut!O:O,2,0)</f>
        <v>#REF!</v>
      </c>
      <c r="D63">
        <f>SUMIF([2]Sheet2!$C:$C,A63,[2]Sheet2!$M:$M)</f>
        <v>380000</v>
      </c>
      <c r="E63">
        <f t="shared" si="0"/>
        <v>2.0000000018626451E-2</v>
      </c>
    </row>
    <row r="64" spans="1:5" x14ac:dyDescent="0.25">
      <c r="A64" t="s">
        <v>4241</v>
      </c>
      <c r="B64">
        <v>124000</v>
      </c>
      <c r="C64" t="e">
        <f>VLOOKUP(A64,Defaut!O:O,2,0)</f>
        <v>#REF!</v>
      </c>
      <c r="D64">
        <f>SUMIF([2]Sheet2!$C:$C,A64,[2]Sheet2!$M:$M)</f>
        <v>124000</v>
      </c>
      <c r="E64">
        <f t="shared" si="0"/>
        <v>0</v>
      </c>
    </row>
    <row r="65" spans="1:5" x14ac:dyDescent="0.25">
      <c r="A65" t="s">
        <v>4235</v>
      </c>
      <c r="B65">
        <v>124000</v>
      </c>
      <c r="C65" t="e">
        <f>VLOOKUP(A65,Defaut!O:O,2,0)</f>
        <v>#REF!</v>
      </c>
      <c r="D65">
        <f>SUMIF([2]Sheet2!$C:$C,A65,[2]Sheet2!$M:$M)</f>
        <v>124000</v>
      </c>
      <c r="E65">
        <f t="shared" si="0"/>
        <v>0</v>
      </c>
    </row>
    <row r="66" spans="1:5" x14ac:dyDescent="0.25">
      <c r="A66" t="s">
        <v>4228</v>
      </c>
      <c r="B66">
        <v>364999.98</v>
      </c>
      <c r="C66" t="e">
        <f>VLOOKUP(A66,Defaut!O:O,2,0)</f>
        <v>#REF!</v>
      </c>
      <c r="D66">
        <f>SUMIF([2]Sheet2!$C:$C,A66,[2]Sheet2!$M:$M)</f>
        <v>365000</v>
      </c>
      <c r="E66">
        <f t="shared" ref="E66:E129" si="1">D66-B66</f>
        <v>2.0000000018626451E-2</v>
      </c>
    </row>
    <row r="67" spans="1:5" x14ac:dyDescent="0.25">
      <c r="A67" t="s">
        <v>4221</v>
      </c>
      <c r="B67">
        <v>276000</v>
      </c>
      <c r="C67" t="e">
        <f>VLOOKUP(A67,Defaut!O:O,2,0)</f>
        <v>#REF!</v>
      </c>
      <c r="D67">
        <f>SUMIF([2]Sheet2!$C:$C,A67,[2]Sheet2!$M:$M)</f>
        <v>276000</v>
      </c>
      <c r="E67">
        <f t="shared" si="1"/>
        <v>0</v>
      </c>
    </row>
    <row r="68" spans="1:5" x14ac:dyDescent="0.25">
      <c r="A68" t="s">
        <v>4213</v>
      </c>
      <c r="B68">
        <v>153999.99</v>
      </c>
      <c r="C68" t="e">
        <f>VLOOKUP(A68,Defaut!O:O,2,0)</f>
        <v>#REF!</v>
      </c>
      <c r="D68">
        <f>SUMIF([2]Sheet2!$C:$C,A68,[2]Sheet2!$M:$M)</f>
        <v>154000</v>
      </c>
      <c r="E68">
        <f t="shared" si="1"/>
        <v>1.0000000009313226E-2</v>
      </c>
    </row>
    <row r="69" spans="1:5" x14ac:dyDescent="0.25">
      <c r="A69" t="s">
        <v>4199</v>
      </c>
      <c r="B69">
        <v>106000</v>
      </c>
      <c r="C69" t="e">
        <f>VLOOKUP(A69,Defaut!O:O,2,0)</f>
        <v>#REF!</v>
      </c>
      <c r="D69">
        <f>SUMIF([2]Sheet2!$C:$C,A69,[2]Sheet2!$M:$M)</f>
        <v>106000</v>
      </c>
      <c r="E69">
        <f t="shared" si="1"/>
        <v>0</v>
      </c>
    </row>
    <row r="70" spans="1:5" x14ac:dyDescent="0.25">
      <c r="A70" t="s">
        <v>4206</v>
      </c>
      <c r="B70">
        <v>180999.99</v>
      </c>
      <c r="C70" t="e">
        <f>VLOOKUP(A70,Defaut!O:O,2,0)</f>
        <v>#REF!</v>
      </c>
      <c r="D70">
        <f>SUMIF([2]Sheet2!$C:$C,A70,[2]Sheet2!$M:$M)</f>
        <v>181000</v>
      </c>
      <c r="E70">
        <f t="shared" si="1"/>
        <v>1.0000000009313226E-2</v>
      </c>
    </row>
    <row r="71" spans="1:5" x14ac:dyDescent="0.25">
      <c r="A71" t="s">
        <v>4192</v>
      </c>
      <c r="B71">
        <v>352000.02</v>
      </c>
      <c r="C71" t="e">
        <f>VLOOKUP(A71,Defaut!O:O,2,0)</f>
        <v>#REF!</v>
      </c>
      <c r="D71">
        <f>SUMIF([2]Sheet2!$C:$C,A71,[2]Sheet2!$M:$M)</f>
        <v>352000</v>
      </c>
      <c r="E71">
        <f t="shared" si="1"/>
        <v>-2.0000000018626451E-2</v>
      </c>
    </row>
    <row r="72" spans="1:5" x14ac:dyDescent="0.25">
      <c r="A72" t="s">
        <v>4185</v>
      </c>
      <c r="B72">
        <v>123000</v>
      </c>
      <c r="C72" t="e">
        <f>VLOOKUP(A72,Defaut!O:O,2,0)</f>
        <v>#REF!</v>
      </c>
      <c r="D72">
        <f>SUMIF([2]Sheet2!$C:$C,A72,[2]Sheet2!$M:$M)</f>
        <v>123000</v>
      </c>
      <c r="E72">
        <f t="shared" si="1"/>
        <v>0</v>
      </c>
    </row>
    <row r="73" spans="1:5" x14ac:dyDescent="0.25">
      <c r="A73" t="s">
        <v>4178</v>
      </c>
      <c r="B73">
        <v>140499.99</v>
      </c>
      <c r="C73" t="e">
        <f>VLOOKUP(A73,Defaut!O:O,2,0)</f>
        <v>#REF!</v>
      </c>
      <c r="D73">
        <f>SUMIF([2]Sheet2!$C:$C,A73,[2]Sheet2!$M:$M)</f>
        <v>140500</v>
      </c>
      <c r="E73">
        <f t="shared" si="1"/>
        <v>1.0000000009313226E-2</v>
      </c>
    </row>
    <row r="74" spans="1:5" x14ac:dyDescent="0.25">
      <c r="A74" t="s">
        <v>4171</v>
      </c>
      <c r="B74">
        <v>180999.99</v>
      </c>
      <c r="C74" t="e">
        <f>VLOOKUP(A74,Defaut!O:O,2,0)</f>
        <v>#REF!</v>
      </c>
      <c r="D74">
        <f>SUMIF([2]Sheet2!$C:$C,A74,[2]Sheet2!$M:$M)</f>
        <v>181000</v>
      </c>
      <c r="E74">
        <f t="shared" si="1"/>
        <v>1.0000000009313226E-2</v>
      </c>
    </row>
    <row r="75" spans="1:5" x14ac:dyDescent="0.25">
      <c r="A75" t="s">
        <v>4163</v>
      </c>
      <c r="B75">
        <v>355000</v>
      </c>
      <c r="C75" t="e">
        <f>VLOOKUP(A75,Defaut!O:O,2,0)</f>
        <v>#REF!</v>
      </c>
      <c r="D75">
        <f>SUMIF([2]Sheet2!$C:$C,A75,[2]Sheet2!$M:$M)</f>
        <v>355000</v>
      </c>
      <c r="E75">
        <f t="shared" si="1"/>
        <v>0</v>
      </c>
    </row>
    <row r="76" spans="1:5" x14ac:dyDescent="0.25">
      <c r="A76" t="s">
        <v>4149</v>
      </c>
      <c r="B76">
        <v>357000</v>
      </c>
      <c r="C76" t="e">
        <f>VLOOKUP(A76,Defaut!O:O,2,0)</f>
        <v>#REF!</v>
      </c>
      <c r="D76">
        <f>SUMIF([2]Sheet2!$C:$C,A76,[2]Sheet2!$M:$M)</f>
        <v>357000</v>
      </c>
      <c r="E76">
        <f t="shared" si="1"/>
        <v>0</v>
      </c>
    </row>
    <row r="77" spans="1:5" x14ac:dyDescent="0.25">
      <c r="A77" t="s">
        <v>4156</v>
      </c>
      <c r="B77">
        <v>140499.99</v>
      </c>
      <c r="C77" t="e">
        <f>VLOOKUP(A77,Defaut!O:O,2,0)</f>
        <v>#REF!</v>
      </c>
      <c r="D77">
        <f>SUMIF([2]Sheet2!$C:$C,A77,[2]Sheet2!$M:$M)</f>
        <v>140500</v>
      </c>
      <c r="E77">
        <f t="shared" si="1"/>
        <v>1.0000000009313226E-2</v>
      </c>
    </row>
    <row r="78" spans="1:5" x14ac:dyDescent="0.25">
      <c r="A78" t="s">
        <v>4142</v>
      </c>
      <c r="B78">
        <v>249000</v>
      </c>
      <c r="C78" t="e">
        <f>VLOOKUP(A78,Defaut!O:O,2,0)</f>
        <v>#REF!</v>
      </c>
      <c r="D78">
        <f>SUMIF([2]Sheet2!$C:$C,A78,[2]Sheet2!$M:$M)</f>
        <v>249000</v>
      </c>
      <c r="E78">
        <f t="shared" si="1"/>
        <v>0</v>
      </c>
    </row>
    <row r="79" spans="1:5" x14ac:dyDescent="0.25">
      <c r="A79" t="s">
        <v>4134</v>
      </c>
      <c r="B79">
        <v>180999.99</v>
      </c>
      <c r="C79" t="e">
        <f>VLOOKUP(A79,Defaut!O:O,2,0)</f>
        <v>#REF!</v>
      </c>
      <c r="D79">
        <f>SUMIF([2]Sheet2!$C:$C,A79,[2]Sheet2!$M:$M)</f>
        <v>181000</v>
      </c>
      <c r="E79">
        <f t="shared" si="1"/>
        <v>1.0000000009313226E-2</v>
      </c>
    </row>
    <row r="80" spans="1:5" x14ac:dyDescent="0.25">
      <c r="A80" t="s">
        <v>4126</v>
      </c>
      <c r="B80">
        <v>123000</v>
      </c>
      <c r="C80" t="e">
        <f>VLOOKUP(A80,Defaut!O:O,2,0)</f>
        <v>#REF!</v>
      </c>
      <c r="D80">
        <f>SUMIF([2]Sheet2!$C:$C,A80,[2]Sheet2!$M:$M)</f>
        <v>123000</v>
      </c>
      <c r="E80">
        <f t="shared" si="1"/>
        <v>0</v>
      </c>
    </row>
    <row r="81" spans="1:5" x14ac:dyDescent="0.25">
      <c r="A81" t="s">
        <v>4118</v>
      </c>
      <c r="B81">
        <v>140499.99</v>
      </c>
      <c r="C81" t="e">
        <f>VLOOKUP(A81,Defaut!O:O,2,0)</f>
        <v>#REF!</v>
      </c>
      <c r="D81">
        <f>SUMIF([2]Sheet2!$C:$C,A81,[2]Sheet2!$M:$M)</f>
        <v>140500</v>
      </c>
      <c r="E81">
        <f t="shared" si="1"/>
        <v>1.0000000009313226E-2</v>
      </c>
    </row>
    <row r="82" spans="1:5" x14ac:dyDescent="0.25">
      <c r="A82" t="s">
        <v>4110</v>
      </c>
      <c r="B82">
        <v>357000</v>
      </c>
      <c r="C82" t="e">
        <f>VLOOKUP(A82,Defaut!O:O,2,0)</f>
        <v>#REF!</v>
      </c>
      <c r="D82">
        <f>SUMIF([2]Sheet2!$C:$C,A82,[2]Sheet2!$M:$M)</f>
        <v>357000</v>
      </c>
      <c r="E82">
        <f t="shared" si="1"/>
        <v>0</v>
      </c>
    </row>
    <row r="83" spans="1:5" x14ac:dyDescent="0.25">
      <c r="A83" t="s">
        <v>4102</v>
      </c>
      <c r="B83">
        <v>180999.99</v>
      </c>
      <c r="C83" t="e">
        <f>VLOOKUP(A83,Defaut!O:O,2,0)</f>
        <v>#REF!</v>
      </c>
      <c r="D83">
        <f>SUMIF([2]Sheet2!$C:$C,A83,[2]Sheet2!$M:$M)</f>
        <v>181000</v>
      </c>
      <c r="E83">
        <f t="shared" si="1"/>
        <v>1.0000000009313226E-2</v>
      </c>
    </row>
    <row r="84" spans="1:5" x14ac:dyDescent="0.25">
      <c r="A84" t="s">
        <v>4094</v>
      </c>
      <c r="B84">
        <v>140499.99</v>
      </c>
      <c r="C84" t="e">
        <f>VLOOKUP(A84,Defaut!O:O,2,0)</f>
        <v>#REF!</v>
      </c>
      <c r="D84">
        <f>SUMIF([2]Sheet2!$C:$C,A84,[2]Sheet2!$M:$M)</f>
        <v>140500</v>
      </c>
      <c r="E84">
        <f t="shared" si="1"/>
        <v>1.0000000009313226E-2</v>
      </c>
    </row>
    <row r="85" spans="1:5" x14ac:dyDescent="0.25">
      <c r="A85" t="s">
        <v>4078</v>
      </c>
      <c r="B85">
        <v>106000</v>
      </c>
      <c r="C85" t="e">
        <f>VLOOKUP(A85,Defaut!O:O,2,0)</f>
        <v>#REF!</v>
      </c>
      <c r="D85">
        <f>SUMIF([2]Sheet2!$C:$C,A85,[2]Sheet2!$M:$M)</f>
        <v>106000</v>
      </c>
      <c r="E85">
        <f t="shared" si="1"/>
        <v>0</v>
      </c>
    </row>
    <row r="86" spans="1:5" x14ac:dyDescent="0.25">
      <c r="A86" t="s">
        <v>4086</v>
      </c>
      <c r="B86">
        <v>357000</v>
      </c>
      <c r="C86" t="e">
        <f>VLOOKUP(A86,Defaut!O:O,2,0)</f>
        <v>#REF!</v>
      </c>
      <c r="D86">
        <f>SUMIF([2]Sheet2!$C:$C,A86,[2]Sheet2!$M:$M)</f>
        <v>357000</v>
      </c>
      <c r="E86">
        <f t="shared" si="1"/>
        <v>0</v>
      </c>
    </row>
    <row r="87" spans="1:5" x14ac:dyDescent="0.25">
      <c r="A87" t="s">
        <v>4070</v>
      </c>
      <c r="B87">
        <v>106000</v>
      </c>
      <c r="C87" t="e">
        <f>VLOOKUP(A87,Defaut!O:O,2,0)</f>
        <v>#REF!</v>
      </c>
      <c r="D87">
        <f>SUMIF([2]Sheet2!$C:$C,A87,[2]Sheet2!$M:$M)</f>
        <v>106000</v>
      </c>
      <c r="E87">
        <f t="shared" si="1"/>
        <v>0</v>
      </c>
    </row>
    <row r="88" spans="1:5" x14ac:dyDescent="0.25">
      <c r="A88" t="s">
        <v>4062</v>
      </c>
      <c r="B88">
        <v>793499.96</v>
      </c>
      <c r="C88" t="e">
        <f>VLOOKUP(A88,Defaut!O:O,2,0)</f>
        <v>#REF!</v>
      </c>
      <c r="D88">
        <f>SUMIF([2]Sheet2!$C:$C,A88,[2]Sheet2!$M:$M)</f>
        <v>793500</v>
      </c>
      <c r="E88">
        <f t="shared" si="1"/>
        <v>4.0000000037252903E-2</v>
      </c>
    </row>
    <row r="89" spans="1:5" x14ac:dyDescent="0.25">
      <c r="A89" t="s">
        <v>4054</v>
      </c>
      <c r="B89">
        <v>356499.99</v>
      </c>
      <c r="C89" t="e">
        <f>VLOOKUP(A89,Defaut!O:O,2,0)</f>
        <v>#REF!</v>
      </c>
      <c r="D89">
        <f>SUMIF([2]Sheet2!$C:$C,A89,[2]Sheet2!$M:$M)</f>
        <v>356500</v>
      </c>
      <c r="E89">
        <f t="shared" si="1"/>
        <v>1.0000000009313226E-2</v>
      </c>
    </row>
    <row r="90" spans="1:5" x14ac:dyDescent="0.25">
      <c r="A90" t="s">
        <v>4046</v>
      </c>
      <c r="B90">
        <v>268000</v>
      </c>
      <c r="C90" t="e">
        <f>VLOOKUP(A90,Defaut!O:O,2,0)</f>
        <v>#REF!</v>
      </c>
      <c r="D90">
        <f>SUMIF([2]Sheet2!$C:$C,A90,[2]Sheet2!$M:$M)</f>
        <v>268000</v>
      </c>
      <c r="E90">
        <f t="shared" si="1"/>
        <v>0</v>
      </c>
    </row>
    <row r="91" spans="1:5" x14ac:dyDescent="0.25">
      <c r="A91" t="s">
        <v>4038</v>
      </c>
      <c r="B91">
        <v>232000</v>
      </c>
      <c r="C91" t="e">
        <f>VLOOKUP(A91,Defaut!O:O,2,0)</f>
        <v>#REF!</v>
      </c>
      <c r="D91">
        <f>SUMIF([2]Sheet2!$C:$C,A91,[2]Sheet2!$M:$M)</f>
        <v>232000</v>
      </c>
      <c r="E91">
        <f t="shared" si="1"/>
        <v>0</v>
      </c>
    </row>
    <row r="92" spans="1:5" x14ac:dyDescent="0.25">
      <c r="A92" t="s">
        <v>4031</v>
      </c>
      <c r="B92">
        <v>357000</v>
      </c>
      <c r="C92" t="e">
        <f>VLOOKUP(A92,Defaut!O:O,2,0)</f>
        <v>#REF!</v>
      </c>
      <c r="D92">
        <f>SUMIF([2]Sheet2!$C:$C,A92,[2]Sheet2!$M:$M)</f>
        <v>357000</v>
      </c>
      <c r="E92">
        <f t="shared" si="1"/>
        <v>0</v>
      </c>
    </row>
    <row r="93" spans="1:5" x14ac:dyDescent="0.25">
      <c r="A93" t="s">
        <v>4023</v>
      </c>
      <c r="B93">
        <v>357000</v>
      </c>
      <c r="C93" t="e">
        <f>VLOOKUP(A93,Defaut!O:O,2,0)</f>
        <v>#REF!</v>
      </c>
      <c r="D93">
        <f>SUMIF([2]Sheet2!$C:$C,A93,[2]Sheet2!$M:$M)</f>
        <v>357000</v>
      </c>
      <c r="E93">
        <f t="shared" si="1"/>
        <v>0</v>
      </c>
    </row>
    <row r="94" spans="1:5" x14ac:dyDescent="0.25">
      <c r="A94" t="s">
        <v>4015</v>
      </c>
      <c r="B94">
        <v>140499.99</v>
      </c>
      <c r="C94" t="e">
        <f>VLOOKUP(A94,Defaut!O:O,2,0)</f>
        <v>#REF!</v>
      </c>
      <c r="D94">
        <f>SUMIF([2]Sheet2!$C:$C,A94,[2]Sheet2!$M:$M)</f>
        <v>140500</v>
      </c>
      <c r="E94">
        <f t="shared" si="1"/>
        <v>1.0000000009313226E-2</v>
      </c>
    </row>
    <row r="95" spans="1:5" x14ac:dyDescent="0.25">
      <c r="A95" t="s">
        <v>4007</v>
      </c>
      <c r="B95">
        <v>180999.99</v>
      </c>
      <c r="C95" t="e">
        <f>VLOOKUP(A95,Defaut!O:O,2,0)</f>
        <v>#REF!</v>
      </c>
      <c r="D95">
        <f>SUMIF([2]Sheet2!$C:$C,A95,[2]Sheet2!$M:$M)</f>
        <v>181000</v>
      </c>
      <c r="E95">
        <f t="shared" si="1"/>
        <v>1.0000000009313226E-2</v>
      </c>
    </row>
    <row r="96" spans="1:5" x14ac:dyDescent="0.25">
      <c r="A96" t="s">
        <v>3999</v>
      </c>
      <c r="B96">
        <v>106000</v>
      </c>
      <c r="C96" t="e">
        <f>VLOOKUP(A96,Defaut!O:O,2,0)</f>
        <v>#REF!</v>
      </c>
      <c r="D96">
        <f>SUMIF([2]Sheet2!$C:$C,A96,[2]Sheet2!$M:$M)</f>
        <v>106000</v>
      </c>
      <c r="E96">
        <f t="shared" si="1"/>
        <v>0</v>
      </c>
    </row>
    <row r="97" spans="1:5" x14ac:dyDescent="0.25">
      <c r="A97" t="s">
        <v>3991</v>
      </c>
      <c r="B97">
        <v>266499.99</v>
      </c>
      <c r="C97" t="e">
        <f>VLOOKUP(A97,Defaut!O:O,2,0)</f>
        <v>#REF!</v>
      </c>
      <c r="D97">
        <f>SUMIF([2]Sheet2!$C:$C,A97,[2]Sheet2!$M:$M)</f>
        <v>266500</v>
      </c>
      <c r="E97">
        <f t="shared" si="1"/>
        <v>1.0000000009313226E-2</v>
      </c>
    </row>
    <row r="98" spans="1:5" x14ac:dyDescent="0.25">
      <c r="A98" t="s">
        <v>3984</v>
      </c>
      <c r="B98">
        <v>554499.99</v>
      </c>
      <c r="C98" t="e">
        <f>VLOOKUP(A98,Defaut!O:O,2,0)</f>
        <v>#REF!</v>
      </c>
      <c r="D98">
        <f>SUMIF([2]Sheet2!$C:$C,A98,[2]Sheet2!$M:$M)</f>
        <v>554500</v>
      </c>
      <c r="E98">
        <f t="shared" si="1"/>
        <v>1.0000000009313226E-2</v>
      </c>
    </row>
    <row r="99" spans="1:5" x14ac:dyDescent="0.25">
      <c r="A99" t="s">
        <v>3976</v>
      </c>
      <c r="B99">
        <v>357000</v>
      </c>
      <c r="C99" t="e">
        <f>VLOOKUP(A99,Defaut!O:O,2,0)</f>
        <v>#REF!</v>
      </c>
      <c r="D99">
        <f>SUMIF([2]Sheet2!$C:$C,A99,[2]Sheet2!$M:$M)</f>
        <v>357000</v>
      </c>
      <c r="E99">
        <f t="shared" si="1"/>
        <v>0</v>
      </c>
    </row>
    <row r="100" spans="1:5" x14ac:dyDescent="0.25">
      <c r="A100" t="s">
        <v>3968</v>
      </c>
      <c r="B100">
        <v>140499.99</v>
      </c>
      <c r="C100" t="e">
        <f>VLOOKUP(A100,Defaut!O:O,2,0)</f>
        <v>#REF!</v>
      </c>
      <c r="D100">
        <f>SUMIF([2]Sheet2!$C:$C,A100,[2]Sheet2!$M:$M)</f>
        <v>140500</v>
      </c>
      <c r="E100">
        <f t="shared" si="1"/>
        <v>1.0000000009313226E-2</v>
      </c>
    </row>
    <row r="101" spans="1:5" x14ac:dyDescent="0.25">
      <c r="A101" t="s">
        <v>3960</v>
      </c>
      <c r="B101">
        <v>357000</v>
      </c>
      <c r="C101" t="e">
        <f>VLOOKUP(A101,Defaut!O:O,2,0)</f>
        <v>#REF!</v>
      </c>
      <c r="D101">
        <f>SUMIF([2]Sheet2!$C:$C,A101,[2]Sheet2!$M:$M)</f>
        <v>357000</v>
      </c>
      <c r="E101">
        <f t="shared" si="1"/>
        <v>0</v>
      </c>
    </row>
    <row r="102" spans="1:5" x14ac:dyDescent="0.25">
      <c r="A102" t="s">
        <v>3952</v>
      </c>
      <c r="B102">
        <v>276000</v>
      </c>
      <c r="C102" t="e">
        <f>VLOOKUP(A102,Defaut!O:O,2,0)</f>
        <v>#REF!</v>
      </c>
      <c r="D102">
        <f>SUMIF([2]Sheet2!$C:$C,A102,[2]Sheet2!$M:$M)</f>
        <v>276000</v>
      </c>
      <c r="E102">
        <f t="shared" si="1"/>
        <v>0</v>
      </c>
    </row>
    <row r="103" spans="1:5" x14ac:dyDescent="0.25">
      <c r="A103" t="s">
        <v>3944</v>
      </c>
      <c r="B103">
        <v>280000</v>
      </c>
      <c r="C103" t="e">
        <f>VLOOKUP(A103,Defaut!O:O,2,0)</f>
        <v>#REF!</v>
      </c>
      <c r="D103">
        <f>SUMIF([2]Sheet2!$C:$C,A103,[2]Sheet2!$M:$M)</f>
        <v>280000</v>
      </c>
      <c r="E103">
        <f t="shared" si="1"/>
        <v>0</v>
      </c>
    </row>
    <row r="104" spans="1:5" x14ac:dyDescent="0.25">
      <c r="A104" t="s">
        <v>3936</v>
      </c>
      <c r="B104">
        <v>140499.99</v>
      </c>
      <c r="C104" t="e">
        <f>VLOOKUP(A104,Defaut!O:O,2,0)</f>
        <v>#REF!</v>
      </c>
      <c r="D104">
        <f>SUMIF([2]Sheet2!$C:$C,A104,[2]Sheet2!$M:$M)</f>
        <v>140500</v>
      </c>
      <c r="E104">
        <f t="shared" si="1"/>
        <v>1.0000000009313226E-2</v>
      </c>
    </row>
    <row r="105" spans="1:5" x14ac:dyDescent="0.25">
      <c r="A105" t="s">
        <v>3928</v>
      </c>
      <c r="B105">
        <v>140499.99</v>
      </c>
      <c r="C105" t="e">
        <f>VLOOKUP(A105,Defaut!O:O,2,0)</f>
        <v>#REF!</v>
      </c>
      <c r="D105">
        <f>SUMIF([2]Sheet2!$C:$C,A105,[2]Sheet2!$M:$M)</f>
        <v>140500</v>
      </c>
      <c r="E105">
        <f t="shared" si="1"/>
        <v>1.0000000009313226E-2</v>
      </c>
    </row>
    <row r="106" spans="1:5" x14ac:dyDescent="0.25">
      <c r="A106" t="s">
        <v>3920</v>
      </c>
      <c r="B106">
        <v>357000</v>
      </c>
      <c r="C106" t="e">
        <f>VLOOKUP(A106,Defaut!O:O,2,0)</f>
        <v>#REF!</v>
      </c>
      <c r="D106">
        <f>SUMIF([2]Sheet2!$C:$C,A106,[2]Sheet2!$M:$M)</f>
        <v>357000</v>
      </c>
      <c r="E106">
        <f t="shared" si="1"/>
        <v>0</v>
      </c>
    </row>
    <row r="107" spans="1:5" x14ac:dyDescent="0.25">
      <c r="A107" t="s">
        <v>3912</v>
      </c>
      <c r="B107">
        <v>124000</v>
      </c>
      <c r="C107" t="e">
        <f>VLOOKUP(A107,Defaut!O:O,2,0)</f>
        <v>#REF!</v>
      </c>
      <c r="D107">
        <f>SUMIF([2]Sheet2!$C:$C,A107,[2]Sheet2!$M:$M)</f>
        <v>124000</v>
      </c>
      <c r="E107">
        <f t="shared" si="1"/>
        <v>0</v>
      </c>
    </row>
    <row r="108" spans="1:5" x14ac:dyDescent="0.25">
      <c r="A108" t="s">
        <v>3904</v>
      </c>
      <c r="B108">
        <v>623000</v>
      </c>
      <c r="C108" t="e">
        <f>VLOOKUP(A108,Defaut!O:O,2,0)</f>
        <v>#REF!</v>
      </c>
      <c r="D108">
        <f>SUMIF([2]Sheet2!$C:$C,A108,[2]Sheet2!$M:$M)</f>
        <v>623000</v>
      </c>
      <c r="E108">
        <f t="shared" si="1"/>
        <v>0</v>
      </c>
    </row>
    <row r="109" spans="1:5" x14ac:dyDescent="0.25">
      <c r="A109" t="s">
        <v>3896</v>
      </c>
      <c r="B109">
        <v>276000</v>
      </c>
      <c r="C109" t="e">
        <f>VLOOKUP(A109,Defaut!O:O,2,0)</f>
        <v>#REF!</v>
      </c>
      <c r="D109">
        <f>SUMIF([2]Sheet2!$C:$C,A109,[2]Sheet2!$M:$M)</f>
        <v>276000</v>
      </c>
      <c r="E109">
        <f t="shared" si="1"/>
        <v>0</v>
      </c>
    </row>
    <row r="110" spans="1:5" x14ac:dyDescent="0.25">
      <c r="A110" t="s">
        <v>3888</v>
      </c>
      <c r="B110">
        <v>428499.9800000001</v>
      </c>
      <c r="C110" t="e">
        <f>VLOOKUP(A110,Defaut!O:O,2,0)</f>
        <v>#REF!</v>
      </c>
      <c r="D110">
        <f>SUMIF([2]Sheet2!$C:$C,A110,[2]Sheet2!$M:$M)</f>
        <v>428500</v>
      </c>
      <c r="E110">
        <f t="shared" si="1"/>
        <v>1.999999990221113E-2</v>
      </c>
    </row>
    <row r="111" spans="1:5" x14ac:dyDescent="0.25">
      <c r="A111" t="s">
        <v>3880</v>
      </c>
      <c r="B111">
        <v>180999.99</v>
      </c>
      <c r="C111" t="e">
        <f>VLOOKUP(A111,Defaut!O:O,2,0)</f>
        <v>#REF!</v>
      </c>
      <c r="D111">
        <f>SUMIF([2]Sheet2!$C:$C,A111,[2]Sheet2!$M:$M)</f>
        <v>181000</v>
      </c>
      <c r="E111">
        <f t="shared" si="1"/>
        <v>1.0000000009313226E-2</v>
      </c>
    </row>
    <row r="112" spans="1:5" x14ac:dyDescent="0.25">
      <c r="A112" t="s">
        <v>3872</v>
      </c>
      <c r="B112">
        <v>250000</v>
      </c>
      <c r="C112" t="e">
        <f>VLOOKUP(A112,Defaut!O:O,2,0)</f>
        <v>#REF!</v>
      </c>
      <c r="D112">
        <f>SUMIF([2]Sheet2!$C:$C,A112,[2]Sheet2!$M:$M)</f>
        <v>250000</v>
      </c>
      <c r="E112">
        <f t="shared" si="1"/>
        <v>0</v>
      </c>
    </row>
    <row r="113" spans="1:5" x14ac:dyDescent="0.25">
      <c r="A113" t="s">
        <v>3864</v>
      </c>
      <c r="B113">
        <v>140499.99</v>
      </c>
      <c r="C113" t="e">
        <f>VLOOKUP(A113,Defaut!O:O,2,0)</f>
        <v>#REF!</v>
      </c>
      <c r="D113">
        <f>SUMIF([2]Sheet2!$C:$C,A113,[2]Sheet2!$M:$M)</f>
        <v>140500</v>
      </c>
      <c r="E113">
        <f t="shared" si="1"/>
        <v>1.0000000009313226E-2</v>
      </c>
    </row>
    <row r="114" spans="1:5" x14ac:dyDescent="0.25">
      <c r="A114" t="s">
        <v>3856</v>
      </c>
      <c r="B114">
        <v>296999.99</v>
      </c>
      <c r="C114" t="e">
        <f>VLOOKUP(A114,Defaut!O:O,2,0)</f>
        <v>#REF!</v>
      </c>
      <c r="D114">
        <f>SUMIF([2]Sheet2!$C:$C,A114,[2]Sheet2!$M:$M)</f>
        <v>297000</v>
      </c>
      <c r="E114">
        <f t="shared" si="1"/>
        <v>1.0000000009313226E-2</v>
      </c>
    </row>
    <row r="115" spans="1:5" x14ac:dyDescent="0.25">
      <c r="A115" t="s">
        <v>3848</v>
      </c>
      <c r="B115">
        <v>306999.99000000005</v>
      </c>
      <c r="C115" t="e">
        <f>VLOOKUP(A115,Defaut!O:O,2,0)</f>
        <v>#REF!</v>
      </c>
      <c r="D115">
        <f>SUMIF([2]Sheet2!$C:$C,A115,[2]Sheet2!$M:$M)</f>
        <v>307000</v>
      </c>
      <c r="E115">
        <f t="shared" si="1"/>
        <v>9.9999999511055648E-3</v>
      </c>
    </row>
    <row r="116" spans="1:5" x14ac:dyDescent="0.25">
      <c r="A116" t="s">
        <v>3840</v>
      </c>
      <c r="B116">
        <v>140499.99</v>
      </c>
      <c r="C116" t="e">
        <f>VLOOKUP(A116,Defaut!O:O,2,0)</f>
        <v>#REF!</v>
      </c>
      <c r="D116">
        <f>SUMIF([2]Sheet2!$C:$C,A116,[2]Sheet2!$M:$M)</f>
        <v>140500</v>
      </c>
      <c r="E116">
        <f t="shared" si="1"/>
        <v>1.0000000009313226E-2</v>
      </c>
    </row>
    <row r="117" spans="1:5" x14ac:dyDescent="0.25">
      <c r="A117" t="s">
        <v>3832</v>
      </c>
      <c r="B117">
        <v>106000</v>
      </c>
      <c r="C117" t="e">
        <f>VLOOKUP(A117,Defaut!O:O,2,0)</f>
        <v>#REF!</v>
      </c>
      <c r="D117">
        <f>SUMIF([2]Sheet2!$C:$C,A117,[2]Sheet2!$M:$M)</f>
        <v>106000</v>
      </c>
      <c r="E117">
        <f t="shared" si="1"/>
        <v>0</v>
      </c>
    </row>
    <row r="118" spans="1:5" x14ac:dyDescent="0.25">
      <c r="A118" t="s">
        <v>3824</v>
      </c>
      <c r="B118">
        <v>527499.99</v>
      </c>
      <c r="C118" t="e">
        <f>VLOOKUP(A118,Defaut!O:O,2,0)</f>
        <v>#REF!</v>
      </c>
      <c r="D118">
        <f>SUMIF([2]Sheet2!$C:$C,A118,[2]Sheet2!$M:$M)</f>
        <v>527500</v>
      </c>
      <c r="E118">
        <f t="shared" si="1"/>
        <v>1.0000000009313226E-2</v>
      </c>
    </row>
    <row r="119" spans="1:5" x14ac:dyDescent="0.25">
      <c r="A119" t="s">
        <v>3816</v>
      </c>
      <c r="B119">
        <v>250000</v>
      </c>
      <c r="C119" t="e">
        <f>VLOOKUP(A119,Defaut!O:O,2,0)</f>
        <v>#REF!</v>
      </c>
      <c r="D119">
        <f>SUMIF([2]Sheet2!$C:$C,A119,[2]Sheet2!$M:$M)</f>
        <v>250000</v>
      </c>
      <c r="E119">
        <f t="shared" si="1"/>
        <v>0</v>
      </c>
    </row>
    <row r="120" spans="1:5" x14ac:dyDescent="0.25">
      <c r="A120" t="s">
        <v>3808</v>
      </c>
      <c r="B120">
        <v>180999.99</v>
      </c>
      <c r="C120" t="e">
        <f>VLOOKUP(A120,Defaut!O:O,2,0)</f>
        <v>#REF!</v>
      </c>
      <c r="D120">
        <f>SUMIF([2]Sheet2!$C:$C,A120,[2]Sheet2!$M:$M)</f>
        <v>181000</v>
      </c>
      <c r="E120">
        <f t="shared" si="1"/>
        <v>1.0000000009313226E-2</v>
      </c>
    </row>
    <row r="121" spans="1:5" x14ac:dyDescent="0.25">
      <c r="A121" t="s">
        <v>3800</v>
      </c>
      <c r="B121">
        <v>180999.99</v>
      </c>
      <c r="C121" t="e">
        <f>VLOOKUP(A121,Defaut!O:O,2,0)</f>
        <v>#REF!</v>
      </c>
      <c r="D121">
        <f>SUMIF([2]Sheet2!$C:$C,A121,[2]Sheet2!$M:$M)</f>
        <v>181000</v>
      </c>
      <c r="E121">
        <f t="shared" si="1"/>
        <v>1.0000000009313226E-2</v>
      </c>
    </row>
    <row r="122" spans="1:5" x14ac:dyDescent="0.25">
      <c r="A122" t="s">
        <v>3792</v>
      </c>
      <c r="B122">
        <v>357000</v>
      </c>
      <c r="C122" t="e">
        <f>VLOOKUP(A122,Defaut!O:O,2,0)</f>
        <v>#REF!</v>
      </c>
      <c r="D122">
        <f>SUMIF([2]Sheet2!$C:$C,A122,[2]Sheet2!$M:$M)</f>
        <v>357000</v>
      </c>
      <c r="E122">
        <f t="shared" si="1"/>
        <v>0</v>
      </c>
    </row>
    <row r="123" spans="1:5" x14ac:dyDescent="0.25">
      <c r="A123" t="s">
        <v>3784</v>
      </c>
      <c r="B123">
        <v>357000</v>
      </c>
      <c r="C123" t="e">
        <f>VLOOKUP(A123,Defaut!O:O,2,0)</f>
        <v>#REF!</v>
      </c>
      <c r="D123">
        <f>SUMIF([2]Sheet2!$C:$C,A123,[2]Sheet2!$M:$M)</f>
        <v>357000</v>
      </c>
      <c r="E123">
        <f t="shared" si="1"/>
        <v>0</v>
      </c>
    </row>
    <row r="124" spans="1:5" x14ac:dyDescent="0.25">
      <c r="A124" t="s">
        <v>3776</v>
      </c>
      <c r="B124">
        <v>306999.99000000005</v>
      </c>
      <c r="C124" t="e">
        <f>VLOOKUP(A124,Defaut!O:O,2,0)</f>
        <v>#REF!</v>
      </c>
      <c r="D124">
        <f>SUMIF([2]Sheet2!$C:$C,A124,[2]Sheet2!$M:$M)</f>
        <v>307000</v>
      </c>
      <c r="E124">
        <f t="shared" si="1"/>
        <v>9.9999999511055648E-3</v>
      </c>
    </row>
    <row r="125" spans="1:5" x14ac:dyDescent="0.25">
      <c r="A125" t="s">
        <v>3768</v>
      </c>
      <c r="B125">
        <v>124000</v>
      </c>
      <c r="C125" t="e">
        <f>VLOOKUP(A125,Defaut!O:O,2,0)</f>
        <v>#REF!</v>
      </c>
      <c r="D125">
        <f>SUMIF([2]Sheet2!$C:$C,A125,[2]Sheet2!$M:$M)</f>
        <v>124000</v>
      </c>
      <c r="E125">
        <f t="shared" si="1"/>
        <v>0</v>
      </c>
    </row>
    <row r="126" spans="1:5" x14ac:dyDescent="0.25">
      <c r="A126" t="s">
        <v>3760</v>
      </c>
      <c r="B126">
        <v>357000</v>
      </c>
      <c r="C126" t="e">
        <f>VLOOKUP(A126,Defaut!O:O,2,0)</f>
        <v>#REF!</v>
      </c>
      <c r="D126">
        <f>SUMIF([2]Sheet2!$C:$C,A126,[2]Sheet2!$M:$M)</f>
        <v>357000</v>
      </c>
      <c r="E126">
        <f t="shared" si="1"/>
        <v>0</v>
      </c>
    </row>
    <row r="127" spans="1:5" x14ac:dyDescent="0.25">
      <c r="A127" t="s">
        <v>3752</v>
      </c>
      <c r="B127">
        <v>124000</v>
      </c>
      <c r="C127" t="e">
        <f>VLOOKUP(A127,Defaut!O:O,2,0)</f>
        <v>#REF!</v>
      </c>
      <c r="D127">
        <f>SUMIF([2]Sheet2!$C:$C,A127,[2]Sheet2!$M:$M)</f>
        <v>124000</v>
      </c>
      <c r="E127">
        <f t="shared" si="1"/>
        <v>0</v>
      </c>
    </row>
    <row r="128" spans="1:5" x14ac:dyDescent="0.25">
      <c r="A128" t="s">
        <v>3744</v>
      </c>
      <c r="B128">
        <v>274999.98</v>
      </c>
      <c r="C128" t="e">
        <f>VLOOKUP(A128,Defaut!O:O,2,0)</f>
        <v>#REF!</v>
      </c>
      <c r="D128">
        <f>SUMIF([2]Sheet2!$C:$C,A128,[2]Sheet2!$M:$M)</f>
        <v>275000</v>
      </c>
      <c r="E128">
        <f t="shared" si="1"/>
        <v>2.0000000018626451E-2</v>
      </c>
    </row>
    <row r="129" spans="1:5" x14ac:dyDescent="0.25">
      <c r="A129" t="s">
        <v>3737</v>
      </c>
      <c r="B129">
        <v>140499.99</v>
      </c>
      <c r="C129" t="e">
        <f>VLOOKUP(A129,Defaut!O:O,2,0)</f>
        <v>#REF!</v>
      </c>
      <c r="D129">
        <f>SUMIF([2]Sheet2!$C:$C,A129,[2]Sheet2!$M:$M)</f>
        <v>140500</v>
      </c>
      <c r="E129">
        <f t="shared" si="1"/>
        <v>1.0000000009313226E-2</v>
      </c>
    </row>
    <row r="130" spans="1:5" x14ac:dyDescent="0.25">
      <c r="A130" t="s">
        <v>3730</v>
      </c>
      <c r="B130">
        <v>357000</v>
      </c>
      <c r="C130" t="e">
        <f>VLOOKUP(A130,Defaut!O:O,2,0)</f>
        <v>#REF!</v>
      </c>
      <c r="D130">
        <f>SUMIF([2]Sheet2!$C:$C,A130,[2]Sheet2!$M:$M)</f>
        <v>357000</v>
      </c>
      <c r="E130">
        <f t="shared" ref="E130:E193" si="2">D130-B130</f>
        <v>0</v>
      </c>
    </row>
    <row r="131" spans="1:5" x14ac:dyDescent="0.25">
      <c r="A131" t="s">
        <v>3722</v>
      </c>
      <c r="B131">
        <v>123000</v>
      </c>
      <c r="C131" t="e">
        <f>VLOOKUP(A131,Defaut!O:O,2,0)</f>
        <v>#REF!</v>
      </c>
      <c r="D131">
        <f>SUMIF([2]Sheet2!$C:$C,A131,[2]Sheet2!$M:$M)</f>
        <v>123000</v>
      </c>
      <c r="E131">
        <f t="shared" si="2"/>
        <v>0</v>
      </c>
    </row>
    <row r="132" spans="1:5" x14ac:dyDescent="0.25">
      <c r="A132" t="s">
        <v>3714</v>
      </c>
      <c r="B132">
        <v>357000</v>
      </c>
      <c r="C132" t="e">
        <f>VLOOKUP(A132,Defaut!O:O,2,0)</f>
        <v>#REF!</v>
      </c>
      <c r="D132">
        <f>SUMIF([2]Sheet2!$C:$C,A132,[2]Sheet2!$M:$M)</f>
        <v>357000</v>
      </c>
      <c r="E132">
        <f t="shared" si="2"/>
        <v>0</v>
      </c>
    </row>
    <row r="133" spans="1:5" x14ac:dyDescent="0.25">
      <c r="A133" t="s">
        <v>3706</v>
      </c>
      <c r="B133">
        <v>123000</v>
      </c>
      <c r="C133" t="e">
        <f>VLOOKUP(A133,Defaut!O:O,2,0)</f>
        <v>#REF!</v>
      </c>
      <c r="D133">
        <f>SUMIF([2]Sheet2!$C:$C,A133,[2]Sheet2!$M:$M)</f>
        <v>123000</v>
      </c>
      <c r="E133">
        <f t="shared" si="2"/>
        <v>0</v>
      </c>
    </row>
    <row r="134" spans="1:5" x14ac:dyDescent="0.25">
      <c r="A134" t="s">
        <v>3698</v>
      </c>
      <c r="B134">
        <v>180999.99</v>
      </c>
      <c r="C134" t="e">
        <f>VLOOKUP(A134,Defaut!O:O,2,0)</f>
        <v>#REF!</v>
      </c>
      <c r="D134">
        <f>SUMIF([2]Sheet2!$C:$C,A134,[2]Sheet2!$M:$M)</f>
        <v>181000</v>
      </c>
      <c r="E134">
        <f t="shared" si="2"/>
        <v>1.0000000009313226E-2</v>
      </c>
    </row>
    <row r="135" spans="1:5" x14ac:dyDescent="0.25">
      <c r="A135" t="s">
        <v>3690</v>
      </c>
      <c r="B135">
        <v>180999.99</v>
      </c>
      <c r="C135" t="e">
        <f>VLOOKUP(A135,Defaut!O:O,2,0)</f>
        <v>#REF!</v>
      </c>
      <c r="D135">
        <f>SUMIF([2]Sheet2!$C:$C,A135,[2]Sheet2!$M:$M)</f>
        <v>181000</v>
      </c>
      <c r="E135">
        <f t="shared" si="2"/>
        <v>1.0000000009313226E-2</v>
      </c>
    </row>
    <row r="136" spans="1:5" x14ac:dyDescent="0.25">
      <c r="A136" t="s">
        <v>3682</v>
      </c>
      <c r="B136">
        <v>540000.02</v>
      </c>
      <c r="C136" t="e">
        <f>VLOOKUP(A136,Defaut!O:O,2,0)</f>
        <v>#REF!</v>
      </c>
      <c r="D136">
        <f>SUMIF([2]Sheet2!$C:$C,A136,[2]Sheet2!$M:$M)</f>
        <v>540000</v>
      </c>
      <c r="E136">
        <f t="shared" si="2"/>
        <v>-2.0000000018626451E-2</v>
      </c>
    </row>
    <row r="137" spans="1:5" x14ac:dyDescent="0.25">
      <c r="A137" t="s">
        <v>3674</v>
      </c>
      <c r="B137">
        <v>140499.99</v>
      </c>
      <c r="C137" t="e">
        <f>VLOOKUP(A137,Defaut!O:O,2,0)</f>
        <v>#REF!</v>
      </c>
      <c r="D137">
        <f>SUMIF([2]Sheet2!$C:$C,A137,[2]Sheet2!$M:$M)</f>
        <v>140500</v>
      </c>
      <c r="E137">
        <f t="shared" si="2"/>
        <v>1.0000000009313226E-2</v>
      </c>
    </row>
    <row r="138" spans="1:5" x14ac:dyDescent="0.25">
      <c r="A138" t="s">
        <v>3666</v>
      </c>
      <c r="B138">
        <v>123000</v>
      </c>
      <c r="C138" t="e">
        <f>VLOOKUP(A138,Defaut!O:O,2,0)</f>
        <v>#REF!</v>
      </c>
      <c r="D138">
        <f>SUMIF([2]Sheet2!$C:$C,A138,[2]Sheet2!$M:$M)</f>
        <v>123000</v>
      </c>
      <c r="E138">
        <f t="shared" si="2"/>
        <v>0</v>
      </c>
    </row>
    <row r="139" spans="1:5" x14ac:dyDescent="0.25">
      <c r="A139" t="s">
        <v>3658</v>
      </c>
      <c r="B139">
        <v>123000</v>
      </c>
      <c r="C139" t="e">
        <f>VLOOKUP(A139,Defaut!O:O,2,0)</f>
        <v>#REF!</v>
      </c>
      <c r="D139">
        <f>SUMIF([2]Sheet2!$C:$C,A139,[2]Sheet2!$M:$M)</f>
        <v>123000</v>
      </c>
      <c r="E139">
        <f t="shared" si="2"/>
        <v>0</v>
      </c>
    </row>
    <row r="140" spans="1:5" x14ac:dyDescent="0.25">
      <c r="A140" t="s">
        <v>3650</v>
      </c>
      <c r="B140">
        <v>357000</v>
      </c>
      <c r="C140" t="e">
        <f>VLOOKUP(A140,Defaut!O:O,2,0)</f>
        <v>#REF!</v>
      </c>
      <c r="D140">
        <f>SUMIF([2]Sheet2!$C:$C,A140,[2]Sheet2!$M:$M)</f>
        <v>357000</v>
      </c>
      <c r="E140">
        <f t="shared" si="2"/>
        <v>0</v>
      </c>
    </row>
    <row r="141" spans="1:5" x14ac:dyDescent="0.25">
      <c r="A141" t="s">
        <v>3642</v>
      </c>
      <c r="B141">
        <v>500499.99</v>
      </c>
      <c r="C141" t="e">
        <f>VLOOKUP(A141,Defaut!O:O,2,0)</f>
        <v>#REF!</v>
      </c>
      <c r="D141">
        <f>SUMIF([2]Sheet2!$C:$C,A141,[2]Sheet2!$M:$M)</f>
        <v>500500</v>
      </c>
      <c r="E141">
        <f t="shared" si="2"/>
        <v>1.0000000009313226E-2</v>
      </c>
    </row>
    <row r="142" spans="1:5" x14ac:dyDescent="0.25">
      <c r="A142" t="s">
        <v>3634</v>
      </c>
      <c r="B142">
        <v>180999.99</v>
      </c>
      <c r="C142" t="e">
        <f>VLOOKUP(A142,Defaut!O:O,2,0)</f>
        <v>#REF!</v>
      </c>
      <c r="D142">
        <f>SUMIF([2]Sheet2!$C:$C,A142,[2]Sheet2!$M:$M)</f>
        <v>181000</v>
      </c>
      <c r="E142">
        <f t="shared" si="2"/>
        <v>1.0000000009313226E-2</v>
      </c>
    </row>
    <row r="143" spans="1:5" x14ac:dyDescent="0.25">
      <c r="A143" t="s">
        <v>3626</v>
      </c>
      <c r="B143">
        <v>250000</v>
      </c>
      <c r="C143" t="e">
        <f>VLOOKUP(A143,Defaut!O:O,2,0)</f>
        <v>#REF!</v>
      </c>
      <c r="D143">
        <f>SUMIF([2]Sheet2!$C:$C,A143,[2]Sheet2!$M:$M)</f>
        <v>250000</v>
      </c>
      <c r="E143">
        <f t="shared" si="2"/>
        <v>0</v>
      </c>
    </row>
    <row r="144" spans="1:5" x14ac:dyDescent="0.25">
      <c r="A144" t="s">
        <v>3618</v>
      </c>
      <c r="B144">
        <v>140499.99</v>
      </c>
      <c r="C144" t="e">
        <f>VLOOKUP(A144,Defaut!O:O,2,0)</f>
        <v>#REF!</v>
      </c>
      <c r="D144">
        <f>SUMIF([2]Sheet2!$C:$C,A144,[2]Sheet2!$M:$M)</f>
        <v>140500</v>
      </c>
      <c r="E144">
        <f t="shared" si="2"/>
        <v>1.0000000009313226E-2</v>
      </c>
    </row>
    <row r="145" spans="1:5" x14ac:dyDescent="0.25">
      <c r="A145" t="s">
        <v>3610</v>
      </c>
      <c r="B145">
        <v>789000</v>
      </c>
      <c r="C145" t="e">
        <f>VLOOKUP(A145,Defaut!O:O,2,0)</f>
        <v>#REF!</v>
      </c>
      <c r="D145">
        <f>SUMIF([2]Sheet2!$C:$C,A145,[2]Sheet2!$M:$M)</f>
        <v>789000</v>
      </c>
      <c r="E145">
        <f t="shared" si="2"/>
        <v>0</v>
      </c>
    </row>
    <row r="146" spans="1:5" x14ac:dyDescent="0.25">
      <c r="A146" t="s">
        <v>3603</v>
      </c>
      <c r="B146">
        <v>124000</v>
      </c>
      <c r="C146" t="e">
        <f>VLOOKUP(A146,Defaut!O:O,2,0)</f>
        <v>#REF!</v>
      </c>
      <c r="D146">
        <f>SUMIF([2]Sheet2!$C:$C,A146,[2]Sheet2!$M:$M)</f>
        <v>124000</v>
      </c>
      <c r="E146">
        <f t="shared" si="2"/>
        <v>0</v>
      </c>
    </row>
    <row r="147" spans="1:5" x14ac:dyDescent="0.25">
      <c r="A147" t="s">
        <v>3595</v>
      </c>
      <c r="B147">
        <v>357000</v>
      </c>
      <c r="C147" t="e">
        <f>VLOOKUP(A147,Defaut!O:O,2,0)</f>
        <v>#REF!</v>
      </c>
      <c r="D147">
        <f>SUMIF([2]Sheet2!$C:$C,A147,[2]Sheet2!$M:$M)</f>
        <v>357000</v>
      </c>
      <c r="E147">
        <f t="shared" si="2"/>
        <v>0</v>
      </c>
    </row>
    <row r="148" spans="1:5" x14ac:dyDescent="0.25">
      <c r="A148" t="s">
        <v>3587</v>
      </c>
      <c r="B148">
        <v>180999.99</v>
      </c>
      <c r="C148" t="e">
        <f>VLOOKUP(A148,Defaut!O:O,2,0)</f>
        <v>#REF!</v>
      </c>
      <c r="D148">
        <f>SUMIF([2]Sheet2!$C:$C,A148,[2]Sheet2!$M:$M)</f>
        <v>181000</v>
      </c>
      <c r="E148">
        <f t="shared" si="2"/>
        <v>1.0000000009313226E-2</v>
      </c>
    </row>
    <row r="149" spans="1:5" x14ac:dyDescent="0.25">
      <c r="A149" t="s">
        <v>3579</v>
      </c>
      <c r="B149">
        <v>124000</v>
      </c>
      <c r="C149" t="e">
        <f>VLOOKUP(A149,Defaut!O:O,2,0)</f>
        <v>#REF!</v>
      </c>
      <c r="D149">
        <f>SUMIF([2]Sheet2!$C:$C,A149,[2]Sheet2!$M:$M)</f>
        <v>124000</v>
      </c>
      <c r="E149">
        <f t="shared" si="2"/>
        <v>0</v>
      </c>
    </row>
    <row r="150" spans="1:5" x14ac:dyDescent="0.25">
      <c r="A150" t="s">
        <v>3571</v>
      </c>
      <c r="B150">
        <v>180999.99</v>
      </c>
      <c r="C150" t="e">
        <f>VLOOKUP(A150,Defaut!O:O,2,0)</f>
        <v>#REF!</v>
      </c>
      <c r="D150">
        <f>SUMIF([2]Sheet2!$C:$C,A150,[2]Sheet2!$M:$M)</f>
        <v>181000</v>
      </c>
      <c r="E150">
        <f t="shared" si="2"/>
        <v>1.0000000009313226E-2</v>
      </c>
    </row>
    <row r="151" spans="1:5" x14ac:dyDescent="0.25">
      <c r="A151" t="s">
        <v>3563</v>
      </c>
      <c r="B151">
        <v>357000</v>
      </c>
      <c r="C151" t="e">
        <f>VLOOKUP(A151,Defaut!O:O,2,0)</f>
        <v>#REF!</v>
      </c>
      <c r="D151">
        <f>SUMIF([2]Sheet2!$C:$C,A151,[2]Sheet2!$M:$M)</f>
        <v>357000</v>
      </c>
      <c r="E151">
        <f t="shared" si="2"/>
        <v>0</v>
      </c>
    </row>
    <row r="152" spans="1:5" x14ac:dyDescent="0.25">
      <c r="A152" t="s">
        <v>3555</v>
      </c>
      <c r="B152">
        <v>357000</v>
      </c>
      <c r="C152" t="e">
        <f>VLOOKUP(A152,Defaut!O:O,2,0)</f>
        <v>#REF!</v>
      </c>
      <c r="D152">
        <f>SUMIF([2]Sheet2!$C:$C,A152,[2]Sheet2!$M:$M)</f>
        <v>357000</v>
      </c>
      <c r="E152">
        <f t="shared" si="2"/>
        <v>0</v>
      </c>
    </row>
    <row r="153" spans="1:5" x14ac:dyDescent="0.25">
      <c r="A153" t="s">
        <v>3548</v>
      </c>
      <c r="B153">
        <v>268000</v>
      </c>
      <c r="C153" t="e">
        <f>VLOOKUP(A153,Defaut!O:O,2,0)</f>
        <v>#REF!</v>
      </c>
      <c r="D153">
        <f>SUMIF([2]Sheet2!$C:$C,A153,[2]Sheet2!$M:$M)</f>
        <v>268000</v>
      </c>
      <c r="E153">
        <f t="shared" si="2"/>
        <v>0</v>
      </c>
    </row>
    <row r="154" spans="1:5" x14ac:dyDescent="0.25">
      <c r="A154" t="s">
        <v>3540</v>
      </c>
      <c r="B154">
        <v>180999.99</v>
      </c>
      <c r="C154" t="e">
        <f>VLOOKUP(A154,Defaut!O:O,2,0)</f>
        <v>#REF!</v>
      </c>
      <c r="D154">
        <f>SUMIF([2]Sheet2!$C:$C,A154,[2]Sheet2!$M:$M)</f>
        <v>181000</v>
      </c>
      <c r="E154">
        <f t="shared" si="2"/>
        <v>1.0000000009313226E-2</v>
      </c>
    </row>
    <row r="155" spans="1:5" x14ac:dyDescent="0.25">
      <c r="A155" t="s">
        <v>3532</v>
      </c>
      <c r="B155">
        <v>180999.99</v>
      </c>
      <c r="C155" t="e">
        <f>VLOOKUP(A155,Defaut!O:O,2,0)</f>
        <v>#REF!</v>
      </c>
      <c r="D155">
        <f>SUMIF([2]Sheet2!$C:$C,A155,[2]Sheet2!$M:$M)</f>
        <v>181000</v>
      </c>
      <c r="E155">
        <f t="shared" si="2"/>
        <v>1.0000000009313226E-2</v>
      </c>
    </row>
    <row r="156" spans="1:5" x14ac:dyDescent="0.25">
      <c r="A156" t="s">
        <v>3524</v>
      </c>
      <c r="B156">
        <v>180999.99</v>
      </c>
      <c r="C156" t="e">
        <f>VLOOKUP(A156,Defaut!O:O,2,0)</f>
        <v>#REF!</v>
      </c>
      <c r="D156">
        <f>SUMIF([2]Sheet2!$C:$C,A156,[2]Sheet2!$M:$M)</f>
        <v>181000</v>
      </c>
      <c r="E156">
        <f t="shared" si="2"/>
        <v>1.0000000009313226E-2</v>
      </c>
    </row>
    <row r="157" spans="1:5" x14ac:dyDescent="0.25">
      <c r="A157" t="s">
        <v>3516</v>
      </c>
      <c r="B157">
        <v>250000</v>
      </c>
      <c r="C157" t="e">
        <f>VLOOKUP(A157,Defaut!O:O,2,0)</f>
        <v>#REF!</v>
      </c>
      <c r="D157">
        <f>SUMIF([2]Sheet2!$C:$C,A157,[2]Sheet2!$M:$M)</f>
        <v>250000</v>
      </c>
      <c r="E157">
        <f t="shared" si="2"/>
        <v>0</v>
      </c>
    </row>
    <row r="158" spans="1:5" x14ac:dyDescent="0.25">
      <c r="A158" t="s">
        <v>3508</v>
      </c>
      <c r="B158">
        <v>783999.96</v>
      </c>
      <c r="C158" t="e">
        <f>VLOOKUP(A158,Defaut!O:O,2,0)</f>
        <v>#REF!</v>
      </c>
      <c r="D158">
        <f>SUMIF([2]Sheet2!$C:$C,A158,[2]Sheet2!$M:$M)</f>
        <v>784000</v>
      </c>
      <c r="E158">
        <f t="shared" si="2"/>
        <v>4.0000000037252903E-2</v>
      </c>
    </row>
    <row r="159" spans="1:5" x14ac:dyDescent="0.25">
      <c r="A159" t="s">
        <v>3500</v>
      </c>
      <c r="B159">
        <v>180999.99</v>
      </c>
      <c r="C159" t="e">
        <f>VLOOKUP(A159,Defaut!O:O,2,0)</f>
        <v>#REF!</v>
      </c>
      <c r="D159">
        <f>SUMIF([2]Sheet2!$C:$C,A159,[2]Sheet2!$M:$M)</f>
        <v>181000</v>
      </c>
      <c r="E159">
        <f t="shared" si="2"/>
        <v>1.0000000009313226E-2</v>
      </c>
    </row>
    <row r="160" spans="1:5" x14ac:dyDescent="0.25">
      <c r="A160" t="s">
        <v>3492</v>
      </c>
      <c r="B160">
        <v>124000</v>
      </c>
      <c r="C160" t="e">
        <f>VLOOKUP(A160,Defaut!O:O,2,0)</f>
        <v>#REF!</v>
      </c>
      <c r="D160">
        <f>SUMIF([2]Sheet2!$C:$C,A160,[2]Sheet2!$M:$M)</f>
        <v>124000</v>
      </c>
      <c r="E160">
        <f t="shared" si="2"/>
        <v>0</v>
      </c>
    </row>
    <row r="161" spans="1:5" x14ac:dyDescent="0.25">
      <c r="A161" t="s">
        <v>3484</v>
      </c>
      <c r="B161">
        <v>124000</v>
      </c>
      <c r="C161" t="e">
        <f>VLOOKUP(A161,Defaut!O:O,2,0)</f>
        <v>#REF!</v>
      </c>
      <c r="D161">
        <f>SUMIF([2]Sheet2!$C:$C,A161,[2]Sheet2!$M:$M)</f>
        <v>124000</v>
      </c>
      <c r="E161">
        <f t="shared" si="2"/>
        <v>0</v>
      </c>
    </row>
    <row r="162" spans="1:5" x14ac:dyDescent="0.25">
      <c r="A162" t="s">
        <v>3476</v>
      </c>
      <c r="B162">
        <v>140499.99</v>
      </c>
      <c r="C162" t="e">
        <f>VLOOKUP(A162,Defaut!O:O,2,0)</f>
        <v>#REF!</v>
      </c>
      <c r="D162">
        <f>SUMIF([2]Sheet2!$C:$C,A162,[2]Sheet2!$M:$M)</f>
        <v>140500</v>
      </c>
      <c r="E162">
        <f t="shared" si="2"/>
        <v>1.0000000009313226E-2</v>
      </c>
    </row>
    <row r="163" spans="1:5" x14ac:dyDescent="0.25">
      <c r="A163" t="s">
        <v>3468</v>
      </c>
      <c r="B163">
        <v>357000</v>
      </c>
      <c r="C163" t="e">
        <f>VLOOKUP(A163,Defaut!O:O,2,0)</f>
        <v>#REF!</v>
      </c>
      <c r="D163">
        <f>SUMIF([2]Sheet2!$C:$C,A163,[2]Sheet2!$M:$M)</f>
        <v>357000</v>
      </c>
      <c r="E163">
        <f t="shared" si="2"/>
        <v>0</v>
      </c>
    </row>
    <row r="164" spans="1:5" x14ac:dyDescent="0.25">
      <c r="A164" t="s">
        <v>3460</v>
      </c>
      <c r="B164">
        <v>124000</v>
      </c>
      <c r="C164" t="e">
        <f>VLOOKUP(A164,Defaut!O:O,2,0)</f>
        <v>#REF!</v>
      </c>
      <c r="D164">
        <f>SUMIF([2]Sheet2!$C:$C,A164,[2]Sheet2!$M:$M)</f>
        <v>124000</v>
      </c>
      <c r="E164">
        <f t="shared" si="2"/>
        <v>0</v>
      </c>
    </row>
    <row r="165" spans="1:5" x14ac:dyDescent="0.25">
      <c r="A165" t="s">
        <v>3452</v>
      </c>
      <c r="B165">
        <v>357000</v>
      </c>
      <c r="C165" t="e">
        <f>VLOOKUP(A165,Defaut!O:O,2,0)</f>
        <v>#REF!</v>
      </c>
      <c r="D165">
        <f>SUMIF([2]Sheet2!$C:$C,A165,[2]Sheet2!$M:$M)</f>
        <v>357000</v>
      </c>
      <c r="E165">
        <f t="shared" si="2"/>
        <v>0</v>
      </c>
    </row>
    <row r="166" spans="1:5" x14ac:dyDescent="0.25">
      <c r="A166" t="s">
        <v>3444</v>
      </c>
      <c r="B166">
        <v>284499.99</v>
      </c>
      <c r="C166" t="e">
        <f>VLOOKUP(A166,Defaut!O:O,2,0)</f>
        <v>#REF!</v>
      </c>
      <c r="D166">
        <f>SUMIF([2]Sheet2!$C:$C,A166,[2]Sheet2!$M:$M)</f>
        <v>284500</v>
      </c>
      <c r="E166">
        <f t="shared" si="2"/>
        <v>1.0000000009313226E-2</v>
      </c>
    </row>
    <row r="167" spans="1:5" x14ac:dyDescent="0.25">
      <c r="A167" t="s">
        <v>3436</v>
      </c>
      <c r="B167">
        <v>268000</v>
      </c>
      <c r="C167" t="e">
        <f>VLOOKUP(A167,Defaut!O:O,2,0)</f>
        <v>#REF!</v>
      </c>
      <c r="D167">
        <f>SUMIF([2]Sheet2!$C:$C,A167,[2]Sheet2!$M:$M)</f>
        <v>268000</v>
      </c>
      <c r="E167">
        <f t="shared" si="2"/>
        <v>0</v>
      </c>
    </row>
    <row r="168" spans="1:5" x14ac:dyDescent="0.25">
      <c r="A168" t="s">
        <v>3420</v>
      </c>
      <c r="B168">
        <v>529000</v>
      </c>
      <c r="C168" t="e">
        <f>VLOOKUP(A168,Defaut!O:O,2,0)</f>
        <v>#REF!</v>
      </c>
      <c r="D168">
        <f>SUMIF([2]Sheet2!$C:$C,A168,[2]Sheet2!$M:$M)</f>
        <v>529000</v>
      </c>
      <c r="E168">
        <f t="shared" si="2"/>
        <v>0</v>
      </c>
    </row>
    <row r="169" spans="1:5" x14ac:dyDescent="0.25">
      <c r="A169" t="s">
        <v>3412</v>
      </c>
      <c r="B169">
        <v>180999.99</v>
      </c>
      <c r="C169" t="e">
        <f>VLOOKUP(A169,Defaut!O:O,2,0)</f>
        <v>#REF!</v>
      </c>
      <c r="D169">
        <f>SUMIF([2]Sheet2!$C:$C,A169,[2]Sheet2!$M:$M)</f>
        <v>181000</v>
      </c>
      <c r="E169">
        <f t="shared" si="2"/>
        <v>1.0000000009313226E-2</v>
      </c>
    </row>
    <row r="170" spans="1:5" x14ac:dyDescent="0.25">
      <c r="A170" t="s">
        <v>3396</v>
      </c>
      <c r="B170">
        <v>357000</v>
      </c>
      <c r="C170" t="e">
        <f>VLOOKUP(A170,Defaut!O:O,2,0)</f>
        <v>#REF!</v>
      </c>
      <c r="D170">
        <f>SUMIF([2]Sheet2!$C:$C,A170,[2]Sheet2!$M:$M)</f>
        <v>357000</v>
      </c>
      <c r="E170">
        <f t="shared" si="2"/>
        <v>0</v>
      </c>
    </row>
    <row r="171" spans="1:5" x14ac:dyDescent="0.25">
      <c r="A171" t="s">
        <v>3388</v>
      </c>
      <c r="B171">
        <v>180999.99</v>
      </c>
      <c r="C171" t="e">
        <f>VLOOKUP(A171,Defaut!O:O,2,0)</f>
        <v>#REF!</v>
      </c>
      <c r="D171">
        <f>SUMIF([2]Sheet2!$C:$C,A171,[2]Sheet2!$M:$M)</f>
        <v>181000</v>
      </c>
      <c r="E171">
        <f t="shared" si="2"/>
        <v>1.0000000009313226E-2</v>
      </c>
    </row>
    <row r="172" spans="1:5" x14ac:dyDescent="0.25">
      <c r="A172" t="s">
        <v>3380</v>
      </c>
      <c r="B172">
        <v>124000</v>
      </c>
      <c r="C172" t="e">
        <f>VLOOKUP(A172,Defaut!O:O,2,0)</f>
        <v>#REF!</v>
      </c>
      <c r="D172">
        <f>SUMIF([2]Sheet2!$C:$C,A172,[2]Sheet2!$M:$M)</f>
        <v>124000</v>
      </c>
      <c r="E172">
        <f t="shared" si="2"/>
        <v>0</v>
      </c>
    </row>
    <row r="173" spans="1:5" x14ac:dyDescent="0.25">
      <c r="A173" t="s">
        <v>3372</v>
      </c>
      <c r="B173">
        <v>192000</v>
      </c>
      <c r="C173" t="e">
        <f>VLOOKUP(A173,Defaut!O:O,2,0)</f>
        <v>#REF!</v>
      </c>
      <c r="D173">
        <f>SUMIF([2]Sheet2!$C:$C,A173,[2]Sheet2!$M:$M)</f>
        <v>192000</v>
      </c>
      <c r="E173">
        <f t="shared" si="2"/>
        <v>0</v>
      </c>
    </row>
    <row r="174" spans="1:5" x14ac:dyDescent="0.25">
      <c r="A174" t="s">
        <v>3364</v>
      </c>
      <c r="B174">
        <v>124000</v>
      </c>
      <c r="C174" t="e">
        <f>VLOOKUP(A174,Defaut!O:O,2,0)</f>
        <v>#REF!</v>
      </c>
      <c r="D174">
        <f>SUMIF([2]Sheet2!$C:$C,A174,[2]Sheet2!$M:$M)</f>
        <v>124000</v>
      </c>
      <c r="E174">
        <f t="shared" si="2"/>
        <v>0</v>
      </c>
    </row>
    <row r="175" spans="1:5" x14ac:dyDescent="0.25">
      <c r="A175" t="s">
        <v>3356</v>
      </c>
      <c r="B175">
        <v>357000</v>
      </c>
      <c r="C175" t="e">
        <f>VLOOKUP(A175,Defaut!O:O,2,0)</f>
        <v>#REF!</v>
      </c>
      <c r="D175">
        <f>SUMIF([2]Sheet2!$C:$C,A175,[2]Sheet2!$M:$M)</f>
        <v>357000</v>
      </c>
      <c r="E175">
        <f t="shared" si="2"/>
        <v>0</v>
      </c>
    </row>
    <row r="176" spans="1:5" x14ac:dyDescent="0.25">
      <c r="A176" t="s">
        <v>3348</v>
      </c>
      <c r="B176">
        <v>360999.99</v>
      </c>
      <c r="C176" t="e">
        <f>VLOOKUP(A176,Defaut!O:O,2,0)</f>
        <v>#REF!</v>
      </c>
      <c r="D176">
        <f>SUMIF([2]Sheet2!$C:$C,A176,[2]Sheet2!$M:$M)</f>
        <v>361000</v>
      </c>
      <c r="E176">
        <f t="shared" si="2"/>
        <v>1.0000000009313226E-2</v>
      </c>
    </row>
    <row r="177" spans="1:5" x14ac:dyDescent="0.25">
      <c r="A177" t="s">
        <v>3340</v>
      </c>
      <c r="B177">
        <v>242000</v>
      </c>
      <c r="C177" t="e">
        <f>VLOOKUP(A177,Defaut!O:O,2,0)</f>
        <v>#REF!</v>
      </c>
      <c r="D177">
        <f>SUMIF([2]Sheet2!$C:$C,A177,[2]Sheet2!$M:$M)</f>
        <v>242000</v>
      </c>
      <c r="E177">
        <f t="shared" si="2"/>
        <v>0</v>
      </c>
    </row>
    <row r="178" spans="1:5" x14ac:dyDescent="0.25">
      <c r="A178" t="s">
        <v>3332</v>
      </c>
      <c r="B178">
        <v>192000</v>
      </c>
      <c r="C178" t="e">
        <f>VLOOKUP(A178,Defaut!O:O,2,0)</f>
        <v>#REF!</v>
      </c>
      <c r="D178">
        <f>SUMIF([2]Sheet2!$C:$C,A178,[2]Sheet2!$M:$M)</f>
        <v>192000</v>
      </c>
      <c r="E178">
        <f t="shared" si="2"/>
        <v>0</v>
      </c>
    </row>
    <row r="179" spans="1:5" x14ac:dyDescent="0.25">
      <c r="A179" t="s">
        <v>3324</v>
      </c>
      <c r="B179">
        <v>216000</v>
      </c>
      <c r="C179" t="e">
        <f>VLOOKUP(A179,Defaut!O:O,2,0)</f>
        <v>#REF!</v>
      </c>
      <c r="D179">
        <f>SUMIF([2]Sheet2!$C:$C,A179,[2]Sheet2!$M:$M)</f>
        <v>216000</v>
      </c>
      <c r="E179">
        <f t="shared" si="2"/>
        <v>0</v>
      </c>
    </row>
    <row r="180" spans="1:5" x14ac:dyDescent="0.25">
      <c r="A180" t="s">
        <v>3316</v>
      </c>
      <c r="B180">
        <v>363000</v>
      </c>
      <c r="C180" t="e">
        <f>VLOOKUP(A180,Defaut!O:O,2,0)</f>
        <v>#REF!</v>
      </c>
      <c r="D180">
        <f>SUMIF([2]Sheet2!$C:$C,A180,[2]Sheet2!$M:$M)</f>
        <v>363000</v>
      </c>
      <c r="E180">
        <f t="shared" si="2"/>
        <v>0</v>
      </c>
    </row>
    <row r="181" spans="1:5" x14ac:dyDescent="0.25">
      <c r="A181" t="s">
        <v>3308</v>
      </c>
      <c r="B181">
        <v>124000</v>
      </c>
      <c r="C181" t="e">
        <f>VLOOKUP(A181,Defaut!O:O,2,0)</f>
        <v>#REF!</v>
      </c>
      <c r="D181">
        <f>SUMIF([2]Sheet2!$C:$C,A181,[2]Sheet2!$M:$M)</f>
        <v>124000</v>
      </c>
      <c r="E181">
        <f t="shared" si="2"/>
        <v>0</v>
      </c>
    </row>
    <row r="182" spans="1:5" x14ac:dyDescent="0.25">
      <c r="A182" t="s">
        <v>3300</v>
      </c>
      <c r="B182">
        <v>280000</v>
      </c>
      <c r="C182" t="e">
        <f>VLOOKUP(A182,Defaut!O:O,2,0)</f>
        <v>#REF!</v>
      </c>
      <c r="D182">
        <f>SUMIF([2]Sheet2!$C:$C,A182,[2]Sheet2!$M:$M)</f>
        <v>280000</v>
      </c>
      <c r="E182">
        <f t="shared" si="2"/>
        <v>0</v>
      </c>
    </row>
    <row r="183" spans="1:5" x14ac:dyDescent="0.25">
      <c r="A183" t="s">
        <v>3292</v>
      </c>
      <c r="B183">
        <v>130000</v>
      </c>
      <c r="C183" t="e">
        <f>VLOOKUP(A183,Defaut!O:O,2,0)</f>
        <v>#REF!</v>
      </c>
      <c r="D183">
        <f>SUMIF([2]Sheet2!$C:$C,A183,[2]Sheet2!$M:$M)</f>
        <v>130000</v>
      </c>
      <c r="E183">
        <f t="shared" si="2"/>
        <v>0</v>
      </c>
    </row>
    <row r="184" spans="1:5" x14ac:dyDescent="0.25">
      <c r="A184" t="s">
        <v>3284</v>
      </c>
      <c r="B184">
        <v>357000</v>
      </c>
      <c r="C184" t="e">
        <f>VLOOKUP(A184,Defaut!O:O,2,0)</f>
        <v>#REF!</v>
      </c>
      <c r="D184">
        <f>SUMIF([2]Sheet2!$C:$C,A184,[2]Sheet2!$M:$M)</f>
        <v>357000</v>
      </c>
      <c r="E184">
        <f t="shared" si="2"/>
        <v>0</v>
      </c>
    </row>
    <row r="185" spans="1:5" x14ac:dyDescent="0.25">
      <c r="A185" t="s">
        <v>3276</v>
      </c>
      <c r="B185">
        <v>124000</v>
      </c>
      <c r="C185" t="e">
        <f>VLOOKUP(A185,Defaut!O:O,2,0)</f>
        <v>#REF!</v>
      </c>
      <c r="D185">
        <f>SUMIF([2]Sheet2!$C:$C,A185,[2]Sheet2!$M:$M)</f>
        <v>124000</v>
      </c>
      <c r="E185">
        <f t="shared" si="2"/>
        <v>0</v>
      </c>
    </row>
    <row r="186" spans="1:5" x14ac:dyDescent="0.25">
      <c r="A186" t="s">
        <v>3268</v>
      </c>
      <c r="B186">
        <v>124000</v>
      </c>
      <c r="C186" t="e">
        <f>VLOOKUP(A186,Defaut!O:O,2,0)</f>
        <v>#REF!</v>
      </c>
      <c r="D186">
        <f>SUMIF([2]Sheet2!$C:$C,A186,[2]Sheet2!$M:$M)</f>
        <v>124000</v>
      </c>
      <c r="E186">
        <f t="shared" si="2"/>
        <v>0</v>
      </c>
    </row>
    <row r="187" spans="1:5" x14ac:dyDescent="0.25">
      <c r="A187" t="s">
        <v>3260</v>
      </c>
      <c r="B187">
        <v>185000</v>
      </c>
      <c r="C187" t="e">
        <f>VLOOKUP(A187,Defaut!O:O,2,0)</f>
        <v>#REF!</v>
      </c>
      <c r="D187">
        <f>SUMIF([2]Sheet2!$C:$C,A187,[2]Sheet2!$M:$M)</f>
        <v>185000</v>
      </c>
      <c r="E187">
        <f t="shared" si="2"/>
        <v>0</v>
      </c>
    </row>
    <row r="188" spans="1:5" x14ac:dyDescent="0.25">
      <c r="A188" t="s">
        <v>3252</v>
      </c>
      <c r="B188">
        <v>357000</v>
      </c>
      <c r="C188" t="e">
        <f>VLOOKUP(A188,Defaut!O:O,2,0)</f>
        <v>#REF!</v>
      </c>
      <c r="D188">
        <f>SUMIF([2]Sheet2!$C:$C,A188,[2]Sheet2!$M:$M)</f>
        <v>357000</v>
      </c>
      <c r="E188">
        <f t="shared" si="2"/>
        <v>0</v>
      </c>
    </row>
    <row r="189" spans="1:5" x14ac:dyDescent="0.25">
      <c r="A189" t="s">
        <v>3244</v>
      </c>
      <c r="B189">
        <v>107000</v>
      </c>
      <c r="C189" t="e">
        <f>VLOOKUP(A189,Defaut!O:O,2,0)</f>
        <v>#REF!</v>
      </c>
      <c r="D189">
        <f>SUMIF([2]Sheet2!$C:$C,A189,[2]Sheet2!$M:$M)</f>
        <v>107000</v>
      </c>
      <c r="E189">
        <f t="shared" si="2"/>
        <v>0</v>
      </c>
    </row>
    <row r="190" spans="1:5" x14ac:dyDescent="0.25">
      <c r="A190" t="s">
        <v>3237</v>
      </c>
      <c r="B190">
        <v>124000</v>
      </c>
      <c r="C190" t="e">
        <f>VLOOKUP(A190,Defaut!O:O,2,0)</f>
        <v>#REF!</v>
      </c>
      <c r="D190">
        <f>SUMIF([2]Sheet2!$C:$C,A190,[2]Sheet2!$M:$M)</f>
        <v>124000</v>
      </c>
      <c r="E190">
        <f t="shared" si="2"/>
        <v>0</v>
      </c>
    </row>
    <row r="191" spans="1:5" x14ac:dyDescent="0.25">
      <c r="A191" t="s">
        <v>3229</v>
      </c>
      <c r="B191">
        <v>192000</v>
      </c>
      <c r="C191" t="e">
        <f>VLOOKUP(A191,Defaut!O:O,2,0)</f>
        <v>#REF!</v>
      </c>
      <c r="D191">
        <f>SUMIF([2]Sheet2!$C:$C,A191,[2]Sheet2!$M:$M)</f>
        <v>192000</v>
      </c>
      <c r="E191">
        <f t="shared" si="2"/>
        <v>0</v>
      </c>
    </row>
    <row r="192" spans="1:5" x14ac:dyDescent="0.25">
      <c r="A192" t="s">
        <v>3221</v>
      </c>
      <c r="B192">
        <v>834999.96</v>
      </c>
      <c r="C192" t="e">
        <f>VLOOKUP(A192,Defaut!O:O,2,0)</f>
        <v>#REF!</v>
      </c>
      <c r="D192">
        <f>SUMIF([2]Sheet2!$C:$C,A192,[2]Sheet2!$M:$M)</f>
        <v>835000</v>
      </c>
      <c r="E192">
        <f t="shared" si="2"/>
        <v>4.0000000037252903E-2</v>
      </c>
    </row>
    <row r="193" spans="1:5" x14ac:dyDescent="0.25">
      <c r="A193" t="s">
        <v>3213</v>
      </c>
      <c r="B193">
        <v>144999.99</v>
      </c>
      <c r="C193" t="e">
        <f>VLOOKUP(A193,Defaut!O:O,2,0)</f>
        <v>#REF!</v>
      </c>
      <c r="D193">
        <f>SUMIF([2]Sheet2!$C:$C,A193,[2]Sheet2!$M:$M)</f>
        <v>145000</v>
      </c>
      <c r="E193">
        <f t="shared" si="2"/>
        <v>1.0000000009313226E-2</v>
      </c>
    </row>
    <row r="194" spans="1:5" x14ac:dyDescent="0.25">
      <c r="A194" t="s">
        <v>3205</v>
      </c>
      <c r="B194">
        <v>192000</v>
      </c>
      <c r="C194" t="e">
        <f>VLOOKUP(A194,Defaut!O:O,2,0)</f>
        <v>#REF!</v>
      </c>
      <c r="D194">
        <f>SUMIF([2]Sheet2!$C:$C,A194,[2]Sheet2!$M:$M)</f>
        <v>192000</v>
      </c>
      <c r="E194">
        <f t="shared" ref="E194:E257" si="3">D194-B194</f>
        <v>0</v>
      </c>
    </row>
    <row r="195" spans="1:5" x14ac:dyDescent="0.25">
      <c r="A195" t="s">
        <v>3197</v>
      </c>
      <c r="B195">
        <v>124000</v>
      </c>
      <c r="C195" t="e">
        <f>VLOOKUP(A195,Defaut!O:O,2,0)</f>
        <v>#REF!</v>
      </c>
      <c r="D195">
        <f>SUMIF([2]Sheet2!$C:$C,A195,[2]Sheet2!$M:$M)</f>
        <v>124000</v>
      </c>
      <c r="E195">
        <f t="shared" si="3"/>
        <v>0</v>
      </c>
    </row>
    <row r="196" spans="1:5" x14ac:dyDescent="0.25">
      <c r="A196" t="s">
        <v>3189</v>
      </c>
      <c r="B196">
        <v>130000</v>
      </c>
      <c r="C196" t="e">
        <f>VLOOKUP(A196,Defaut!O:O,2,0)</f>
        <v>#REF!</v>
      </c>
      <c r="D196">
        <f>SUMIF([2]Sheet2!$C:$C,A196,[2]Sheet2!$M:$M)</f>
        <v>130000</v>
      </c>
      <c r="E196">
        <f t="shared" si="3"/>
        <v>0</v>
      </c>
    </row>
    <row r="197" spans="1:5" x14ac:dyDescent="0.25">
      <c r="A197" t="s">
        <v>3181</v>
      </c>
      <c r="B197">
        <v>363000</v>
      </c>
      <c r="C197" t="e">
        <f>VLOOKUP(A197,Defaut!O:O,2,0)</f>
        <v>#REF!</v>
      </c>
      <c r="D197">
        <f>SUMIF([2]Sheet2!$C:$C,A197,[2]Sheet2!$M:$M)</f>
        <v>363000</v>
      </c>
      <c r="E197">
        <f t="shared" si="3"/>
        <v>0</v>
      </c>
    </row>
    <row r="198" spans="1:5" x14ac:dyDescent="0.25">
      <c r="A198" t="s">
        <v>3173</v>
      </c>
      <c r="B198">
        <v>502000</v>
      </c>
      <c r="C198" t="e">
        <f>VLOOKUP(A198,Defaut!O:O,2,0)</f>
        <v>#REF!</v>
      </c>
      <c r="D198">
        <f>SUMIF([2]Sheet2!$C:$C,A198,[2]Sheet2!$M:$M)</f>
        <v>502000</v>
      </c>
      <c r="E198">
        <f t="shared" si="3"/>
        <v>0</v>
      </c>
    </row>
    <row r="199" spans="1:5" x14ac:dyDescent="0.25">
      <c r="A199" t="s">
        <v>3165</v>
      </c>
      <c r="B199">
        <v>156999.99</v>
      </c>
      <c r="C199" t="e">
        <f>VLOOKUP(A199,Defaut!O:O,2,0)</f>
        <v>#REF!</v>
      </c>
      <c r="D199">
        <f>SUMIF([2]Sheet2!$C:$C,A199,[2]Sheet2!$M:$M)</f>
        <v>157000</v>
      </c>
      <c r="E199">
        <f t="shared" si="3"/>
        <v>1.0000000009313226E-2</v>
      </c>
    </row>
    <row r="200" spans="1:5" x14ac:dyDescent="0.25">
      <c r="A200" t="s">
        <v>3157</v>
      </c>
      <c r="B200">
        <v>364999.98</v>
      </c>
      <c r="C200" t="e">
        <f>VLOOKUP(A200,Defaut!O:O,2,0)</f>
        <v>#REF!</v>
      </c>
      <c r="D200">
        <f>SUMIF([2]Sheet2!$C:$C,A200,[2]Sheet2!$M:$M)</f>
        <v>365000</v>
      </c>
      <c r="E200">
        <f t="shared" si="3"/>
        <v>2.0000000018626451E-2</v>
      </c>
    </row>
    <row r="201" spans="1:5" x14ac:dyDescent="0.25">
      <c r="A201" t="s">
        <v>3149</v>
      </c>
      <c r="B201">
        <v>140499.99</v>
      </c>
      <c r="C201" t="e">
        <f>VLOOKUP(A201,Defaut!O:O,2,0)</f>
        <v>#REF!</v>
      </c>
      <c r="D201">
        <f>SUMIF([2]Sheet2!$C:$C,A201,[2]Sheet2!$M:$M)</f>
        <v>140500</v>
      </c>
      <c r="E201">
        <f t="shared" si="3"/>
        <v>1.0000000009313226E-2</v>
      </c>
    </row>
    <row r="202" spans="1:5" x14ac:dyDescent="0.25">
      <c r="A202" t="s">
        <v>3141</v>
      </c>
      <c r="B202">
        <v>357000</v>
      </c>
      <c r="C202" t="e">
        <f>VLOOKUP(A202,Defaut!O:O,2,0)</f>
        <v>#REF!</v>
      </c>
      <c r="D202">
        <f>SUMIF([2]Sheet2!$C:$C,A202,[2]Sheet2!$M:$M)</f>
        <v>357000</v>
      </c>
      <c r="E202">
        <f t="shared" si="3"/>
        <v>0</v>
      </c>
    </row>
    <row r="203" spans="1:5" x14ac:dyDescent="0.25">
      <c r="A203" t="s">
        <v>3133</v>
      </c>
      <c r="B203">
        <v>352000.02</v>
      </c>
      <c r="C203" t="e">
        <f>VLOOKUP(A203,Defaut!O:O,2,0)</f>
        <v>#REF!</v>
      </c>
      <c r="D203">
        <f>SUMIF([2]Sheet2!$C:$C,A203,[2]Sheet2!$M:$M)</f>
        <v>352000</v>
      </c>
      <c r="E203">
        <f t="shared" si="3"/>
        <v>-2.0000000018626451E-2</v>
      </c>
    </row>
    <row r="204" spans="1:5" x14ac:dyDescent="0.25">
      <c r="A204" t="s">
        <v>3125</v>
      </c>
      <c r="B204">
        <v>124000</v>
      </c>
      <c r="C204" t="e">
        <f>VLOOKUP(A204,Defaut!O:O,2,0)</f>
        <v>#REF!</v>
      </c>
      <c r="D204">
        <f>SUMIF([2]Sheet2!$C:$C,A204,[2]Sheet2!$M:$M)</f>
        <v>124000</v>
      </c>
      <c r="E204">
        <f t="shared" si="3"/>
        <v>0</v>
      </c>
    </row>
    <row r="205" spans="1:5" x14ac:dyDescent="0.25">
      <c r="A205" t="s">
        <v>3109</v>
      </c>
      <c r="B205">
        <v>130000</v>
      </c>
      <c r="C205" t="e">
        <f>VLOOKUP(A205,Defaut!O:O,2,0)</f>
        <v>#REF!</v>
      </c>
      <c r="D205">
        <f>SUMIF([2]Sheet2!$C:$C,A205,[2]Sheet2!$M:$M)</f>
        <v>130000</v>
      </c>
      <c r="E205">
        <f t="shared" si="3"/>
        <v>0</v>
      </c>
    </row>
    <row r="206" spans="1:5" x14ac:dyDescent="0.25">
      <c r="A206" t="s">
        <v>3101</v>
      </c>
      <c r="B206">
        <v>124000</v>
      </c>
      <c r="C206" t="e">
        <f>VLOOKUP(A206,Defaut!O:O,2,0)</f>
        <v>#REF!</v>
      </c>
      <c r="D206">
        <f>SUMIF([2]Sheet2!$C:$C,A206,[2]Sheet2!$M:$M)</f>
        <v>124000</v>
      </c>
      <c r="E206">
        <f t="shared" si="3"/>
        <v>0</v>
      </c>
    </row>
    <row r="207" spans="1:5" x14ac:dyDescent="0.25">
      <c r="A207" t="s">
        <v>3093</v>
      </c>
      <c r="B207">
        <v>144999.99</v>
      </c>
      <c r="C207" t="e">
        <f>VLOOKUP(A207,Defaut!O:O,2,0)</f>
        <v>#REF!</v>
      </c>
      <c r="D207">
        <f>SUMIF([2]Sheet2!$C:$C,A207,[2]Sheet2!$M:$M)</f>
        <v>145000</v>
      </c>
      <c r="E207">
        <f t="shared" si="3"/>
        <v>1.0000000009313226E-2</v>
      </c>
    </row>
    <row r="208" spans="1:5" x14ac:dyDescent="0.25">
      <c r="A208" t="s">
        <v>3085</v>
      </c>
      <c r="B208">
        <v>379999.98</v>
      </c>
      <c r="C208" t="e">
        <f>VLOOKUP(A208,Defaut!O:O,2,0)</f>
        <v>#REF!</v>
      </c>
      <c r="D208">
        <f>SUMIF([2]Sheet2!$C:$C,A208,[2]Sheet2!$M:$M)</f>
        <v>380000</v>
      </c>
      <c r="E208">
        <f t="shared" si="3"/>
        <v>2.0000000018626451E-2</v>
      </c>
    </row>
    <row r="209" spans="1:5" x14ac:dyDescent="0.25">
      <c r="A209" t="s">
        <v>3077</v>
      </c>
      <c r="B209">
        <v>789000</v>
      </c>
      <c r="C209" t="e">
        <f>VLOOKUP(A209,Defaut!O:O,2,0)</f>
        <v>#REF!</v>
      </c>
      <c r="D209">
        <f>SUMIF([2]Sheet2!$C:$C,A209,[2]Sheet2!$M:$M)</f>
        <v>789000</v>
      </c>
      <c r="E209">
        <f t="shared" si="3"/>
        <v>0</v>
      </c>
    </row>
    <row r="210" spans="1:5" x14ac:dyDescent="0.25">
      <c r="A210" t="s">
        <v>3069</v>
      </c>
      <c r="B210">
        <v>124000</v>
      </c>
      <c r="C210" t="e">
        <f>VLOOKUP(A210,Defaut!O:O,2,0)</f>
        <v>#REF!</v>
      </c>
      <c r="D210">
        <f>SUMIF([2]Sheet2!$C:$C,A210,[2]Sheet2!$M:$M)</f>
        <v>124000</v>
      </c>
      <c r="E210">
        <f t="shared" si="3"/>
        <v>0</v>
      </c>
    </row>
    <row r="211" spans="1:5" x14ac:dyDescent="0.25">
      <c r="A211" t="s">
        <v>3061</v>
      </c>
      <c r="B211">
        <v>315000</v>
      </c>
      <c r="C211" t="e">
        <f>VLOOKUP(A211,Defaut!O:O,2,0)</f>
        <v>#REF!</v>
      </c>
      <c r="D211">
        <f>SUMIF([2]Sheet2!$C:$C,A211,[2]Sheet2!$M:$M)</f>
        <v>315000</v>
      </c>
      <c r="E211">
        <f t="shared" si="3"/>
        <v>0</v>
      </c>
    </row>
    <row r="212" spans="1:5" x14ac:dyDescent="0.25">
      <c r="A212" t="s">
        <v>3053</v>
      </c>
      <c r="B212">
        <v>180999.99</v>
      </c>
      <c r="C212" t="e">
        <f>VLOOKUP(A212,Defaut!O:O,2,0)</f>
        <v>#REF!</v>
      </c>
      <c r="D212">
        <f>SUMIF([2]Sheet2!$C:$C,A212,[2]Sheet2!$M:$M)</f>
        <v>181000</v>
      </c>
      <c r="E212">
        <f t="shared" si="3"/>
        <v>1.0000000009313226E-2</v>
      </c>
    </row>
    <row r="213" spans="1:5" x14ac:dyDescent="0.25">
      <c r="A213" t="s">
        <v>3045</v>
      </c>
      <c r="B213">
        <v>124000</v>
      </c>
      <c r="C213" t="e">
        <f>VLOOKUP(A213,Defaut!O:O,2,0)</f>
        <v>#REF!</v>
      </c>
      <c r="D213">
        <f>SUMIF([2]Sheet2!$C:$C,A213,[2]Sheet2!$M:$M)</f>
        <v>124000</v>
      </c>
      <c r="E213">
        <f t="shared" si="3"/>
        <v>0</v>
      </c>
    </row>
    <row r="214" spans="1:5" x14ac:dyDescent="0.25">
      <c r="A214" t="s">
        <v>3037</v>
      </c>
      <c r="B214">
        <v>379999.98</v>
      </c>
      <c r="C214" t="e">
        <f>VLOOKUP(A214,Defaut!O:O,2,0)</f>
        <v>#REF!</v>
      </c>
      <c r="D214">
        <f>SUMIF([2]Sheet2!$C:$C,A214,[2]Sheet2!$M:$M)</f>
        <v>380000</v>
      </c>
      <c r="E214">
        <f t="shared" si="3"/>
        <v>2.0000000018626451E-2</v>
      </c>
    </row>
    <row r="215" spans="1:5" x14ac:dyDescent="0.25">
      <c r="A215" t="s">
        <v>3029</v>
      </c>
      <c r="B215">
        <v>180999.99</v>
      </c>
      <c r="C215" t="e">
        <f>VLOOKUP(A215,Defaut!O:O,2,0)</f>
        <v>#REF!</v>
      </c>
      <c r="D215">
        <f>SUMIF([2]Sheet2!$C:$C,A215,[2]Sheet2!$M:$M)</f>
        <v>181000</v>
      </c>
      <c r="E215">
        <f t="shared" si="3"/>
        <v>1.0000000009313226E-2</v>
      </c>
    </row>
    <row r="216" spans="1:5" x14ac:dyDescent="0.25">
      <c r="A216" t="s">
        <v>3021</v>
      </c>
      <c r="B216">
        <v>144999.99</v>
      </c>
      <c r="C216" t="e">
        <f>VLOOKUP(A216,Defaut!O:O,2,0)</f>
        <v>#REF!</v>
      </c>
      <c r="D216">
        <f>SUMIF([2]Sheet2!$C:$C,A216,[2]Sheet2!$M:$M)</f>
        <v>145000</v>
      </c>
      <c r="E216">
        <f t="shared" si="3"/>
        <v>1.0000000009313226E-2</v>
      </c>
    </row>
    <row r="217" spans="1:5" x14ac:dyDescent="0.25">
      <c r="A217" t="s">
        <v>3013</v>
      </c>
      <c r="B217">
        <v>107000</v>
      </c>
      <c r="C217" t="e">
        <f>VLOOKUP(A217,Defaut!O:O,2,0)</f>
        <v>#REF!</v>
      </c>
      <c r="D217">
        <f>SUMIF([2]Sheet2!$C:$C,A217,[2]Sheet2!$M:$M)</f>
        <v>107000</v>
      </c>
      <c r="E217">
        <f t="shared" si="3"/>
        <v>0</v>
      </c>
    </row>
    <row r="218" spans="1:5" x14ac:dyDescent="0.25">
      <c r="A218" t="s">
        <v>3005</v>
      </c>
      <c r="B218">
        <v>130000</v>
      </c>
      <c r="C218" t="e">
        <f>VLOOKUP(A218,Defaut!O:O,2,0)</f>
        <v>#REF!</v>
      </c>
      <c r="D218">
        <f>SUMIF([2]Sheet2!$C:$C,A218,[2]Sheet2!$M:$M)</f>
        <v>130000</v>
      </c>
      <c r="E218">
        <f t="shared" si="3"/>
        <v>0</v>
      </c>
    </row>
    <row r="219" spans="1:5" x14ac:dyDescent="0.25">
      <c r="A219" t="s">
        <v>2997</v>
      </c>
      <c r="B219">
        <v>167000.01</v>
      </c>
      <c r="C219" t="e">
        <f>VLOOKUP(A219,Defaut!O:O,2,0)</f>
        <v>#REF!</v>
      </c>
      <c r="D219">
        <f>SUMIF([2]Sheet2!$C:$C,A219,[2]Sheet2!$M:$M)</f>
        <v>167000</v>
      </c>
      <c r="E219">
        <f t="shared" si="3"/>
        <v>-1.0000000009313226E-2</v>
      </c>
    </row>
    <row r="220" spans="1:5" x14ac:dyDescent="0.25">
      <c r="A220" t="s">
        <v>2989</v>
      </c>
      <c r="B220">
        <v>352000.02</v>
      </c>
      <c r="C220" t="e">
        <f>VLOOKUP(A220,Defaut!O:O,2,0)</f>
        <v>#REF!</v>
      </c>
      <c r="D220">
        <f>SUMIF([2]Sheet2!$C:$C,A220,[2]Sheet2!$M:$M)</f>
        <v>352000</v>
      </c>
      <c r="E220">
        <f t="shared" si="3"/>
        <v>-2.0000000018626451E-2</v>
      </c>
    </row>
    <row r="221" spans="1:5" x14ac:dyDescent="0.25">
      <c r="A221" t="s">
        <v>2981</v>
      </c>
      <c r="B221">
        <v>180999.99</v>
      </c>
      <c r="C221" t="e">
        <f>VLOOKUP(A221,Defaut!O:O,2,0)</f>
        <v>#REF!</v>
      </c>
      <c r="D221">
        <f>SUMIF([2]Sheet2!$C:$C,A221,[2]Sheet2!$M:$M)</f>
        <v>181000</v>
      </c>
      <c r="E221">
        <f t="shared" si="3"/>
        <v>1.0000000009313226E-2</v>
      </c>
    </row>
    <row r="222" spans="1:5" x14ac:dyDescent="0.25">
      <c r="A222" t="s">
        <v>2973</v>
      </c>
      <c r="B222">
        <v>140499.99</v>
      </c>
      <c r="C222" t="e">
        <f>VLOOKUP(A222,Defaut!O:O,2,0)</f>
        <v>#REF!</v>
      </c>
      <c r="D222">
        <f>SUMIF([2]Sheet2!$C:$C,A222,[2]Sheet2!$M:$M)</f>
        <v>140500</v>
      </c>
      <c r="E222">
        <f t="shared" si="3"/>
        <v>1.0000000009313226E-2</v>
      </c>
    </row>
    <row r="223" spans="1:5" x14ac:dyDescent="0.25">
      <c r="A223" t="s">
        <v>2965</v>
      </c>
      <c r="B223">
        <v>140499.99</v>
      </c>
      <c r="C223" t="e">
        <f>VLOOKUP(A223,Defaut!O:O,2,0)</f>
        <v>#REF!</v>
      </c>
      <c r="D223">
        <f>SUMIF([2]Sheet2!$C:$C,A223,[2]Sheet2!$M:$M)</f>
        <v>140500</v>
      </c>
      <c r="E223">
        <f t="shared" si="3"/>
        <v>1.0000000009313226E-2</v>
      </c>
    </row>
    <row r="224" spans="1:5" x14ac:dyDescent="0.25">
      <c r="A224" t="s">
        <v>2957</v>
      </c>
      <c r="B224">
        <v>130000</v>
      </c>
      <c r="C224" t="e">
        <f>VLOOKUP(A224,Defaut!O:O,2,0)</f>
        <v>#REF!</v>
      </c>
      <c r="D224">
        <f>SUMIF([2]Sheet2!$C:$C,A224,[2]Sheet2!$M:$M)</f>
        <v>130000</v>
      </c>
      <c r="E224">
        <f t="shared" si="3"/>
        <v>0</v>
      </c>
    </row>
    <row r="225" spans="1:5" x14ac:dyDescent="0.25">
      <c r="A225" t="s">
        <v>2949</v>
      </c>
      <c r="B225">
        <v>144999.99</v>
      </c>
      <c r="C225" t="e">
        <f>VLOOKUP(A225,Defaut!O:O,2,0)</f>
        <v>#REF!</v>
      </c>
      <c r="D225">
        <f>SUMIF([2]Sheet2!$C:$C,A225,[2]Sheet2!$M:$M)</f>
        <v>145000</v>
      </c>
      <c r="E225">
        <f t="shared" si="3"/>
        <v>1.0000000009313226E-2</v>
      </c>
    </row>
    <row r="226" spans="1:5" x14ac:dyDescent="0.25">
      <c r="A226" t="s">
        <v>2941</v>
      </c>
      <c r="B226">
        <v>192000</v>
      </c>
      <c r="C226" t="e">
        <f>VLOOKUP(A226,Defaut!O:O,2,0)</f>
        <v>#REF!</v>
      </c>
      <c r="D226">
        <f>SUMIF([2]Sheet2!$C:$C,A226,[2]Sheet2!$M:$M)</f>
        <v>192000</v>
      </c>
      <c r="E226">
        <f t="shared" si="3"/>
        <v>0</v>
      </c>
    </row>
    <row r="227" spans="1:5" x14ac:dyDescent="0.25">
      <c r="A227" t="s">
        <v>2933</v>
      </c>
      <c r="B227">
        <v>364999.98</v>
      </c>
      <c r="C227" t="e">
        <f>VLOOKUP(A227,Defaut!O:O,2,0)</f>
        <v>#REF!</v>
      </c>
      <c r="D227">
        <f>SUMIF([2]Sheet2!$C:$C,A227,[2]Sheet2!$M:$M)</f>
        <v>365000</v>
      </c>
      <c r="E227">
        <f t="shared" si="3"/>
        <v>2.0000000018626451E-2</v>
      </c>
    </row>
    <row r="228" spans="1:5" x14ac:dyDescent="0.25">
      <c r="A228" t="s">
        <v>2925</v>
      </c>
      <c r="B228">
        <v>124000</v>
      </c>
      <c r="C228" t="e">
        <f>VLOOKUP(A228,Defaut!O:O,2,0)</f>
        <v>#REF!</v>
      </c>
      <c r="D228">
        <f>SUMIF([2]Sheet2!$C:$C,A228,[2]Sheet2!$M:$M)</f>
        <v>124000</v>
      </c>
      <c r="E228">
        <f t="shared" si="3"/>
        <v>0</v>
      </c>
    </row>
    <row r="229" spans="1:5" x14ac:dyDescent="0.25">
      <c r="A229" t="s">
        <v>2917</v>
      </c>
      <c r="B229">
        <v>274000</v>
      </c>
      <c r="C229" t="e">
        <f>VLOOKUP(A229,Defaut!O:O,2,0)</f>
        <v>#REF!</v>
      </c>
      <c r="D229">
        <f>SUMIF([2]Sheet2!$C:$C,A229,[2]Sheet2!$M:$M)</f>
        <v>274000</v>
      </c>
      <c r="E229">
        <f t="shared" si="3"/>
        <v>0</v>
      </c>
    </row>
    <row r="230" spans="1:5" x14ac:dyDescent="0.25">
      <c r="A230" t="s">
        <v>2909</v>
      </c>
      <c r="B230">
        <v>124000</v>
      </c>
      <c r="C230" t="e">
        <f>VLOOKUP(A230,Defaut!O:O,2,0)</f>
        <v>#REF!</v>
      </c>
      <c r="D230">
        <f>SUMIF([2]Sheet2!$C:$C,A230,[2]Sheet2!$M:$M)</f>
        <v>124000</v>
      </c>
      <c r="E230">
        <f t="shared" si="3"/>
        <v>0</v>
      </c>
    </row>
    <row r="231" spans="1:5" x14ac:dyDescent="0.25">
      <c r="A231" t="s">
        <v>2901</v>
      </c>
      <c r="B231">
        <v>357000</v>
      </c>
      <c r="C231" t="e">
        <f>VLOOKUP(A231,Defaut!O:O,2,0)</f>
        <v>#REF!</v>
      </c>
      <c r="D231">
        <f>SUMIF([2]Sheet2!$C:$C,A231,[2]Sheet2!$M:$M)</f>
        <v>357000</v>
      </c>
      <c r="E231">
        <f t="shared" si="3"/>
        <v>0</v>
      </c>
    </row>
    <row r="232" spans="1:5" x14ac:dyDescent="0.25">
      <c r="A232" t="s">
        <v>2893</v>
      </c>
      <c r="B232">
        <v>107000</v>
      </c>
      <c r="C232" t="e">
        <f>VLOOKUP(A232,Defaut!O:O,2,0)</f>
        <v>#REF!</v>
      </c>
      <c r="D232">
        <f>SUMIF([2]Sheet2!$C:$C,A232,[2]Sheet2!$M:$M)</f>
        <v>107000</v>
      </c>
      <c r="E232">
        <f t="shared" si="3"/>
        <v>0</v>
      </c>
    </row>
    <row r="233" spans="1:5" x14ac:dyDescent="0.25">
      <c r="A233" t="s">
        <v>2885</v>
      </c>
      <c r="B233">
        <v>180999.99</v>
      </c>
      <c r="C233" t="e">
        <f>VLOOKUP(A233,Defaut!O:O,2,0)</f>
        <v>#REF!</v>
      </c>
      <c r="D233">
        <f>SUMIF([2]Sheet2!$C:$C,A233,[2]Sheet2!$M:$M)</f>
        <v>181000</v>
      </c>
      <c r="E233">
        <f t="shared" si="3"/>
        <v>1.0000000009313226E-2</v>
      </c>
    </row>
    <row r="234" spans="1:5" x14ac:dyDescent="0.25">
      <c r="A234" t="s">
        <v>2877</v>
      </c>
      <c r="B234">
        <v>124000</v>
      </c>
      <c r="C234" t="e">
        <f>VLOOKUP(A234,Defaut!O:O,2,0)</f>
        <v>#REF!</v>
      </c>
      <c r="D234">
        <f>SUMIF([2]Sheet2!$C:$C,A234,[2]Sheet2!$M:$M)</f>
        <v>124000</v>
      </c>
      <c r="E234">
        <f t="shared" si="3"/>
        <v>0</v>
      </c>
    </row>
    <row r="235" spans="1:5" x14ac:dyDescent="0.25">
      <c r="A235" t="s">
        <v>2869</v>
      </c>
      <c r="B235">
        <v>280000</v>
      </c>
      <c r="C235" t="e">
        <f>VLOOKUP(A235,Defaut!O:O,2,0)</f>
        <v>#REF!</v>
      </c>
      <c r="D235">
        <f>SUMIF([2]Sheet2!$C:$C,A235,[2]Sheet2!$M:$M)</f>
        <v>280000</v>
      </c>
      <c r="E235">
        <f t="shared" si="3"/>
        <v>0</v>
      </c>
    </row>
    <row r="236" spans="1:5" x14ac:dyDescent="0.25">
      <c r="A236" t="s">
        <v>2861</v>
      </c>
      <c r="B236">
        <v>140499.99</v>
      </c>
      <c r="C236" t="e">
        <f>VLOOKUP(A236,Defaut!O:O,2,0)</f>
        <v>#REF!</v>
      </c>
      <c r="D236">
        <f>SUMIF([2]Sheet2!$C:$C,A236,[2]Sheet2!$M:$M)</f>
        <v>140500</v>
      </c>
      <c r="E236">
        <f t="shared" si="3"/>
        <v>1.0000000009313226E-2</v>
      </c>
    </row>
    <row r="237" spans="1:5" x14ac:dyDescent="0.25">
      <c r="A237" t="s">
        <v>2853</v>
      </c>
      <c r="B237">
        <v>268000</v>
      </c>
      <c r="C237" t="e">
        <f>VLOOKUP(A237,Defaut!O:O,2,0)</f>
        <v>#REF!</v>
      </c>
      <c r="D237">
        <f>SUMIF([2]Sheet2!$C:$C,A237,[2]Sheet2!$M:$M)</f>
        <v>268000</v>
      </c>
      <c r="E237">
        <f t="shared" si="3"/>
        <v>0</v>
      </c>
    </row>
    <row r="238" spans="1:5" x14ac:dyDescent="0.25">
      <c r="A238" t="s">
        <v>2845</v>
      </c>
      <c r="B238">
        <v>271999.99000000005</v>
      </c>
      <c r="C238" t="e">
        <f>VLOOKUP(A238,Defaut!O:O,2,0)</f>
        <v>#REF!</v>
      </c>
      <c r="D238">
        <f>SUMIF([2]Sheet2!$C:$C,A238,[2]Sheet2!$M:$M)</f>
        <v>272000</v>
      </c>
      <c r="E238">
        <f t="shared" si="3"/>
        <v>9.9999999511055648E-3</v>
      </c>
    </row>
    <row r="239" spans="1:5" x14ac:dyDescent="0.25">
      <c r="A239" t="s">
        <v>2837</v>
      </c>
      <c r="B239">
        <v>180999.99</v>
      </c>
      <c r="C239" t="e">
        <f>VLOOKUP(A239,Defaut!O:O,2,0)</f>
        <v>#REF!</v>
      </c>
      <c r="D239">
        <f>SUMIF([2]Sheet2!$C:$C,A239,[2]Sheet2!$M:$M)</f>
        <v>181000</v>
      </c>
      <c r="E239">
        <f t="shared" si="3"/>
        <v>1.0000000009313226E-2</v>
      </c>
    </row>
    <row r="240" spans="1:5" x14ac:dyDescent="0.25">
      <c r="A240" t="s">
        <v>2829</v>
      </c>
      <c r="B240">
        <v>379999.98</v>
      </c>
      <c r="C240" t="e">
        <f>VLOOKUP(A240,Defaut!O:O,2,0)</f>
        <v>#REF!</v>
      </c>
      <c r="D240">
        <f>SUMIF([2]Sheet2!$C:$C,A240,[2]Sheet2!$M:$M)</f>
        <v>380000</v>
      </c>
      <c r="E240">
        <f t="shared" si="3"/>
        <v>2.0000000018626451E-2</v>
      </c>
    </row>
    <row r="241" spans="1:5" x14ac:dyDescent="0.25">
      <c r="A241" t="s">
        <v>2821</v>
      </c>
      <c r="B241">
        <v>379999.98</v>
      </c>
      <c r="C241" t="e">
        <f>VLOOKUP(A241,Defaut!O:O,2,0)</f>
        <v>#REF!</v>
      </c>
      <c r="D241">
        <f>SUMIF([2]Sheet2!$C:$C,A241,[2]Sheet2!$M:$M)</f>
        <v>380000</v>
      </c>
      <c r="E241">
        <f t="shared" si="3"/>
        <v>2.0000000018626451E-2</v>
      </c>
    </row>
    <row r="242" spans="1:5" x14ac:dyDescent="0.25">
      <c r="A242" t="s">
        <v>2813</v>
      </c>
      <c r="B242">
        <v>379999.98</v>
      </c>
      <c r="C242" t="e">
        <f>VLOOKUP(A242,Defaut!O:O,2,0)</f>
        <v>#REF!</v>
      </c>
      <c r="D242">
        <f>SUMIF([2]Sheet2!$C:$C,A242,[2]Sheet2!$M:$M)</f>
        <v>380000</v>
      </c>
      <c r="E242">
        <f t="shared" si="3"/>
        <v>2.0000000018626451E-2</v>
      </c>
    </row>
    <row r="243" spans="1:5" x14ac:dyDescent="0.25">
      <c r="A243" t="s">
        <v>2805</v>
      </c>
      <c r="B243">
        <v>192000</v>
      </c>
      <c r="C243" t="e">
        <f>VLOOKUP(A243,Defaut!O:O,2,0)</f>
        <v>#REF!</v>
      </c>
      <c r="D243">
        <f>SUMIF([2]Sheet2!$C:$C,A243,[2]Sheet2!$M:$M)</f>
        <v>192000</v>
      </c>
      <c r="E243">
        <f t="shared" si="3"/>
        <v>0</v>
      </c>
    </row>
    <row r="244" spans="1:5" x14ac:dyDescent="0.25">
      <c r="A244" t="s">
        <v>2797</v>
      </c>
      <c r="B244">
        <v>352000.02</v>
      </c>
      <c r="C244" t="e">
        <f>VLOOKUP(A244,Defaut!O:O,2,0)</f>
        <v>#REF!</v>
      </c>
      <c r="D244">
        <f>SUMIF([2]Sheet2!$C:$C,A244,[2]Sheet2!$M:$M)</f>
        <v>352000</v>
      </c>
      <c r="E244">
        <f t="shared" si="3"/>
        <v>-2.0000000018626451E-2</v>
      </c>
    </row>
    <row r="245" spans="1:5" x14ac:dyDescent="0.25">
      <c r="A245" t="s">
        <v>2789</v>
      </c>
      <c r="B245">
        <v>130000</v>
      </c>
      <c r="C245" t="e">
        <f>VLOOKUP(A245,Defaut!O:O,2,0)</f>
        <v>#REF!</v>
      </c>
      <c r="D245">
        <f>SUMIF([2]Sheet2!$C:$C,A245,[2]Sheet2!$M:$M)</f>
        <v>130000</v>
      </c>
      <c r="E245">
        <f t="shared" si="3"/>
        <v>0</v>
      </c>
    </row>
    <row r="246" spans="1:5" x14ac:dyDescent="0.25">
      <c r="A246" t="s">
        <v>2773</v>
      </c>
      <c r="B246">
        <v>130000</v>
      </c>
      <c r="C246" t="e">
        <f>VLOOKUP(A246,Defaut!O:O,2,0)</f>
        <v>#REF!</v>
      </c>
      <c r="D246">
        <f>SUMIF([2]Sheet2!$C:$C,A246,[2]Sheet2!$M:$M)</f>
        <v>130000</v>
      </c>
      <c r="E246">
        <f t="shared" si="3"/>
        <v>0</v>
      </c>
    </row>
    <row r="247" spans="1:5" x14ac:dyDescent="0.25">
      <c r="A247" t="s">
        <v>2766</v>
      </c>
      <c r="B247">
        <v>517499.99999999994</v>
      </c>
      <c r="C247" t="e">
        <f>VLOOKUP(A247,Defaut!O:O,2,0)</f>
        <v>#REF!</v>
      </c>
      <c r="D247">
        <f>SUMIF([2]Sheet2!$C:$C,A247,[2]Sheet2!$M:$M)</f>
        <v>517500</v>
      </c>
      <c r="E247">
        <f t="shared" si="3"/>
        <v>0</v>
      </c>
    </row>
    <row r="248" spans="1:5" x14ac:dyDescent="0.25">
      <c r="A248" t="s">
        <v>2759</v>
      </c>
      <c r="B248">
        <v>144000</v>
      </c>
      <c r="C248" t="e">
        <f>VLOOKUP(A248,Defaut!O:O,2,0)</f>
        <v>#REF!</v>
      </c>
      <c r="D248">
        <f>SUMIF([2]Sheet2!$C:$C,A248,[2]Sheet2!$M:$M)</f>
        <v>144000</v>
      </c>
      <c r="E248">
        <f t="shared" si="3"/>
        <v>0</v>
      </c>
    </row>
    <row r="249" spans="1:5" x14ac:dyDescent="0.25">
      <c r="A249" t="s">
        <v>2751</v>
      </c>
      <c r="B249">
        <v>124000</v>
      </c>
      <c r="C249" t="e">
        <f>VLOOKUP(A249,Defaut!O:O,2,0)</f>
        <v>#REF!</v>
      </c>
      <c r="D249">
        <f>SUMIF([2]Sheet2!$C:$C,A249,[2]Sheet2!$M:$M)</f>
        <v>124000</v>
      </c>
      <c r="E249">
        <f t="shared" si="3"/>
        <v>0</v>
      </c>
    </row>
    <row r="250" spans="1:5" x14ac:dyDescent="0.25">
      <c r="A250" t="s">
        <v>2743</v>
      </c>
      <c r="B250">
        <v>379999.98</v>
      </c>
      <c r="C250" t="e">
        <f>VLOOKUP(A250,Defaut!O:O,2,0)</f>
        <v>#REF!</v>
      </c>
      <c r="D250">
        <f>SUMIF([2]Sheet2!$C:$C,A250,[2]Sheet2!$M:$M)</f>
        <v>380000</v>
      </c>
      <c r="E250">
        <f t="shared" si="3"/>
        <v>2.0000000018626451E-2</v>
      </c>
    </row>
    <row r="251" spans="1:5" x14ac:dyDescent="0.25">
      <c r="A251" t="s">
        <v>2735</v>
      </c>
      <c r="B251">
        <v>130000</v>
      </c>
      <c r="C251" t="e">
        <f>VLOOKUP(A251,Defaut!O:O,2,0)</f>
        <v>#REF!</v>
      </c>
      <c r="D251">
        <f>SUMIF([2]Sheet2!$C:$C,A251,[2]Sheet2!$M:$M)</f>
        <v>130000</v>
      </c>
      <c r="E251">
        <f t="shared" si="3"/>
        <v>0</v>
      </c>
    </row>
    <row r="252" spans="1:5" x14ac:dyDescent="0.25">
      <c r="A252" t="s">
        <v>2727</v>
      </c>
      <c r="B252">
        <v>144999.99</v>
      </c>
      <c r="C252" t="e">
        <f>VLOOKUP(A252,Defaut!O:O,2,0)</f>
        <v>#REF!</v>
      </c>
      <c r="D252">
        <f>SUMIF([2]Sheet2!$C:$C,A252,[2]Sheet2!$M:$M)</f>
        <v>145000</v>
      </c>
      <c r="E252">
        <f t="shared" si="3"/>
        <v>1.0000000009313226E-2</v>
      </c>
    </row>
    <row r="253" spans="1:5" x14ac:dyDescent="0.25">
      <c r="A253" t="s">
        <v>2719</v>
      </c>
      <c r="B253">
        <v>352000.02</v>
      </c>
      <c r="C253" t="e">
        <f>VLOOKUP(A253,Defaut!O:O,2,0)</f>
        <v>#REF!</v>
      </c>
      <c r="D253">
        <f>SUMIF([2]Sheet2!$C:$C,A253,[2]Sheet2!$M:$M)</f>
        <v>352000</v>
      </c>
      <c r="E253">
        <f t="shared" si="3"/>
        <v>-2.0000000018626451E-2</v>
      </c>
    </row>
    <row r="254" spans="1:5" x14ac:dyDescent="0.25">
      <c r="A254" t="s">
        <v>2711</v>
      </c>
      <c r="B254">
        <v>375000</v>
      </c>
      <c r="C254" t="e">
        <f>VLOOKUP(A254,Defaut!O:O,2,0)</f>
        <v>#REF!</v>
      </c>
      <c r="D254">
        <f>SUMIF([2]Sheet2!$C:$C,A254,[2]Sheet2!$M:$M)</f>
        <v>375000</v>
      </c>
      <c r="E254">
        <f t="shared" si="3"/>
        <v>0</v>
      </c>
    </row>
    <row r="255" spans="1:5" x14ac:dyDescent="0.25">
      <c r="A255" t="s">
        <v>2704</v>
      </c>
      <c r="B255">
        <v>834999.96</v>
      </c>
      <c r="C255" t="e">
        <f>VLOOKUP(A255,Defaut!O:O,2,0)</f>
        <v>#REF!</v>
      </c>
      <c r="D255">
        <f>SUMIF([2]Sheet2!$C:$C,A255,[2]Sheet2!$M:$M)</f>
        <v>835000</v>
      </c>
      <c r="E255">
        <f t="shared" si="3"/>
        <v>4.0000000037252903E-2</v>
      </c>
    </row>
    <row r="256" spans="1:5" x14ac:dyDescent="0.25">
      <c r="A256" t="s">
        <v>2696</v>
      </c>
      <c r="B256">
        <v>364999.98</v>
      </c>
      <c r="C256" t="e">
        <f>VLOOKUP(A256,Defaut!O:O,2,0)</f>
        <v>#REF!</v>
      </c>
      <c r="D256">
        <f>SUMIF([2]Sheet2!$C:$C,A256,[2]Sheet2!$M:$M)</f>
        <v>365000</v>
      </c>
      <c r="E256">
        <f t="shared" si="3"/>
        <v>2.0000000018626451E-2</v>
      </c>
    </row>
    <row r="257" spans="1:5" x14ac:dyDescent="0.25">
      <c r="A257" t="s">
        <v>2688</v>
      </c>
      <c r="B257">
        <v>130000</v>
      </c>
      <c r="C257" t="e">
        <f>VLOOKUP(A257,Defaut!O:O,2,0)</f>
        <v>#REF!</v>
      </c>
      <c r="D257">
        <f>SUMIF([2]Sheet2!$C:$C,A257,[2]Sheet2!$M:$M)</f>
        <v>130000</v>
      </c>
      <c r="E257">
        <f t="shared" si="3"/>
        <v>0</v>
      </c>
    </row>
    <row r="258" spans="1:5" x14ac:dyDescent="0.25">
      <c r="A258" t="s">
        <v>2680</v>
      </c>
      <c r="B258">
        <v>459000</v>
      </c>
      <c r="C258" t="e">
        <f>VLOOKUP(A258,Defaut!O:O,2,0)</f>
        <v>#REF!</v>
      </c>
      <c r="D258">
        <f>SUMIF([2]Sheet2!$C:$C,A258,[2]Sheet2!$M:$M)</f>
        <v>459000</v>
      </c>
      <c r="E258">
        <f t="shared" ref="E258:E321" si="4">D258-B258</f>
        <v>0</v>
      </c>
    </row>
    <row r="259" spans="1:5" x14ac:dyDescent="0.25">
      <c r="A259" t="s">
        <v>2672</v>
      </c>
      <c r="B259">
        <v>130000</v>
      </c>
      <c r="C259" t="e">
        <f>VLOOKUP(A259,Defaut!O:O,2,0)</f>
        <v>#REF!</v>
      </c>
      <c r="D259">
        <f>SUMIF([2]Sheet2!$C:$C,A259,[2]Sheet2!$M:$M)</f>
        <v>130000</v>
      </c>
      <c r="E259">
        <f t="shared" si="4"/>
        <v>0</v>
      </c>
    </row>
    <row r="260" spans="1:5" x14ac:dyDescent="0.25">
      <c r="A260" t="s">
        <v>2664</v>
      </c>
      <c r="B260">
        <v>144999.99</v>
      </c>
      <c r="C260" t="e">
        <f>VLOOKUP(A260,Defaut!O:O,2,0)</f>
        <v>#REF!</v>
      </c>
      <c r="D260">
        <f>SUMIF([2]Sheet2!$C:$C,A260,[2]Sheet2!$M:$M)</f>
        <v>145000</v>
      </c>
      <c r="E260">
        <f t="shared" si="4"/>
        <v>1.0000000009313226E-2</v>
      </c>
    </row>
    <row r="261" spans="1:5" x14ac:dyDescent="0.25">
      <c r="A261" t="s">
        <v>2656</v>
      </c>
      <c r="B261">
        <v>130000</v>
      </c>
      <c r="C261" t="e">
        <f>VLOOKUP(A261,Defaut!O:O,2,0)</f>
        <v>#REF!</v>
      </c>
      <c r="D261">
        <f>SUMIF([2]Sheet2!$C:$C,A261,[2]Sheet2!$M:$M)</f>
        <v>130000</v>
      </c>
      <c r="E261">
        <f t="shared" si="4"/>
        <v>0</v>
      </c>
    </row>
    <row r="262" spans="1:5" x14ac:dyDescent="0.25">
      <c r="A262" t="s">
        <v>2648</v>
      </c>
      <c r="B262">
        <v>180999.99</v>
      </c>
      <c r="C262" t="e">
        <f>VLOOKUP(A262,Defaut!O:O,2,0)</f>
        <v>#REF!</v>
      </c>
      <c r="D262">
        <f>SUMIF([2]Sheet2!$C:$C,A262,[2]Sheet2!$M:$M)</f>
        <v>181000</v>
      </c>
      <c r="E262">
        <f t="shared" si="4"/>
        <v>1.0000000009313226E-2</v>
      </c>
    </row>
    <row r="263" spans="1:5" x14ac:dyDescent="0.25">
      <c r="A263" t="s">
        <v>2640</v>
      </c>
      <c r="B263">
        <v>248000</v>
      </c>
      <c r="C263" t="e">
        <f>VLOOKUP(A263,Defaut!O:O,2,0)</f>
        <v>#REF!</v>
      </c>
      <c r="D263">
        <f>SUMIF([2]Sheet2!$C:$C,A263,[2]Sheet2!$M:$M)</f>
        <v>248000</v>
      </c>
      <c r="E263">
        <f t="shared" si="4"/>
        <v>0</v>
      </c>
    </row>
    <row r="264" spans="1:5" x14ac:dyDescent="0.25">
      <c r="A264" t="s">
        <v>2632</v>
      </c>
      <c r="B264">
        <v>124000</v>
      </c>
      <c r="C264" t="e">
        <f>VLOOKUP(A264,Defaut!O:O,2,0)</f>
        <v>#REF!</v>
      </c>
      <c r="D264">
        <f>SUMIF([2]Sheet2!$C:$C,A264,[2]Sheet2!$M:$M)</f>
        <v>124000</v>
      </c>
      <c r="E264">
        <f t="shared" si="4"/>
        <v>0</v>
      </c>
    </row>
    <row r="265" spans="1:5" x14ac:dyDescent="0.25">
      <c r="A265" t="s">
        <v>2624</v>
      </c>
      <c r="B265">
        <v>251000</v>
      </c>
      <c r="C265" t="e">
        <f>VLOOKUP(A265,Defaut!O:O,2,0)</f>
        <v>#REF!</v>
      </c>
      <c r="D265">
        <f>SUMIF([2]Sheet2!$C:$C,A265,[2]Sheet2!$M:$M)</f>
        <v>251000</v>
      </c>
      <c r="E265">
        <f t="shared" si="4"/>
        <v>0</v>
      </c>
    </row>
    <row r="266" spans="1:5" x14ac:dyDescent="0.25">
      <c r="A266" t="s">
        <v>2616</v>
      </c>
      <c r="B266">
        <v>144999.99</v>
      </c>
      <c r="C266" t="e">
        <f>VLOOKUP(A266,Defaut!O:O,2,0)</f>
        <v>#REF!</v>
      </c>
      <c r="D266">
        <f>SUMIF([2]Sheet2!$C:$C,A266,[2]Sheet2!$M:$M)</f>
        <v>145000</v>
      </c>
      <c r="E266">
        <f t="shared" si="4"/>
        <v>1.0000000009313226E-2</v>
      </c>
    </row>
    <row r="267" spans="1:5" x14ac:dyDescent="0.25">
      <c r="A267" t="s">
        <v>2608</v>
      </c>
      <c r="B267">
        <v>475000</v>
      </c>
      <c r="C267" t="e">
        <f>VLOOKUP(A267,Defaut!O:O,2,0)</f>
        <v>#REF!</v>
      </c>
      <c r="D267">
        <f>SUMIF([2]Sheet2!$C:$C,A267,[2]Sheet2!$M:$M)</f>
        <v>475000</v>
      </c>
      <c r="E267">
        <f t="shared" si="4"/>
        <v>0</v>
      </c>
    </row>
    <row r="268" spans="1:5" x14ac:dyDescent="0.25">
      <c r="A268" t="s">
        <v>2600</v>
      </c>
      <c r="B268">
        <v>180999.99</v>
      </c>
      <c r="C268" t="e">
        <f>VLOOKUP(A268,Defaut!O:O,2,0)</f>
        <v>#REF!</v>
      </c>
      <c r="D268">
        <f>SUMIF([2]Sheet2!$C:$C,A268,[2]Sheet2!$M:$M)</f>
        <v>181000</v>
      </c>
      <c r="E268">
        <f t="shared" si="4"/>
        <v>1.0000000009313226E-2</v>
      </c>
    </row>
    <row r="269" spans="1:5" x14ac:dyDescent="0.25">
      <c r="A269" t="s">
        <v>2592</v>
      </c>
      <c r="B269">
        <v>140499.99</v>
      </c>
      <c r="C269" t="e">
        <f>VLOOKUP(A269,Defaut!O:O,2,0)</f>
        <v>#REF!</v>
      </c>
      <c r="D269">
        <f>SUMIF([2]Sheet2!$C:$C,A269,[2]Sheet2!$M:$M)</f>
        <v>140500</v>
      </c>
      <c r="E269">
        <f t="shared" si="4"/>
        <v>1.0000000009313226E-2</v>
      </c>
    </row>
    <row r="270" spans="1:5" x14ac:dyDescent="0.25">
      <c r="A270" t="s">
        <v>2584</v>
      </c>
      <c r="B270">
        <v>144999.99</v>
      </c>
      <c r="C270" t="e">
        <f>VLOOKUP(A270,Defaut!O:O,2,0)</f>
        <v>#REF!</v>
      </c>
      <c r="D270">
        <f>SUMIF([2]Sheet2!$C:$C,A270,[2]Sheet2!$M:$M)</f>
        <v>145000</v>
      </c>
      <c r="E270">
        <f t="shared" si="4"/>
        <v>1.0000000009313226E-2</v>
      </c>
    </row>
    <row r="271" spans="1:5" x14ac:dyDescent="0.25">
      <c r="A271" t="s">
        <v>2576</v>
      </c>
      <c r="B271">
        <v>306999.99</v>
      </c>
      <c r="C271" t="e">
        <f>VLOOKUP(A271,Defaut!O:O,2,0)</f>
        <v>#REF!</v>
      </c>
      <c r="D271">
        <f>SUMIF([2]Sheet2!$C:$C,A271,[2]Sheet2!$M:$M)</f>
        <v>307000</v>
      </c>
      <c r="E271">
        <f t="shared" si="4"/>
        <v>1.0000000009313226E-2</v>
      </c>
    </row>
    <row r="272" spans="1:5" x14ac:dyDescent="0.25">
      <c r="A272" t="s">
        <v>2568</v>
      </c>
      <c r="B272">
        <v>352000.02</v>
      </c>
      <c r="C272" t="e">
        <f>VLOOKUP(A272,Defaut!O:O,2,0)</f>
        <v>#REF!</v>
      </c>
      <c r="D272">
        <f>SUMIF([2]Sheet2!$C:$C,A272,[2]Sheet2!$M:$M)</f>
        <v>352000</v>
      </c>
      <c r="E272">
        <f t="shared" si="4"/>
        <v>-2.0000000018626451E-2</v>
      </c>
    </row>
    <row r="273" spans="1:5" x14ac:dyDescent="0.25">
      <c r="A273" t="s">
        <v>2560</v>
      </c>
      <c r="B273">
        <v>528000</v>
      </c>
      <c r="C273" t="e">
        <f>VLOOKUP(A273,Defaut!O:O,2,0)</f>
        <v>#REF!</v>
      </c>
      <c r="D273">
        <f>SUMIF([2]Sheet2!$C:$C,A273,[2]Sheet2!$M:$M)</f>
        <v>528000</v>
      </c>
      <c r="E273">
        <f t="shared" si="4"/>
        <v>0</v>
      </c>
    </row>
    <row r="274" spans="1:5" x14ac:dyDescent="0.25">
      <c r="A274" t="s">
        <v>2552</v>
      </c>
      <c r="B274">
        <v>180999.99</v>
      </c>
      <c r="C274" t="e">
        <f>VLOOKUP(A274,Defaut!O:O,2,0)</f>
        <v>#REF!</v>
      </c>
      <c r="D274">
        <f>SUMIF([2]Sheet2!$C:$C,A274,[2]Sheet2!$M:$M)</f>
        <v>181000</v>
      </c>
      <c r="E274">
        <f t="shared" si="4"/>
        <v>1.0000000009313226E-2</v>
      </c>
    </row>
    <row r="275" spans="1:5" x14ac:dyDescent="0.25">
      <c r="A275" t="s">
        <v>2544</v>
      </c>
      <c r="B275">
        <v>144999.99</v>
      </c>
      <c r="C275" t="e">
        <f>VLOOKUP(A275,Defaut!O:O,2,0)</f>
        <v>#REF!</v>
      </c>
      <c r="D275">
        <f>SUMIF([2]Sheet2!$C:$C,A275,[2]Sheet2!$M:$M)</f>
        <v>145000</v>
      </c>
      <c r="E275">
        <f t="shared" si="4"/>
        <v>1.0000000009313226E-2</v>
      </c>
    </row>
    <row r="276" spans="1:5" x14ac:dyDescent="0.25">
      <c r="A276" t="s">
        <v>2536</v>
      </c>
      <c r="B276">
        <v>401000</v>
      </c>
      <c r="C276" t="e">
        <f>VLOOKUP(A276,Defaut!O:O,2,0)</f>
        <v>#REF!</v>
      </c>
      <c r="D276">
        <f>SUMIF([2]Sheet2!$C:$C,A276,[2]Sheet2!$M:$M)</f>
        <v>401000</v>
      </c>
      <c r="E276">
        <f t="shared" si="4"/>
        <v>0</v>
      </c>
    </row>
    <row r="277" spans="1:5" x14ac:dyDescent="0.25">
      <c r="A277" t="s">
        <v>2528</v>
      </c>
      <c r="B277">
        <v>274000</v>
      </c>
      <c r="C277" t="e">
        <f>VLOOKUP(A277,Defaut!O:O,2,0)</f>
        <v>#REF!</v>
      </c>
      <c r="D277">
        <f>SUMIF([2]Sheet2!$C:$C,A277,[2]Sheet2!$M:$M)</f>
        <v>274000</v>
      </c>
      <c r="E277">
        <f t="shared" si="4"/>
        <v>0</v>
      </c>
    </row>
    <row r="278" spans="1:5" x14ac:dyDescent="0.25">
      <c r="A278" t="s">
        <v>2520</v>
      </c>
      <c r="B278">
        <v>248000</v>
      </c>
      <c r="C278" t="e">
        <f>VLOOKUP(A278,Defaut!O:O,2,0)</f>
        <v>#REF!</v>
      </c>
      <c r="D278">
        <f>SUMIF([2]Sheet2!$C:$C,A278,[2]Sheet2!$M:$M)</f>
        <v>248000</v>
      </c>
      <c r="E278">
        <f t="shared" si="4"/>
        <v>0</v>
      </c>
    </row>
    <row r="279" spans="1:5" x14ac:dyDescent="0.25">
      <c r="A279" t="s">
        <v>2512</v>
      </c>
      <c r="B279">
        <v>180999.99</v>
      </c>
      <c r="C279" t="e">
        <f>VLOOKUP(A279,Defaut!O:O,2,0)</f>
        <v>#REF!</v>
      </c>
      <c r="D279">
        <f>SUMIF([2]Sheet2!$C:$C,A279,[2]Sheet2!$M:$M)</f>
        <v>181000</v>
      </c>
      <c r="E279">
        <f t="shared" si="4"/>
        <v>1.0000000009313226E-2</v>
      </c>
    </row>
    <row r="280" spans="1:5" x14ac:dyDescent="0.25">
      <c r="A280" t="s">
        <v>2504</v>
      </c>
      <c r="B280">
        <v>357000</v>
      </c>
      <c r="C280" t="e">
        <f>VLOOKUP(A280,Defaut!O:O,2,0)</f>
        <v>#REF!</v>
      </c>
      <c r="D280">
        <f>SUMIF([2]Sheet2!$C:$C,A280,[2]Sheet2!$M:$M)</f>
        <v>357000</v>
      </c>
      <c r="E280">
        <f t="shared" si="4"/>
        <v>0</v>
      </c>
    </row>
    <row r="281" spans="1:5" x14ac:dyDescent="0.25">
      <c r="A281" t="s">
        <v>2496</v>
      </c>
      <c r="B281">
        <v>180999.99</v>
      </c>
      <c r="C281" t="e">
        <f>VLOOKUP(A281,Defaut!O:O,2,0)</f>
        <v>#REF!</v>
      </c>
      <c r="D281">
        <f>SUMIF([2]Sheet2!$C:$C,A281,[2]Sheet2!$M:$M)</f>
        <v>181000</v>
      </c>
      <c r="E281">
        <f t="shared" si="4"/>
        <v>1.0000000009313226E-2</v>
      </c>
    </row>
    <row r="282" spans="1:5" x14ac:dyDescent="0.25">
      <c r="A282" t="s">
        <v>2488</v>
      </c>
      <c r="B282">
        <v>180999.99</v>
      </c>
      <c r="C282" t="e">
        <f>VLOOKUP(A282,Defaut!O:O,2,0)</f>
        <v>#REF!</v>
      </c>
      <c r="D282">
        <f>SUMIF([2]Sheet2!$C:$C,A282,[2]Sheet2!$M:$M)</f>
        <v>181000</v>
      </c>
      <c r="E282">
        <f t="shared" si="4"/>
        <v>1.0000000009313226E-2</v>
      </c>
    </row>
    <row r="283" spans="1:5" x14ac:dyDescent="0.25">
      <c r="A283" t="s">
        <v>2480</v>
      </c>
      <c r="B283">
        <v>144999.99</v>
      </c>
      <c r="C283" t="e">
        <f>VLOOKUP(A283,Defaut!O:O,2,0)</f>
        <v>#REF!</v>
      </c>
      <c r="D283">
        <f>SUMIF([2]Sheet2!$C:$C,A283,[2]Sheet2!$M:$M)</f>
        <v>145000</v>
      </c>
      <c r="E283">
        <f t="shared" si="4"/>
        <v>1.0000000009313226E-2</v>
      </c>
    </row>
    <row r="284" spans="1:5" x14ac:dyDescent="0.25">
      <c r="A284" t="s">
        <v>2385</v>
      </c>
      <c r="B284">
        <v>357000</v>
      </c>
      <c r="C284" t="e">
        <f>VLOOKUP(A284,Defaut!O:O,2,0)</f>
        <v>#REF!</v>
      </c>
      <c r="D284">
        <f>SUMIF([2]Sheet2!$C:$C,A284,[2]Sheet2!$M:$M)</f>
        <v>357000</v>
      </c>
      <c r="E284">
        <f t="shared" si="4"/>
        <v>0</v>
      </c>
    </row>
    <row r="285" spans="1:5" x14ac:dyDescent="0.25">
      <c r="A285" t="s">
        <v>2377</v>
      </c>
      <c r="B285">
        <v>352000.02</v>
      </c>
      <c r="C285" t="e">
        <f>VLOOKUP(A285,Defaut!O:O,2,0)</f>
        <v>#REF!</v>
      </c>
      <c r="D285">
        <f>SUMIF([2]Sheet2!$C:$C,A285,[2]Sheet2!$M:$M)</f>
        <v>352000</v>
      </c>
      <c r="E285">
        <f t="shared" si="4"/>
        <v>-2.0000000018626451E-2</v>
      </c>
    </row>
    <row r="286" spans="1:5" x14ac:dyDescent="0.25">
      <c r="A286" t="s">
        <v>2472</v>
      </c>
      <c r="B286">
        <v>360000</v>
      </c>
      <c r="C286" t="e">
        <f>VLOOKUP(A286,Defaut!O:O,2,0)</f>
        <v>#REF!</v>
      </c>
      <c r="D286">
        <f>SUMIF([2]Sheet2!$C:$C,A286,[2]Sheet2!$M:$M)</f>
        <v>360000</v>
      </c>
      <c r="E286">
        <f t="shared" si="4"/>
        <v>0</v>
      </c>
    </row>
    <row r="287" spans="1:5" x14ac:dyDescent="0.25">
      <c r="A287" t="s">
        <v>2464</v>
      </c>
      <c r="B287">
        <v>612999.99</v>
      </c>
      <c r="C287" t="e">
        <f>VLOOKUP(A287,Defaut!O:O,2,0)</f>
        <v>#REF!</v>
      </c>
      <c r="D287">
        <f>SUMIF([2]Sheet2!$C:$C,A287,[2]Sheet2!$M:$M)</f>
        <v>613000</v>
      </c>
      <c r="E287">
        <f t="shared" si="4"/>
        <v>1.0000000009313226E-2</v>
      </c>
    </row>
    <row r="288" spans="1:5" x14ac:dyDescent="0.25">
      <c r="A288" t="s">
        <v>2456</v>
      </c>
      <c r="B288">
        <v>289999.98</v>
      </c>
      <c r="C288" t="e">
        <f>VLOOKUP(A288,Defaut!O:O,2,0)</f>
        <v>#REF!</v>
      </c>
      <c r="D288">
        <f>SUMIF([2]Sheet2!$C:$C,A288,[2]Sheet2!$M:$M)</f>
        <v>290000</v>
      </c>
      <c r="E288">
        <f t="shared" si="4"/>
        <v>2.0000000018626451E-2</v>
      </c>
    </row>
    <row r="289" spans="1:5" x14ac:dyDescent="0.25">
      <c r="A289" t="s">
        <v>2448</v>
      </c>
      <c r="B289">
        <v>357000</v>
      </c>
      <c r="C289" t="e">
        <f>VLOOKUP(A289,Defaut!O:O,2,0)</f>
        <v>#REF!</v>
      </c>
      <c r="D289">
        <f>SUMIF([2]Sheet2!$C:$C,A289,[2]Sheet2!$M:$M)</f>
        <v>357000</v>
      </c>
      <c r="E289">
        <f t="shared" si="4"/>
        <v>0</v>
      </c>
    </row>
    <row r="290" spans="1:5" x14ac:dyDescent="0.25">
      <c r="A290" t="s">
        <v>2441</v>
      </c>
      <c r="B290">
        <v>357000</v>
      </c>
      <c r="C290" t="e">
        <f>VLOOKUP(A290,Defaut!O:O,2,0)</f>
        <v>#REF!</v>
      </c>
      <c r="D290">
        <f>SUMIF([2]Sheet2!$C:$C,A290,[2]Sheet2!$M:$M)</f>
        <v>357000</v>
      </c>
      <c r="E290">
        <f t="shared" si="4"/>
        <v>0</v>
      </c>
    </row>
    <row r="291" spans="1:5" x14ac:dyDescent="0.25">
      <c r="A291" t="s">
        <v>2433</v>
      </c>
      <c r="B291">
        <v>379999.98</v>
      </c>
      <c r="C291" t="e">
        <f>VLOOKUP(A291,Defaut!O:O,2,0)</f>
        <v>#REF!</v>
      </c>
      <c r="D291">
        <f>SUMIF([2]Sheet2!$C:$C,A291,[2]Sheet2!$M:$M)</f>
        <v>380000</v>
      </c>
      <c r="E291">
        <f t="shared" si="4"/>
        <v>2.0000000018626451E-2</v>
      </c>
    </row>
    <row r="292" spans="1:5" x14ac:dyDescent="0.25">
      <c r="A292" t="s">
        <v>2425</v>
      </c>
      <c r="B292">
        <v>124000</v>
      </c>
      <c r="C292" t="e">
        <f>VLOOKUP(A292,Defaut!O:O,2,0)</f>
        <v>#REF!</v>
      </c>
      <c r="D292">
        <f>SUMIF([2]Sheet2!$C:$C,A292,[2]Sheet2!$M:$M)</f>
        <v>124000</v>
      </c>
      <c r="E292">
        <f t="shared" si="4"/>
        <v>0</v>
      </c>
    </row>
    <row r="293" spans="1:5" x14ac:dyDescent="0.25">
      <c r="A293" t="s">
        <v>2417</v>
      </c>
      <c r="B293">
        <v>256000</v>
      </c>
      <c r="C293" t="e">
        <f>VLOOKUP(A293,Defaut!O:O,2,0)</f>
        <v>#REF!</v>
      </c>
      <c r="D293">
        <f>SUMIF([2]Sheet2!$C:$C,A293,[2]Sheet2!$M:$M)</f>
        <v>256000</v>
      </c>
      <c r="E293">
        <f t="shared" si="4"/>
        <v>0</v>
      </c>
    </row>
    <row r="294" spans="1:5" x14ac:dyDescent="0.25">
      <c r="A294" t="s">
        <v>2409</v>
      </c>
      <c r="B294">
        <v>144999.99</v>
      </c>
      <c r="C294" t="e">
        <f>VLOOKUP(A294,Defaut!O:O,2,0)</f>
        <v>#REF!</v>
      </c>
      <c r="D294">
        <f>SUMIF([2]Sheet2!$C:$C,A294,[2]Sheet2!$M:$M)</f>
        <v>145000</v>
      </c>
      <c r="E294">
        <f t="shared" si="4"/>
        <v>1.0000000009313226E-2</v>
      </c>
    </row>
    <row r="295" spans="1:5" x14ac:dyDescent="0.25">
      <c r="A295" t="s">
        <v>2393</v>
      </c>
      <c r="B295">
        <v>294999.99</v>
      </c>
      <c r="C295" t="e">
        <f>VLOOKUP(A295,Defaut!O:O,2,0)</f>
        <v>#REF!</v>
      </c>
      <c r="D295">
        <f>SUMIF([2]Sheet2!$C:$C,A295,[2]Sheet2!$M:$M)</f>
        <v>295000</v>
      </c>
      <c r="E295">
        <f t="shared" si="4"/>
        <v>1.0000000009313226E-2</v>
      </c>
    </row>
    <row r="296" spans="1:5" x14ac:dyDescent="0.25">
      <c r="A296" t="s">
        <v>2369</v>
      </c>
      <c r="B296">
        <v>307999.98</v>
      </c>
      <c r="C296" t="e">
        <f>VLOOKUP(A296,Defaut!O:O,2,0)</f>
        <v>#REF!</v>
      </c>
      <c r="D296">
        <f>SUMIF([2]Sheet2!$C:$C,A296,[2]Sheet2!$M:$M)</f>
        <v>308000</v>
      </c>
      <c r="E296">
        <f t="shared" si="4"/>
        <v>2.0000000018626451E-2</v>
      </c>
    </row>
    <row r="297" spans="1:5" x14ac:dyDescent="0.25">
      <c r="A297" t="s">
        <v>2361</v>
      </c>
      <c r="B297">
        <v>352000.02</v>
      </c>
      <c r="C297" t="e">
        <f>VLOOKUP(A297,Defaut!O:O,2,0)</f>
        <v>#REF!</v>
      </c>
      <c r="D297">
        <f>SUMIF([2]Sheet2!$C:$C,A297,[2]Sheet2!$M:$M)</f>
        <v>352000</v>
      </c>
      <c r="E297">
        <f t="shared" si="4"/>
        <v>-2.0000000018626451E-2</v>
      </c>
    </row>
    <row r="298" spans="1:5" x14ac:dyDescent="0.25">
      <c r="A298" t="s">
        <v>2353</v>
      </c>
      <c r="B298">
        <v>192000</v>
      </c>
      <c r="C298" t="e">
        <f>VLOOKUP(A298,Defaut!O:O,2,0)</f>
        <v>#REF!</v>
      </c>
      <c r="D298">
        <f>SUMIF([2]Sheet2!$C:$C,A298,[2]Sheet2!$M:$M)</f>
        <v>192000</v>
      </c>
      <c r="E298">
        <f t="shared" si="4"/>
        <v>0</v>
      </c>
    </row>
    <row r="299" spans="1:5" x14ac:dyDescent="0.25">
      <c r="A299" t="s">
        <v>2345</v>
      </c>
      <c r="B299">
        <v>330999.99</v>
      </c>
      <c r="C299" t="e">
        <f>VLOOKUP(A299,Defaut!O:O,2,0)</f>
        <v>#REF!</v>
      </c>
      <c r="D299">
        <f>SUMIF([2]Sheet2!$C:$C,A299,[2]Sheet2!$M:$M)</f>
        <v>331000</v>
      </c>
      <c r="E299">
        <f t="shared" si="4"/>
        <v>1.0000000009313226E-2</v>
      </c>
    </row>
    <row r="300" spans="1:5" x14ac:dyDescent="0.25">
      <c r="A300" t="s">
        <v>2337</v>
      </c>
      <c r="B300">
        <v>144999.99</v>
      </c>
      <c r="C300" t="e">
        <f>VLOOKUP(A300,Defaut!O:O,2,0)</f>
        <v>#REF!</v>
      </c>
      <c r="D300">
        <f>SUMIF([2]Sheet2!$C:$C,A300,[2]Sheet2!$M:$M)</f>
        <v>145000</v>
      </c>
      <c r="E300">
        <f t="shared" si="4"/>
        <v>1.0000000009313226E-2</v>
      </c>
    </row>
    <row r="301" spans="1:5" x14ac:dyDescent="0.25">
      <c r="A301" t="s">
        <v>2329</v>
      </c>
      <c r="B301">
        <v>268000</v>
      </c>
      <c r="C301" t="e">
        <f>VLOOKUP(A301,Defaut!O:O,2,0)</f>
        <v>#REF!</v>
      </c>
      <c r="D301">
        <f>SUMIF([2]Sheet2!$C:$C,A301,[2]Sheet2!$M:$M)</f>
        <v>268000</v>
      </c>
      <c r="E301">
        <f t="shared" si="4"/>
        <v>0</v>
      </c>
    </row>
    <row r="302" spans="1:5" x14ac:dyDescent="0.25">
      <c r="A302" t="s">
        <v>2321</v>
      </c>
      <c r="B302">
        <v>130000</v>
      </c>
      <c r="C302" t="e">
        <f>VLOOKUP(A302,Defaut!O:O,2,0)</f>
        <v>#REF!</v>
      </c>
      <c r="D302">
        <f>SUMIF([2]Sheet2!$C:$C,A302,[2]Sheet2!$M:$M)</f>
        <v>130000</v>
      </c>
      <c r="E302">
        <f t="shared" si="4"/>
        <v>0</v>
      </c>
    </row>
    <row r="303" spans="1:5" x14ac:dyDescent="0.25">
      <c r="A303" t="s">
        <v>2313</v>
      </c>
      <c r="B303">
        <v>180999.99</v>
      </c>
      <c r="C303" t="e">
        <f>VLOOKUP(A303,Defaut!O:O,2,0)</f>
        <v>#REF!</v>
      </c>
      <c r="D303">
        <f>SUMIF([2]Sheet2!$C:$C,A303,[2]Sheet2!$M:$M)</f>
        <v>181000</v>
      </c>
      <c r="E303">
        <f t="shared" si="4"/>
        <v>1.0000000009313226E-2</v>
      </c>
    </row>
    <row r="304" spans="1:5" x14ac:dyDescent="0.25">
      <c r="A304" t="s">
        <v>2305</v>
      </c>
      <c r="B304">
        <v>322000.02</v>
      </c>
      <c r="C304" t="e">
        <f>VLOOKUP(A304,Defaut!O:O,2,0)</f>
        <v>#REF!</v>
      </c>
      <c r="D304">
        <f>SUMIF([2]Sheet2!$C:$C,A304,[2]Sheet2!$M:$M)</f>
        <v>322000</v>
      </c>
      <c r="E304">
        <f t="shared" si="4"/>
        <v>-2.0000000018626451E-2</v>
      </c>
    </row>
    <row r="305" spans="1:5" x14ac:dyDescent="0.25">
      <c r="A305" t="s">
        <v>2297</v>
      </c>
      <c r="B305">
        <v>357000</v>
      </c>
      <c r="C305" t="e">
        <f>VLOOKUP(A305,Defaut!O:O,2,0)</f>
        <v>#REF!</v>
      </c>
      <c r="D305">
        <f>SUMIF([2]Sheet2!$C:$C,A305,[2]Sheet2!$M:$M)</f>
        <v>357000</v>
      </c>
      <c r="E305">
        <f t="shared" si="4"/>
        <v>0</v>
      </c>
    </row>
    <row r="306" spans="1:5" x14ac:dyDescent="0.25">
      <c r="A306" t="s">
        <v>2289</v>
      </c>
      <c r="B306">
        <v>289999.98</v>
      </c>
      <c r="C306" t="e">
        <f>VLOOKUP(A306,Defaut!O:O,2,0)</f>
        <v>#REF!</v>
      </c>
      <c r="D306">
        <f>SUMIF([2]Sheet2!$C:$C,A306,[2]Sheet2!$M:$M)</f>
        <v>290000</v>
      </c>
      <c r="E306">
        <f t="shared" si="4"/>
        <v>2.0000000018626451E-2</v>
      </c>
    </row>
    <row r="307" spans="1:5" x14ac:dyDescent="0.25">
      <c r="A307" t="s">
        <v>2281</v>
      </c>
      <c r="B307">
        <v>124000</v>
      </c>
      <c r="C307" t="e">
        <f>VLOOKUP(A307,Defaut!O:O,2,0)</f>
        <v>#REF!</v>
      </c>
      <c r="D307">
        <f>SUMIF([2]Sheet2!$C:$C,A307,[2]Sheet2!$M:$M)</f>
        <v>124000</v>
      </c>
      <c r="E307">
        <f t="shared" si="4"/>
        <v>0</v>
      </c>
    </row>
    <row r="308" spans="1:5" x14ac:dyDescent="0.25">
      <c r="A308" t="s">
        <v>2273</v>
      </c>
      <c r="B308">
        <v>357000</v>
      </c>
      <c r="C308" t="e">
        <f>VLOOKUP(A308,Defaut!O:O,2,0)</f>
        <v>#REF!</v>
      </c>
      <c r="D308">
        <f>SUMIF([2]Sheet2!$C:$C,A308,[2]Sheet2!$M:$M)</f>
        <v>357000</v>
      </c>
      <c r="E308">
        <f t="shared" si="4"/>
        <v>0</v>
      </c>
    </row>
    <row r="309" spans="1:5" x14ac:dyDescent="0.25">
      <c r="A309" t="s">
        <v>2265</v>
      </c>
      <c r="B309">
        <v>385000</v>
      </c>
      <c r="C309" t="e">
        <f>VLOOKUP(A309,Defaut!O:O,2,0)</f>
        <v>#REF!</v>
      </c>
      <c r="D309">
        <f>SUMIF([2]Sheet2!$C:$C,A309,[2]Sheet2!$M:$M)</f>
        <v>385000</v>
      </c>
      <c r="E309">
        <f t="shared" si="4"/>
        <v>0</v>
      </c>
    </row>
    <row r="310" spans="1:5" x14ac:dyDescent="0.25">
      <c r="A310" t="s">
        <v>2257</v>
      </c>
      <c r="B310">
        <v>140499.99</v>
      </c>
      <c r="C310" t="e">
        <f>VLOOKUP(A310,Defaut!O:O,2,0)</f>
        <v>#REF!</v>
      </c>
      <c r="D310">
        <f>SUMIF([2]Sheet2!$C:$C,A310,[2]Sheet2!$M:$M)</f>
        <v>140500</v>
      </c>
      <c r="E310">
        <f t="shared" si="4"/>
        <v>1.0000000009313226E-2</v>
      </c>
    </row>
    <row r="311" spans="1:5" x14ac:dyDescent="0.25">
      <c r="A311" t="s">
        <v>2249</v>
      </c>
      <c r="B311">
        <v>140499.99</v>
      </c>
      <c r="C311" t="e">
        <f>VLOOKUP(A311,Defaut!O:O,2,0)</f>
        <v>#REF!</v>
      </c>
      <c r="D311">
        <f>SUMIF([2]Sheet2!$C:$C,A311,[2]Sheet2!$M:$M)</f>
        <v>140500</v>
      </c>
      <c r="E311">
        <f t="shared" si="4"/>
        <v>1.0000000009313226E-2</v>
      </c>
    </row>
    <row r="312" spans="1:5" x14ac:dyDescent="0.25">
      <c r="A312" t="s">
        <v>2241</v>
      </c>
      <c r="B312">
        <v>276000</v>
      </c>
      <c r="C312" t="e">
        <f>VLOOKUP(A312,Defaut!O:O,2,0)</f>
        <v>#REF!</v>
      </c>
      <c r="D312">
        <f>SUMIF([2]Sheet2!$C:$C,A312,[2]Sheet2!$M:$M)</f>
        <v>276000</v>
      </c>
      <c r="E312">
        <f t="shared" si="4"/>
        <v>0</v>
      </c>
    </row>
    <row r="313" spans="1:5" x14ac:dyDescent="0.25">
      <c r="A313" t="s">
        <v>2233</v>
      </c>
      <c r="B313">
        <v>140499.99</v>
      </c>
      <c r="C313" t="e">
        <f>VLOOKUP(A313,Defaut!O:O,2,0)</f>
        <v>#REF!</v>
      </c>
      <c r="D313">
        <f>SUMIF([2]Sheet2!$C:$C,A313,[2]Sheet2!$M:$M)</f>
        <v>140500</v>
      </c>
      <c r="E313">
        <f t="shared" si="4"/>
        <v>1.0000000009313226E-2</v>
      </c>
    </row>
    <row r="314" spans="1:5" x14ac:dyDescent="0.25">
      <c r="A314" t="s">
        <v>2225</v>
      </c>
      <c r="B314">
        <v>180999.99</v>
      </c>
      <c r="C314" t="e">
        <f>VLOOKUP(A314,Defaut!O:O,2,0)</f>
        <v>#REF!</v>
      </c>
      <c r="D314">
        <f>SUMIF([2]Sheet2!$C:$C,A314,[2]Sheet2!$M:$M)</f>
        <v>181000</v>
      </c>
      <c r="E314">
        <f t="shared" si="4"/>
        <v>1.0000000009313226E-2</v>
      </c>
    </row>
    <row r="315" spans="1:5" x14ac:dyDescent="0.25">
      <c r="A315" t="s">
        <v>2217</v>
      </c>
      <c r="B315">
        <v>123000</v>
      </c>
      <c r="C315" t="e">
        <f>VLOOKUP(A315,Defaut!O:O,2,0)</f>
        <v>#REF!</v>
      </c>
      <c r="D315">
        <f>SUMIF([2]Sheet2!$C:$C,A315,[2]Sheet2!$M:$M)</f>
        <v>123000</v>
      </c>
      <c r="E315">
        <f t="shared" si="4"/>
        <v>0</v>
      </c>
    </row>
    <row r="316" spans="1:5" x14ac:dyDescent="0.25">
      <c r="A316" t="s">
        <v>2209</v>
      </c>
      <c r="B316">
        <v>357000</v>
      </c>
      <c r="C316" t="e">
        <f>VLOOKUP(A316,Defaut!O:O,2,0)</f>
        <v>#REF!</v>
      </c>
      <c r="D316">
        <f>SUMIF([2]Sheet2!$C:$C,A316,[2]Sheet2!$M:$M)</f>
        <v>357000</v>
      </c>
      <c r="E316">
        <f t="shared" si="4"/>
        <v>0</v>
      </c>
    </row>
    <row r="317" spans="1:5" x14ac:dyDescent="0.25">
      <c r="A317" t="s">
        <v>2201</v>
      </c>
      <c r="B317">
        <v>180999.99</v>
      </c>
      <c r="C317" t="e">
        <f>VLOOKUP(A317,Defaut!O:O,2,0)</f>
        <v>#REF!</v>
      </c>
      <c r="D317">
        <f>SUMIF([2]Sheet2!$C:$C,A317,[2]Sheet2!$M:$M)</f>
        <v>181000</v>
      </c>
      <c r="E317">
        <f t="shared" si="4"/>
        <v>1.0000000009313226E-2</v>
      </c>
    </row>
    <row r="318" spans="1:5" x14ac:dyDescent="0.25">
      <c r="A318" t="s">
        <v>2193</v>
      </c>
      <c r="B318">
        <v>140499.99</v>
      </c>
      <c r="C318" t="e">
        <f>VLOOKUP(A318,Defaut!O:O,2,0)</f>
        <v>#REF!</v>
      </c>
      <c r="D318">
        <f>SUMIF([2]Sheet2!$C:$C,A318,[2]Sheet2!$M:$M)</f>
        <v>140500</v>
      </c>
      <c r="E318">
        <f t="shared" si="4"/>
        <v>1.0000000009313226E-2</v>
      </c>
    </row>
    <row r="319" spans="1:5" x14ac:dyDescent="0.25">
      <c r="A319" t="s">
        <v>2186</v>
      </c>
      <c r="B319">
        <v>180999.99</v>
      </c>
      <c r="C319" t="e">
        <f>VLOOKUP(A319,Defaut!O:O,2,0)</f>
        <v>#REF!</v>
      </c>
      <c r="D319">
        <f>SUMIF([2]Sheet2!$C:$C,A319,[2]Sheet2!$M:$M)</f>
        <v>181000</v>
      </c>
      <c r="E319">
        <f t="shared" si="4"/>
        <v>1.0000000009313226E-2</v>
      </c>
    </row>
    <row r="320" spans="1:5" x14ac:dyDescent="0.25">
      <c r="A320" t="s">
        <v>2178</v>
      </c>
      <c r="B320">
        <v>140499.99</v>
      </c>
      <c r="C320" t="e">
        <f>VLOOKUP(A320,Defaut!O:O,2,0)</f>
        <v>#REF!</v>
      </c>
      <c r="D320">
        <f>SUMIF([2]Sheet2!$C:$C,A320,[2]Sheet2!$M:$M)</f>
        <v>140500</v>
      </c>
      <c r="E320">
        <f t="shared" si="4"/>
        <v>1.0000000009313226E-2</v>
      </c>
    </row>
    <row r="321" spans="1:5" x14ac:dyDescent="0.25">
      <c r="A321" t="s">
        <v>2170</v>
      </c>
      <c r="B321">
        <v>352000.02</v>
      </c>
      <c r="C321" t="e">
        <f>VLOOKUP(A321,Defaut!O:O,2,0)</f>
        <v>#REF!</v>
      </c>
      <c r="D321">
        <f>SUMIF([2]Sheet2!$C:$C,A321,[2]Sheet2!$M:$M)</f>
        <v>352000</v>
      </c>
      <c r="E321">
        <f t="shared" si="4"/>
        <v>-2.0000000018626451E-2</v>
      </c>
    </row>
    <row r="322" spans="1:5" x14ac:dyDescent="0.25">
      <c r="A322" t="s">
        <v>2162</v>
      </c>
      <c r="B322">
        <v>357000</v>
      </c>
      <c r="C322" t="e">
        <f>VLOOKUP(A322,Defaut!O:O,2,0)</f>
        <v>#REF!</v>
      </c>
      <c r="D322">
        <f>SUMIF([2]Sheet2!$C:$C,A322,[2]Sheet2!$M:$M)</f>
        <v>357000</v>
      </c>
      <c r="E322">
        <f t="shared" ref="E322:E385" si="5">D322-B322</f>
        <v>0</v>
      </c>
    </row>
    <row r="323" spans="1:5" x14ac:dyDescent="0.25">
      <c r="A323" t="s">
        <v>2154</v>
      </c>
      <c r="B323">
        <v>180999.99</v>
      </c>
      <c r="C323" t="e">
        <f>VLOOKUP(A323,Defaut!O:O,2,0)</f>
        <v>#REF!</v>
      </c>
      <c r="D323">
        <f>SUMIF([2]Sheet2!$C:$C,A323,[2]Sheet2!$M:$M)</f>
        <v>181000</v>
      </c>
      <c r="E323">
        <f t="shared" si="5"/>
        <v>1.0000000009313226E-2</v>
      </c>
    </row>
    <row r="324" spans="1:5" x14ac:dyDescent="0.25">
      <c r="A324" t="s">
        <v>2146</v>
      </c>
      <c r="B324">
        <v>397000.02</v>
      </c>
      <c r="C324" t="e">
        <f>VLOOKUP(A324,Defaut!O:O,2,0)</f>
        <v>#REF!</v>
      </c>
      <c r="D324">
        <f>SUMIF([2]Sheet2!$C:$C,A324,[2]Sheet2!$M:$M)</f>
        <v>397000</v>
      </c>
      <c r="E324">
        <f t="shared" si="5"/>
        <v>-2.0000000018626451E-2</v>
      </c>
    </row>
    <row r="325" spans="1:5" x14ac:dyDescent="0.25">
      <c r="A325" t="s">
        <v>2138</v>
      </c>
      <c r="B325">
        <v>274999.98</v>
      </c>
      <c r="C325" t="e">
        <f>VLOOKUP(A325,Defaut!O:O,2,0)</f>
        <v>#REF!</v>
      </c>
      <c r="D325">
        <f>SUMIF([2]Sheet2!$C:$C,A325,[2]Sheet2!$M:$M)</f>
        <v>275000</v>
      </c>
      <c r="E325">
        <f t="shared" si="5"/>
        <v>2.0000000018626451E-2</v>
      </c>
    </row>
    <row r="326" spans="1:5" x14ac:dyDescent="0.25">
      <c r="A326" t="s">
        <v>2130</v>
      </c>
      <c r="B326">
        <v>357000</v>
      </c>
      <c r="C326" t="e">
        <f>VLOOKUP(A326,Defaut!O:O,2,0)</f>
        <v>#REF!</v>
      </c>
      <c r="D326">
        <f>SUMIF([2]Sheet2!$C:$C,A326,[2]Sheet2!$M:$M)</f>
        <v>357000</v>
      </c>
      <c r="E326">
        <f t="shared" si="5"/>
        <v>0</v>
      </c>
    </row>
    <row r="327" spans="1:5" x14ac:dyDescent="0.25">
      <c r="A327" t="s">
        <v>2114</v>
      </c>
      <c r="B327">
        <v>124000</v>
      </c>
      <c r="C327" t="e">
        <f>VLOOKUP(A327,Defaut!O:O,2,0)</f>
        <v>#REF!</v>
      </c>
      <c r="D327">
        <f>SUMIF([2]Sheet2!$C:$C,A327,[2]Sheet2!$M:$M)</f>
        <v>124000</v>
      </c>
      <c r="E327">
        <f t="shared" si="5"/>
        <v>0</v>
      </c>
    </row>
    <row r="328" spans="1:5" x14ac:dyDescent="0.25">
      <c r="A328" t="s">
        <v>2106</v>
      </c>
      <c r="B328">
        <v>352000.02</v>
      </c>
      <c r="C328" t="e">
        <f>VLOOKUP(A328,Defaut!O:O,2,0)</f>
        <v>#REF!</v>
      </c>
      <c r="D328">
        <f>SUMIF([2]Sheet2!$C:$C,A328,[2]Sheet2!$M:$M)</f>
        <v>352000</v>
      </c>
      <c r="E328">
        <f t="shared" si="5"/>
        <v>-2.0000000018626451E-2</v>
      </c>
    </row>
    <row r="329" spans="1:5" x14ac:dyDescent="0.25">
      <c r="A329" t="s">
        <v>2098</v>
      </c>
      <c r="B329">
        <v>140499.99</v>
      </c>
      <c r="C329" t="e">
        <f>VLOOKUP(A329,Defaut!O:O,2,0)</f>
        <v>#REF!</v>
      </c>
      <c r="D329">
        <f>SUMIF([2]Sheet2!$C:$C,A329,[2]Sheet2!$M:$M)</f>
        <v>140500</v>
      </c>
      <c r="E329">
        <f t="shared" si="5"/>
        <v>1.0000000009313226E-2</v>
      </c>
    </row>
    <row r="330" spans="1:5" x14ac:dyDescent="0.25">
      <c r="A330" t="s">
        <v>2090</v>
      </c>
      <c r="B330">
        <v>357000</v>
      </c>
      <c r="C330" t="e">
        <f>VLOOKUP(A330,Defaut!O:O,2,0)</f>
        <v>#REF!</v>
      </c>
      <c r="D330">
        <f>SUMIF([2]Sheet2!$C:$C,A330,[2]Sheet2!$M:$M)</f>
        <v>357000</v>
      </c>
      <c r="E330">
        <f t="shared" si="5"/>
        <v>0</v>
      </c>
    </row>
    <row r="331" spans="1:5" x14ac:dyDescent="0.25">
      <c r="A331" t="s">
        <v>2082</v>
      </c>
      <c r="B331">
        <v>180999.99</v>
      </c>
      <c r="C331" t="e">
        <f>VLOOKUP(A331,Defaut!O:O,2,0)</f>
        <v>#REF!</v>
      </c>
      <c r="D331">
        <f>SUMIF([2]Sheet2!$C:$C,A331,[2]Sheet2!$M:$M)</f>
        <v>181000</v>
      </c>
      <c r="E331">
        <f t="shared" si="5"/>
        <v>1.0000000009313226E-2</v>
      </c>
    </row>
    <row r="332" spans="1:5" x14ac:dyDescent="0.25">
      <c r="A332" t="s">
        <v>2074</v>
      </c>
      <c r="B332">
        <v>180999.99</v>
      </c>
      <c r="C332" t="e">
        <f>VLOOKUP(A332,Defaut!O:O,2,0)</f>
        <v>#REF!</v>
      </c>
      <c r="D332">
        <f>SUMIF([2]Sheet2!$C:$C,A332,[2]Sheet2!$M:$M)</f>
        <v>181000</v>
      </c>
      <c r="E332">
        <f t="shared" si="5"/>
        <v>1.0000000009313226E-2</v>
      </c>
    </row>
    <row r="333" spans="1:5" x14ac:dyDescent="0.25">
      <c r="A333" t="s">
        <v>2066</v>
      </c>
      <c r="B333">
        <v>284499.99</v>
      </c>
      <c r="C333" t="e">
        <f>VLOOKUP(A333,Defaut!O:O,2,0)</f>
        <v>#REF!</v>
      </c>
      <c r="D333">
        <f>SUMIF([2]Sheet2!$C:$C,A333,[2]Sheet2!$M:$M)</f>
        <v>284500</v>
      </c>
      <c r="E333">
        <f t="shared" si="5"/>
        <v>1.0000000009313226E-2</v>
      </c>
    </row>
    <row r="334" spans="1:5" x14ac:dyDescent="0.25">
      <c r="A334" t="s">
        <v>2058</v>
      </c>
      <c r="B334">
        <v>124000</v>
      </c>
      <c r="C334" t="e">
        <f>VLOOKUP(A334,Defaut!O:O,2,0)</f>
        <v>#REF!</v>
      </c>
      <c r="D334">
        <f>SUMIF([2]Sheet2!$C:$C,A334,[2]Sheet2!$M:$M)</f>
        <v>124000</v>
      </c>
      <c r="E334">
        <f t="shared" si="5"/>
        <v>0</v>
      </c>
    </row>
    <row r="335" spans="1:5" x14ac:dyDescent="0.25">
      <c r="A335" t="s">
        <v>2050</v>
      </c>
      <c r="B335">
        <v>140499.99</v>
      </c>
      <c r="C335" t="e">
        <f>VLOOKUP(A335,Defaut!O:O,2,0)</f>
        <v>#REF!</v>
      </c>
      <c r="D335">
        <f>SUMIF([2]Sheet2!$C:$C,A335,[2]Sheet2!$M:$M)</f>
        <v>140500</v>
      </c>
      <c r="E335">
        <f t="shared" si="5"/>
        <v>1.0000000009313226E-2</v>
      </c>
    </row>
    <row r="336" spans="1:5" x14ac:dyDescent="0.25">
      <c r="A336" t="s">
        <v>2042</v>
      </c>
      <c r="B336">
        <v>124000</v>
      </c>
      <c r="C336" t="e">
        <f>VLOOKUP(A336,Defaut!O:O,2,0)</f>
        <v>#REF!</v>
      </c>
      <c r="D336">
        <f>SUMIF([2]Sheet2!$C:$C,A336,[2]Sheet2!$M:$M)</f>
        <v>124000</v>
      </c>
      <c r="E336">
        <f t="shared" si="5"/>
        <v>0</v>
      </c>
    </row>
    <row r="337" spans="1:5" x14ac:dyDescent="0.25">
      <c r="A337" t="s">
        <v>2034</v>
      </c>
      <c r="B337">
        <v>352000.02</v>
      </c>
      <c r="C337" t="e">
        <f>VLOOKUP(A337,Defaut!O:O,2,0)</f>
        <v>#REF!</v>
      </c>
      <c r="D337">
        <f>SUMIF([2]Sheet2!$C:$C,A337,[2]Sheet2!$M:$M)</f>
        <v>352000</v>
      </c>
      <c r="E337">
        <f t="shared" si="5"/>
        <v>-2.0000000018626451E-2</v>
      </c>
    </row>
    <row r="338" spans="1:5" x14ac:dyDescent="0.25">
      <c r="A338" t="s">
        <v>2026</v>
      </c>
      <c r="B338">
        <v>357000</v>
      </c>
      <c r="C338" t="e">
        <f>VLOOKUP(A338,Defaut!O:O,2,0)</f>
        <v>#REF!</v>
      </c>
      <c r="D338">
        <f>SUMIF([2]Sheet2!$C:$C,A338,[2]Sheet2!$M:$M)</f>
        <v>357000</v>
      </c>
      <c r="E338">
        <f t="shared" si="5"/>
        <v>0</v>
      </c>
    </row>
    <row r="339" spans="1:5" x14ac:dyDescent="0.25">
      <c r="A339" t="s">
        <v>2018</v>
      </c>
      <c r="B339">
        <v>140499.99</v>
      </c>
      <c r="C339" t="e">
        <f>VLOOKUP(A339,Defaut!O:O,2,0)</f>
        <v>#REF!</v>
      </c>
      <c r="D339">
        <f>SUMIF([2]Sheet2!$C:$C,A339,[2]Sheet2!$M:$M)</f>
        <v>140500</v>
      </c>
      <c r="E339">
        <f t="shared" si="5"/>
        <v>1.0000000009313226E-2</v>
      </c>
    </row>
    <row r="340" spans="1:5" x14ac:dyDescent="0.25">
      <c r="A340" t="s">
        <v>2010</v>
      </c>
      <c r="B340">
        <v>352000.02</v>
      </c>
      <c r="C340" t="e">
        <f>VLOOKUP(A340,Defaut!O:O,2,0)</f>
        <v>#REF!</v>
      </c>
      <c r="D340">
        <f>SUMIF([2]Sheet2!$C:$C,A340,[2]Sheet2!$M:$M)</f>
        <v>352000</v>
      </c>
      <c r="E340">
        <f t="shared" si="5"/>
        <v>-2.0000000018626451E-2</v>
      </c>
    </row>
    <row r="341" spans="1:5" x14ac:dyDescent="0.25">
      <c r="A341" t="s">
        <v>2002</v>
      </c>
      <c r="B341">
        <v>357000</v>
      </c>
      <c r="C341" t="e">
        <f>VLOOKUP(A341,Defaut!O:O,2,0)</f>
        <v>#REF!</v>
      </c>
      <c r="D341">
        <f>SUMIF([2]Sheet2!$C:$C,A341,[2]Sheet2!$M:$M)</f>
        <v>357000</v>
      </c>
      <c r="E341">
        <f t="shared" si="5"/>
        <v>0</v>
      </c>
    </row>
    <row r="342" spans="1:5" x14ac:dyDescent="0.25">
      <c r="A342" t="s">
        <v>1994</v>
      </c>
      <c r="B342">
        <v>357000</v>
      </c>
      <c r="C342" t="e">
        <f>VLOOKUP(A342,Defaut!O:O,2,0)</f>
        <v>#REF!</v>
      </c>
      <c r="D342">
        <f>SUMIF([2]Sheet2!$C:$C,A342,[2]Sheet2!$M:$M)</f>
        <v>357000</v>
      </c>
      <c r="E342">
        <f t="shared" si="5"/>
        <v>0</v>
      </c>
    </row>
    <row r="343" spans="1:5" x14ac:dyDescent="0.25">
      <c r="A343" t="s">
        <v>1986</v>
      </c>
      <c r="B343">
        <v>124000</v>
      </c>
      <c r="C343" t="e">
        <f>VLOOKUP(A343,Defaut!O:O,2,0)</f>
        <v>#REF!</v>
      </c>
      <c r="D343">
        <f>SUMIF([2]Sheet2!$C:$C,A343,[2]Sheet2!$M:$M)</f>
        <v>124000</v>
      </c>
      <c r="E343">
        <f t="shared" si="5"/>
        <v>0</v>
      </c>
    </row>
    <row r="344" spans="1:5" x14ac:dyDescent="0.25">
      <c r="A344" t="s">
        <v>1978</v>
      </c>
      <c r="B344">
        <v>257000</v>
      </c>
      <c r="C344" t="e">
        <f>VLOOKUP(A344,Defaut!O:O,2,0)</f>
        <v>#REF!</v>
      </c>
      <c r="D344">
        <f>SUMIF([2]Sheet2!$C:$C,A344,[2]Sheet2!$M:$M)</f>
        <v>257000</v>
      </c>
      <c r="E344">
        <f t="shared" si="5"/>
        <v>0</v>
      </c>
    </row>
    <row r="345" spans="1:5" x14ac:dyDescent="0.25">
      <c r="A345" t="s">
        <v>1970</v>
      </c>
      <c r="B345">
        <v>180999.99</v>
      </c>
      <c r="C345" t="e">
        <f>VLOOKUP(A345,Defaut!O:O,2,0)</f>
        <v>#REF!</v>
      </c>
      <c r="D345">
        <f>SUMIF([2]Sheet2!$C:$C,A345,[2]Sheet2!$M:$M)</f>
        <v>181000</v>
      </c>
      <c r="E345">
        <f t="shared" si="5"/>
        <v>1.0000000009313226E-2</v>
      </c>
    </row>
    <row r="346" spans="1:5" x14ac:dyDescent="0.25">
      <c r="A346" t="s">
        <v>1962</v>
      </c>
      <c r="B346">
        <v>140499.99</v>
      </c>
      <c r="C346" t="e">
        <f>VLOOKUP(A346,Defaut!O:O,2,0)</f>
        <v>#REF!</v>
      </c>
      <c r="D346">
        <f>SUMIF([2]Sheet2!$C:$C,A346,[2]Sheet2!$M:$M)</f>
        <v>140500</v>
      </c>
      <c r="E346">
        <f t="shared" si="5"/>
        <v>1.0000000009313226E-2</v>
      </c>
    </row>
    <row r="347" spans="1:5" x14ac:dyDescent="0.25">
      <c r="A347" t="s">
        <v>1954</v>
      </c>
      <c r="B347">
        <v>364999.98</v>
      </c>
      <c r="C347" t="e">
        <f>VLOOKUP(A347,Defaut!O:O,2,0)</f>
        <v>#REF!</v>
      </c>
      <c r="D347">
        <f>SUMIF([2]Sheet2!$C:$C,A347,[2]Sheet2!$M:$M)</f>
        <v>365000</v>
      </c>
      <c r="E347">
        <f t="shared" si="5"/>
        <v>2.0000000018626451E-2</v>
      </c>
    </row>
    <row r="348" spans="1:5" x14ac:dyDescent="0.25">
      <c r="A348" t="s">
        <v>1946</v>
      </c>
      <c r="B348">
        <v>130000</v>
      </c>
      <c r="C348" t="e">
        <f>VLOOKUP(A348,Defaut!O:O,2,0)</f>
        <v>#REF!</v>
      </c>
      <c r="D348">
        <f>SUMIF([2]Sheet2!$C:$C,A348,[2]Sheet2!$M:$M)</f>
        <v>130000</v>
      </c>
      <c r="E348">
        <f t="shared" si="5"/>
        <v>0</v>
      </c>
    </row>
    <row r="349" spans="1:5" x14ac:dyDescent="0.25">
      <c r="A349" t="s">
        <v>1938</v>
      </c>
      <c r="B349">
        <v>355999.98</v>
      </c>
      <c r="C349" t="e">
        <f>VLOOKUP(A349,Defaut!O:O,2,0)</f>
        <v>#REF!</v>
      </c>
      <c r="D349">
        <f>SUMIF([2]Sheet2!$C:$C,A349,[2]Sheet2!$M:$M)</f>
        <v>356000</v>
      </c>
      <c r="E349">
        <f t="shared" si="5"/>
        <v>2.0000000018626451E-2</v>
      </c>
    </row>
    <row r="350" spans="1:5" x14ac:dyDescent="0.25">
      <c r="A350" t="s">
        <v>1930</v>
      </c>
      <c r="B350">
        <v>130000</v>
      </c>
      <c r="C350" t="e">
        <f>VLOOKUP(A350,Defaut!O:O,2,0)</f>
        <v>#REF!</v>
      </c>
      <c r="D350">
        <f>SUMIF([2]Sheet2!$C:$C,A350,[2]Sheet2!$M:$M)</f>
        <v>130000</v>
      </c>
      <c r="E350">
        <f t="shared" si="5"/>
        <v>0</v>
      </c>
    </row>
    <row r="351" spans="1:5" x14ac:dyDescent="0.25">
      <c r="A351" t="s">
        <v>1922</v>
      </c>
      <c r="B351">
        <v>180999.99</v>
      </c>
      <c r="C351" t="e">
        <f>VLOOKUP(A351,Defaut!O:O,2,0)</f>
        <v>#REF!</v>
      </c>
      <c r="D351">
        <f>SUMIF([2]Sheet2!$C:$C,A351,[2]Sheet2!$M:$M)</f>
        <v>181000</v>
      </c>
      <c r="E351">
        <f t="shared" si="5"/>
        <v>1.0000000009313226E-2</v>
      </c>
    </row>
    <row r="352" spans="1:5" x14ac:dyDescent="0.25">
      <c r="A352" t="s">
        <v>1914</v>
      </c>
      <c r="B352">
        <v>379999.98</v>
      </c>
      <c r="C352" t="e">
        <f>VLOOKUP(A352,Defaut!O:O,2,0)</f>
        <v>#REF!</v>
      </c>
      <c r="D352">
        <f>SUMIF([2]Sheet2!$C:$C,A352,[2]Sheet2!$M:$M)</f>
        <v>380000</v>
      </c>
      <c r="E352">
        <f t="shared" si="5"/>
        <v>2.0000000018626451E-2</v>
      </c>
    </row>
    <row r="353" spans="1:5" x14ac:dyDescent="0.25">
      <c r="A353" t="s">
        <v>1906</v>
      </c>
      <c r="B353">
        <v>341000</v>
      </c>
      <c r="C353" t="e">
        <f>VLOOKUP(A353,Defaut!O:O,2,0)</f>
        <v>#REF!</v>
      </c>
      <c r="D353">
        <f>SUMIF([2]Sheet2!$C:$C,A353,[2]Sheet2!$M:$M)</f>
        <v>341000</v>
      </c>
      <c r="E353">
        <f t="shared" si="5"/>
        <v>0</v>
      </c>
    </row>
    <row r="354" spans="1:5" x14ac:dyDescent="0.25">
      <c r="A354" t="s">
        <v>1898</v>
      </c>
      <c r="B354">
        <v>357000</v>
      </c>
      <c r="C354" t="e">
        <f>VLOOKUP(A354,Defaut!O:O,2,0)</f>
        <v>#REF!</v>
      </c>
      <c r="D354">
        <f>SUMIF([2]Sheet2!$C:$C,A354,[2]Sheet2!$M:$M)</f>
        <v>357000</v>
      </c>
      <c r="E354">
        <f t="shared" si="5"/>
        <v>0</v>
      </c>
    </row>
    <row r="355" spans="1:5" x14ac:dyDescent="0.25">
      <c r="A355" t="s">
        <v>1890</v>
      </c>
      <c r="B355">
        <v>357000</v>
      </c>
      <c r="C355" t="e">
        <f>VLOOKUP(A355,Defaut!O:O,2,0)</f>
        <v>#REF!</v>
      </c>
      <c r="D355">
        <f>SUMIF([2]Sheet2!$C:$C,A355,[2]Sheet2!$M:$M)</f>
        <v>357000</v>
      </c>
      <c r="E355">
        <f t="shared" si="5"/>
        <v>0</v>
      </c>
    </row>
    <row r="356" spans="1:5" x14ac:dyDescent="0.25">
      <c r="A356" t="s">
        <v>1882</v>
      </c>
      <c r="B356">
        <v>201999.99</v>
      </c>
      <c r="C356" t="e">
        <f>VLOOKUP(A356,Defaut!O:O,2,0)</f>
        <v>#REF!</v>
      </c>
      <c r="D356">
        <f>SUMIF([2]Sheet2!$C:$C,A356,[2]Sheet2!$M:$M)</f>
        <v>202000</v>
      </c>
      <c r="E356">
        <f t="shared" si="5"/>
        <v>1.0000000009313226E-2</v>
      </c>
    </row>
    <row r="357" spans="1:5" x14ac:dyDescent="0.25">
      <c r="A357" t="s">
        <v>1874</v>
      </c>
      <c r="B357">
        <v>180999.99</v>
      </c>
      <c r="C357" t="e">
        <f>VLOOKUP(A357,Defaut!O:O,2,0)</f>
        <v>#REF!</v>
      </c>
      <c r="D357">
        <f>SUMIF([2]Sheet2!$C:$C,A357,[2]Sheet2!$M:$M)</f>
        <v>181000</v>
      </c>
      <c r="E357">
        <f t="shared" si="5"/>
        <v>1.0000000009313226E-2</v>
      </c>
    </row>
    <row r="358" spans="1:5" x14ac:dyDescent="0.25">
      <c r="A358" t="s">
        <v>1866</v>
      </c>
      <c r="B358">
        <v>357000</v>
      </c>
      <c r="C358" t="e">
        <f>VLOOKUP(A358,Defaut!O:O,2,0)</f>
        <v>#REF!</v>
      </c>
      <c r="D358">
        <f>SUMIF([2]Sheet2!$C:$C,A358,[2]Sheet2!$M:$M)</f>
        <v>357000</v>
      </c>
      <c r="E358">
        <f t="shared" si="5"/>
        <v>0</v>
      </c>
    </row>
    <row r="359" spans="1:5" x14ac:dyDescent="0.25">
      <c r="A359" t="s">
        <v>1858</v>
      </c>
      <c r="B359">
        <v>124000</v>
      </c>
      <c r="C359" t="e">
        <f>VLOOKUP(A359,Defaut!O:O,2,0)</f>
        <v>#REF!</v>
      </c>
      <c r="D359">
        <f>SUMIF([2]Sheet2!$C:$C,A359,[2]Sheet2!$M:$M)</f>
        <v>124000</v>
      </c>
      <c r="E359">
        <f t="shared" si="5"/>
        <v>0</v>
      </c>
    </row>
    <row r="360" spans="1:5" x14ac:dyDescent="0.25">
      <c r="A360" t="s">
        <v>1850</v>
      </c>
      <c r="B360">
        <v>130000</v>
      </c>
      <c r="C360" t="e">
        <f>VLOOKUP(A360,Defaut!O:O,2,0)</f>
        <v>#REF!</v>
      </c>
      <c r="D360">
        <f>SUMIF([2]Sheet2!$C:$C,A360,[2]Sheet2!$M:$M)</f>
        <v>130000</v>
      </c>
      <c r="E360">
        <f t="shared" si="5"/>
        <v>0</v>
      </c>
    </row>
    <row r="361" spans="1:5" x14ac:dyDescent="0.25">
      <c r="A361" t="s">
        <v>1842</v>
      </c>
      <c r="B361">
        <v>144999.99</v>
      </c>
      <c r="C361" t="e">
        <f>VLOOKUP(A361,Defaut!O:O,2,0)</f>
        <v>#REF!</v>
      </c>
      <c r="D361">
        <f>SUMIF([2]Sheet2!$C:$C,A361,[2]Sheet2!$M:$M)</f>
        <v>145000</v>
      </c>
      <c r="E361">
        <f t="shared" si="5"/>
        <v>1.0000000009313226E-2</v>
      </c>
    </row>
    <row r="362" spans="1:5" x14ac:dyDescent="0.25">
      <c r="A362" t="s">
        <v>1834</v>
      </c>
      <c r="B362">
        <v>192000</v>
      </c>
      <c r="C362" t="e">
        <f>VLOOKUP(A362,Defaut!O:O,2,0)</f>
        <v>#REF!</v>
      </c>
      <c r="D362">
        <f>SUMIF([2]Sheet2!$C:$C,A362,[2]Sheet2!$M:$M)</f>
        <v>192000</v>
      </c>
      <c r="E362">
        <f t="shared" si="5"/>
        <v>0</v>
      </c>
    </row>
    <row r="363" spans="1:5" x14ac:dyDescent="0.25">
      <c r="A363" t="s">
        <v>1826</v>
      </c>
      <c r="B363">
        <v>192000</v>
      </c>
      <c r="C363" t="e">
        <f>VLOOKUP(A363,Defaut!O:O,2,0)</f>
        <v>#REF!</v>
      </c>
      <c r="D363">
        <f>SUMIF([2]Sheet2!$C:$C,A363,[2]Sheet2!$M:$M)</f>
        <v>192000</v>
      </c>
      <c r="E363">
        <f t="shared" si="5"/>
        <v>0</v>
      </c>
    </row>
    <row r="364" spans="1:5" x14ac:dyDescent="0.25">
      <c r="A364" t="s">
        <v>1818</v>
      </c>
      <c r="B364">
        <v>124000</v>
      </c>
      <c r="C364" t="e">
        <f>VLOOKUP(A364,Defaut!O:O,2,0)</f>
        <v>#REF!</v>
      </c>
      <c r="D364">
        <f>SUMIF([2]Sheet2!$C:$C,A364,[2]Sheet2!$M:$M)</f>
        <v>124000</v>
      </c>
      <c r="E364">
        <f t="shared" si="5"/>
        <v>0</v>
      </c>
    </row>
    <row r="365" spans="1:5" x14ac:dyDescent="0.25">
      <c r="A365" t="s">
        <v>1810</v>
      </c>
      <c r="B365">
        <v>274000</v>
      </c>
      <c r="C365" t="e">
        <f>VLOOKUP(A365,Defaut!O:O,2,0)</f>
        <v>#REF!</v>
      </c>
      <c r="D365">
        <f>SUMIF([2]Sheet2!$C:$C,A365,[2]Sheet2!$M:$M)</f>
        <v>274000</v>
      </c>
      <c r="E365">
        <f t="shared" si="5"/>
        <v>0</v>
      </c>
    </row>
    <row r="366" spans="1:5" x14ac:dyDescent="0.25">
      <c r="A366" t="s">
        <v>1802</v>
      </c>
      <c r="B366">
        <v>430999.98</v>
      </c>
      <c r="C366" t="e">
        <f>VLOOKUP(A366,Defaut!O:O,2,0)</f>
        <v>#REF!</v>
      </c>
      <c r="D366">
        <f>SUMIF([2]Sheet2!$C:$C,A366,[2]Sheet2!$M:$M)</f>
        <v>431000</v>
      </c>
      <c r="E366">
        <f t="shared" si="5"/>
        <v>2.0000000018626451E-2</v>
      </c>
    </row>
    <row r="367" spans="1:5" x14ac:dyDescent="0.25">
      <c r="A367" t="s">
        <v>1794</v>
      </c>
      <c r="B367">
        <v>542999.99</v>
      </c>
      <c r="C367" t="e">
        <f>VLOOKUP(A367,Defaut!O:O,2,0)</f>
        <v>#REF!</v>
      </c>
      <c r="D367">
        <f>SUMIF([2]Sheet2!$C:$C,A367,[2]Sheet2!$M:$M)</f>
        <v>543000</v>
      </c>
      <c r="E367">
        <f t="shared" si="5"/>
        <v>1.0000000009313226E-2</v>
      </c>
    </row>
    <row r="368" spans="1:5" x14ac:dyDescent="0.25">
      <c r="A368" t="s">
        <v>1786</v>
      </c>
      <c r="B368">
        <v>216000</v>
      </c>
      <c r="C368" t="e">
        <f>VLOOKUP(A368,Defaut!O:O,2,0)</f>
        <v>#REF!</v>
      </c>
      <c r="D368">
        <f>SUMIF([2]Sheet2!$C:$C,A368,[2]Sheet2!$M:$M)</f>
        <v>216000</v>
      </c>
      <c r="E368">
        <f t="shared" si="5"/>
        <v>0</v>
      </c>
    </row>
    <row r="369" spans="1:5" x14ac:dyDescent="0.25">
      <c r="A369" t="s">
        <v>1778</v>
      </c>
      <c r="B369">
        <v>357000</v>
      </c>
      <c r="C369" t="e">
        <f>VLOOKUP(A369,Defaut!O:O,2,0)</f>
        <v>#REF!</v>
      </c>
      <c r="D369">
        <f>SUMIF([2]Sheet2!$C:$C,A369,[2]Sheet2!$M:$M)</f>
        <v>357000</v>
      </c>
      <c r="E369">
        <f t="shared" si="5"/>
        <v>0</v>
      </c>
    </row>
    <row r="370" spans="1:5" x14ac:dyDescent="0.25">
      <c r="A370" t="s">
        <v>1770</v>
      </c>
      <c r="B370">
        <v>124000</v>
      </c>
      <c r="C370" t="e">
        <f>VLOOKUP(A370,Defaut!O:O,2,0)</f>
        <v>#REF!</v>
      </c>
      <c r="D370">
        <f>SUMIF([2]Sheet2!$C:$C,A370,[2]Sheet2!$M:$M)</f>
        <v>124000</v>
      </c>
      <c r="E370">
        <f t="shared" si="5"/>
        <v>0</v>
      </c>
    </row>
    <row r="371" spans="1:5" x14ac:dyDescent="0.25">
      <c r="A371" t="s">
        <v>1762</v>
      </c>
      <c r="B371">
        <v>180999.99</v>
      </c>
      <c r="C371" t="e">
        <f>VLOOKUP(A371,Defaut!O:O,2,0)</f>
        <v>#REF!</v>
      </c>
      <c r="D371">
        <f>SUMIF([2]Sheet2!$C:$C,A371,[2]Sheet2!$M:$M)</f>
        <v>181000</v>
      </c>
      <c r="E371">
        <f t="shared" si="5"/>
        <v>1.0000000009313226E-2</v>
      </c>
    </row>
    <row r="372" spans="1:5" x14ac:dyDescent="0.25">
      <c r="A372" t="s">
        <v>1754</v>
      </c>
      <c r="B372">
        <v>322000.02</v>
      </c>
      <c r="C372" t="e">
        <f>VLOOKUP(A372,Defaut!O:O,2,0)</f>
        <v>#REF!</v>
      </c>
      <c r="D372">
        <f>SUMIF([2]Sheet2!$C:$C,A372,[2]Sheet2!$M:$M)</f>
        <v>322000</v>
      </c>
      <c r="E372">
        <f t="shared" si="5"/>
        <v>-2.0000000018626451E-2</v>
      </c>
    </row>
    <row r="373" spans="1:5" x14ac:dyDescent="0.25">
      <c r="A373" t="s">
        <v>1746</v>
      </c>
      <c r="B373">
        <v>124000</v>
      </c>
      <c r="C373" t="e">
        <f>VLOOKUP(A373,Defaut!O:O,2,0)</f>
        <v>#REF!</v>
      </c>
      <c r="D373">
        <f>SUMIF([2]Sheet2!$C:$C,A373,[2]Sheet2!$M:$M)</f>
        <v>124000</v>
      </c>
      <c r="E373">
        <f t="shared" si="5"/>
        <v>0</v>
      </c>
    </row>
    <row r="374" spans="1:5" x14ac:dyDescent="0.25">
      <c r="A374" t="s">
        <v>1738</v>
      </c>
      <c r="B374">
        <v>124000</v>
      </c>
      <c r="C374" t="e">
        <f>VLOOKUP(A374,Defaut!O:O,2,0)</f>
        <v>#REF!</v>
      </c>
      <c r="D374">
        <f>SUMIF([2]Sheet2!$C:$C,A374,[2]Sheet2!$M:$M)</f>
        <v>124000</v>
      </c>
      <c r="E374">
        <f t="shared" si="5"/>
        <v>0</v>
      </c>
    </row>
    <row r="375" spans="1:5" x14ac:dyDescent="0.25">
      <c r="A375" t="s">
        <v>1730</v>
      </c>
      <c r="B375">
        <v>124000</v>
      </c>
      <c r="C375" t="e">
        <f>VLOOKUP(A375,Defaut!O:O,2,0)</f>
        <v>#REF!</v>
      </c>
      <c r="D375">
        <f>SUMIF([2]Sheet2!$C:$C,A375,[2]Sheet2!$M:$M)</f>
        <v>124000</v>
      </c>
      <c r="E375">
        <f t="shared" si="5"/>
        <v>0</v>
      </c>
    </row>
    <row r="376" spans="1:5" x14ac:dyDescent="0.25">
      <c r="A376" t="s">
        <v>1722</v>
      </c>
      <c r="B376">
        <v>274000</v>
      </c>
      <c r="C376" t="e">
        <f>VLOOKUP(A376,Defaut!O:O,2,0)</f>
        <v>#REF!</v>
      </c>
      <c r="D376">
        <f>SUMIF([2]Sheet2!$C:$C,A376,[2]Sheet2!$M:$M)</f>
        <v>274000</v>
      </c>
      <c r="E376">
        <f t="shared" si="5"/>
        <v>0</v>
      </c>
    </row>
    <row r="377" spans="1:5" x14ac:dyDescent="0.25">
      <c r="A377" t="s">
        <v>1714</v>
      </c>
      <c r="B377">
        <v>412000.02</v>
      </c>
      <c r="C377" t="e">
        <f>VLOOKUP(A377,Defaut!O:O,2,0)</f>
        <v>#REF!</v>
      </c>
      <c r="D377">
        <f>SUMIF([2]Sheet2!$C:$C,A377,[2]Sheet2!$M:$M)</f>
        <v>412000</v>
      </c>
      <c r="E377">
        <f t="shared" si="5"/>
        <v>-2.0000000018626451E-2</v>
      </c>
    </row>
    <row r="378" spans="1:5" x14ac:dyDescent="0.25">
      <c r="A378" t="s">
        <v>1706</v>
      </c>
      <c r="B378">
        <v>357000</v>
      </c>
      <c r="C378" t="e">
        <f>VLOOKUP(A378,Defaut!O:O,2,0)</f>
        <v>#REF!</v>
      </c>
      <c r="D378">
        <f>SUMIF([2]Sheet2!$C:$C,A378,[2]Sheet2!$M:$M)</f>
        <v>357000</v>
      </c>
      <c r="E378">
        <f t="shared" si="5"/>
        <v>0</v>
      </c>
    </row>
    <row r="379" spans="1:5" x14ac:dyDescent="0.25">
      <c r="A379" t="s">
        <v>1698</v>
      </c>
      <c r="B379">
        <v>364999.98</v>
      </c>
      <c r="C379" t="e">
        <f>VLOOKUP(A379,Defaut!O:O,2,0)</f>
        <v>#REF!</v>
      </c>
      <c r="D379">
        <f>SUMIF([2]Sheet2!$C:$C,A379,[2]Sheet2!$M:$M)</f>
        <v>365000</v>
      </c>
      <c r="E379">
        <f t="shared" si="5"/>
        <v>2.0000000018626451E-2</v>
      </c>
    </row>
    <row r="380" spans="1:5" x14ac:dyDescent="0.25">
      <c r="A380" t="s">
        <v>1691</v>
      </c>
      <c r="B380">
        <v>401000</v>
      </c>
      <c r="C380" t="e">
        <f>VLOOKUP(A380,Defaut!O:O,2,0)</f>
        <v>#REF!</v>
      </c>
      <c r="D380">
        <f>SUMIF([2]Sheet2!$C:$C,A380,[2]Sheet2!$M:$M)</f>
        <v>401000</v>
      </c>
      <c r="E380">
        <f t="shared" si="5"/>
        <v>0</v>
      </c>
    </row>
    <row r="381" spans="1:5" x14ac:dyDescent="0.25">
      <c r="A381" t="s">
        <v>1683</v>
      </c>
      <c r="B381">
        <v>357000</v>
      </c>
      <c r="C381" t="e">
        <f>VLOOKUP(A381,Defaut!O:O,2,0)</f>
        <v>#REF!</v>
      </c>
      <c r="D381">
        <f>SUMIF([2]Sheet2!$C:$C,A381,[2]Sheet2!$M:$M)</f>
        <v>357000</v>
      </c>
      <c r="E381">
        <f t="shared" si="5"/>
        <v>0</v>
      </c>
    </row>
    <row r="382" spans="1:5" x14ac:dyDescent="0.25">
      <c r="A382" t="s">
        <v>1675</v>
      </c>
      <c r="B382">
        <v>830000.04</v>
      </c>
      <c r="C382" t="e">
        <f>VLOOKUP(A382,Defaut!O:O,2,0)</f>
        <v>#REF!</v>
      </c>
      <c r="D382">
        <f>SUMIF([2]Sheet2!$C:$C,A382,[2]Sheet2!$M:$M)</f>
        <v>830000</v>
      </c>
      <c r="E382">
        <f t="shared" si="5"/>
        <v>-4.0000000037252903E-2</v>
      </c>
    </row>
    <row r="383" spans="1:5" x14ac:dyDescent="0.25">
      <c r="A383" t="s">
        <v>1667</v>
      </c>
      <c r="B383">
        <v>124000</v>
      </c>
      <c r="C383" t="e">
        <f>VLOOKUP(A383,Defaut!O:O,2,0)</f>
        <v>#REF!</v>
      </c>
      <c r="D383">
        <f>SUMIF([2]Sheet2!$C:$C,A383,[2]Sheet2!$M:$M)</f>
        <v>124000</v>
      </c>
      <c r="E383">
        <f t="shared" si="5"/>
        <v>0</v>
      </c>
    </row>
    <row r="384" spans="1:5" x14ac:dyDescent="0.25">
      <c r="A384" t="s">
        <v>1659</v>
      </c>
      <c r="B384">
        <v>124000</v>
      </c>
      <c r="C384" t="e">
        <f>VLOOKUP(A384,Defaut!O:O,2,0)</f>
        <v>#REF!</v>
      </c>
      <c r="D384">
        <f>SUMIF([2]Sheet2!$C:$C,A384,[2]Sheet2!$M:$M)</f>
        <v>124000</v>
      </c>
      <c r="E384">
        <f t="shared" si="5"/>
        <v>0</v>
      </c>
    </row>
    <row r="385" spans="1:5" x14ac:dyDescent="0.25">
      <c r="A385" t="s">
        <v>1651</v>
      </c>
      <c r="B385">
        <v>180999.99</v>
      </c>
      <c r="C385" t="e">
        <f>VLOOKUP(A385,Defaut!O:O,2,0)</f>
        <v>#REF!</v>
      </c>
      <c r="D385">
        <f>SUMIF([2]Sheet2!$C:$C,A385,[2]Sheet2!$M:$M)</f>
        <v>181000</v>
      </c>
      <c r="E385">
        <f t="shared" si="5"/>
        <v>1.0000000009313226E-2</v>
      </c>
    </row>
    <row r="386" spans="1:5" x14ac:dyDescent="0.25">
      <c r="A386" t="s">
        <v>1643</v>
      </c>
      <c r="B386">
        <v>360999.99</v>
      </c>
      <c r="C386" t="e">
        <f>VLOOKUP(A386,Defaut!O:O,2,0)</f>
        <v>#REF!</v>
      </c>
      <c r="D386">
        <f>SUMIF([2]Sheet2!$C:$C,A386,[2]Sheet2!$M:$M)</f>
        <v>361000</v>
      </c>
      <c r="E386">
        <f t="shared" ref="E386:E449" si="6">D386-B386</f>
        <v>1.0000000009313226E-2</v>
      </c>
    </row>
    <row r="387" spans="1:5" x14ac:dyDescent="0.25">
      <c r="A387" t="s">
        <v>1635</v>
      </c>
      <c r="B387">
        <v>516999.99</v>
      </c>
      <c r="C387" t="e">
        <f>VLOOKUP(A387,Defaut!O:O,2,0)</f>
        <v>#REF!</v>
      </c>
      <c r="D387">
        <f>SUMIF([2]Sheet2!$C:$C,A387,[2]Sheet2!$M:$M)</f>
        <v>517000</v>
      </c>
      <c r="E387">
        <f t="shared" si="6"/>
        <v>1.0000000009313226E-2</v>
      </c>
    </row>
    <row r="388" spans="1:5" x14ac:dyDescent="0.25">
      <c r="A388" t="s">
        <v>1627</v>
      </c>
      <c r="B388">
        <v>124000</v>
      </c>
      <c r="C388" t="e">
        <f>VLOOKUP(A388,Defaut!O:O,2,0)</f>
        <v>#REF!</v>
      </c>
      <c r="D388">
        <f>SUMIF([2]Sheet2!$C:$C,A388,[2]Sheet2!$M:$M)</f>
        <v>124000</v>
      </c>
      <c r="E388">
        <f t="shared" si="6"/>
        <v>0</v>
      </c>
    </row>
    <row r="389" spans="1:5" x14ac:dyDescent="0.25">
      <c r="A389" t="s">
        <v>1619</v>
      </c>
      <c r="B389">
        <v>192000</v>
      </c>
      <c r="C389" t="e">
        <f>VLOOKUP(A389,Defaut!O:O,2,0)</f>
        <v>#REF!</v>
      </c>
      <c r="D389">
        <f>SUMIF([2]Sheet2!$C:$C,A389,[2]Sheet2!$M:$M)</f>
        <v>192000</v>
      </c>
      <c r="E389">
        <f t="shared" si="6"/>
        <v>0</v>
      </c>
    </row>
    <row r="390" spans="1:5" x14ac:dyDescent="0.25">
      <c r="A390" t="s">
        <v>1611</v>
      </c>
      <c r="B390">
        <v>327000</v>
      </c>
      <c r="C390" t="e">
        <f>VLOOKUP(A390,Defaut!O:O,2,0)</f>
        <v>#REF!</v>
      </c>
      <c r="D390">
        <f>SUMIF([2]Sheet2!$C:$C,A390,[2]Sheet2!$M:$M)</f>
        <v>327000</v>
      </c>
      <c r="E390">
        <f t="shared" si="6"/>
        <v>0</v>
      </c>
    </row>
    <row r="391" spans="1:5" x14ac:dyDescent="0.25">
      <c r="A391" t="s">
        <v>1603</v>
      </c>
      <c r="B391">
        <v>144999.99</v>
      </c>
      <c r="C391" t="e">
        <f>VLOOKUP(A391,Defaut!O:O,2,0)</f>
        <v>#REF!</v>
      </c>
      <c r="D391">
        <f>SUMIF([2]Sheet2!$C:$C,A391,[2]Sheet2!$M:$M)</f>
        <v>145000</v>
      </c>
      <c r="E391">
        <f t="shared" si="6"/>
        <v>1.0000000009313226E-2</v>
      </c>
    </row>
    <row r="392" spans="1:5" x14ac:dyDescent="0.25">
      <c r="A392" t="s">
        <v>1595</v>
      </c>
      <c r="B392">
        <v>124000</v>
      </c>
      <c r="C392" t="e">
        <f>VLOOKUP(A392,Defaut!O:O,2,0)</f>
        <v>#REF!</v>
      </c>
      <c r="D392">
        <f>SUMIF([2]Sheet2!$C:$C,A392,[2]Sheet2!$M:$M)</f>
        <v>124000</v>
      </c>
      <c r="E392">
        <f t="shared" si="6"/>
        <v>0</v>
      </c>
    </row>
    <row r="393" spans="1:5" x14ac:dyDescent="0.25">
      <c r="A393" t="s">
        <v>1587</v>
      </c>
      <c r="B393">
        <v>364999.98</v>
      </c>
      <c r="C393" t="e">
        <f>VLOOKUP(A393,Defaut!O:O,2,0)</f>
        <v>#REF!</v>
      </c>
      <c r="D393">
        <f>SUMIF([2]Sheet2!$C:$C,A393,[2]Sheet2!$M:$M)</f>
        <v>365000</v>
      </c>
      <c r="E393">
        <f t="shared" si="6"/>
        <v>2.0000000018626451E-2</v>
      </c>
    </row>
    <row r="394" spans="1:5" x14ac:dyDescent="0.25">
      <c r="A394" t="s">
        <v>1579</v>
      </c>
      <c r="B394">
        <v>375000</v>
      </c>
      <c r="C394" t="e">
        <f>VLOOKUP(A394,Defaut!O:O,2,0)</f>
        <v>#REF!</v>
      </c>
      <c r="D394">
        <f>SUMIF([2]Sheet2!$C:$C,A394,[2]Sheet2!$M:$M)</f>
        <v>375000</v>
      </c>
      <c r="E394">
        <f t="shared" si="6"/>
        <v>0</v>
      </c>
    </row>
    <row r="395" spans="1:5" x14ac:dyDescent="0.25">
      <c r="A395" t="s">
        <v>1571</v>
      </c>
      <c r="B395">
        <v>290499.99</v>
      </c>
      <c r="C395" t="e">
        <f>VLOOKUP(A395,Defaut!O:O,2,0)</f>
        <v>#REF!</v>
      </c>
      <c r="D395">
        <f>SUMIF([2]Sheet2!$C:$C,A395,[2]Sheet2!$M:$M)</f>
        <v>290500</v>
      </c>
      <c r="E395">
        <f t="shared" si="6"/>
        <v>1.0000000009313226E-2</v>
      </c>
    </row>
    <row r="396" spans="1:5" x14ac:dyDescent="0.25">
      <c r="A396" t="s">
        <v>1563</v>
      </c>
      <c r="B396">
        <v>192000</v>
      </c>
      <c r="C396" t="e">
        <f>VLOOKUP(A396,Defaut!O:O,2,0)</f>
        <v>#REF!</v>
      </c>
      <c r="D396">
        <f>SUMIF([2]Sheet2!$C:$C,A396,[2]Sheet2!$M:$M)</f>
        <v>192000</v>
      </c>
      <c r="E396">
        <f t="shared" si="6"/>
        <v>0</v>
      </c>
    </row>
    <row r="397" spans="1:5" x14ac:dyDescent="0.25">
      <c r="A397" t="s">
        <v>1555</v>
      </c>
      <c r="B397">
        <v>140499.99</v>
      </c>
      <c r="C397" t="e">
        <f>VLOOKUP(A397,Defaut!O:O,2,0)</f>
        <v>#REF!</v>
      </c>
      <c r="D397">
        <f>SUMIF([2]Sheet2!$C:$C,A397,[2]Sheet2!$M:$M)</f>
        <v>140500</v>
      </c>
      <c r="E397">
        <f t="shared" si="6"/>
        <v>1.0000000009313226E-2</v>
      </c>
    </row>
    <row r="398" spans="1:5" x14ac:dyDescent="0.25">
      <c r="A398" t="s">
        <v>1547</v>
      </c>
      <c r="B398">
        <v>180999.99</v>
      </c>
      <c r="C398" t="e">
        <f>VLOOKUP(A398,Defaut!O:O,2,0)</f>
        <v>#REF!</v>
      </c>
      <c r="D398">
        <f>SUMIF([2]Sheet2!$C:$C,A398,[2]Sheet2!$M:$M)</f>
        <v>181000</v>
      </c>
      <c r="E398">
        <f t="shared" si="6"/>
        <v>1.0000000009313226E-2</v>
      </c>
    </row>
    <row r="399" spans="1:5" x14ac:dyDescent="0.25">
      <c r="A399" t="s">
        <v>1539</v>
      </c>
      <c r="B399">
        <v>375000</v>
      </c>
      <c r="C399" t="e">
        <f>VLOOKUP(A399,Defaut!O:O,2,0)</f>
        <v>#REF!</v>
      </c>
      <c r="D399">
        <f>SUMIF([2]Sheet2!$C:$C,A399,[2]Sheet2!$M:$M)</f>
        <v>375000</v>
      </c>
      <c r="E399">
        <f t="shared" si="6"/>
        <v>0</v>
      </c>
    </row>
    <row r="400" spans="1:5" x14ac:dyDescent="0.25">
      <c r="A400" t="s">
        <v>1531</v>
      </c>
      <c r="B400">
        <v>357000</v>
      </c>
      <c r="C400" t="e">
        <f>VLOOKUP(A400,Defaut!O:O,2,0)</f>
        <v>#REF!</v>
      </c>
      <c r="D400">
        <f>SUMIF([2]Sheet2!$C:$C,A400,[2]Sheet2!$M:$M)</f>
        <v>357000</v>
      </c>
      <c r="E400">
        <f t="shared" si="6"/>
        <v>0</v>
      </c>
    </row>
    <row r="401" spans="1:5" x14ac:dyDescent="0.25">
      <c r="A401" t="s">
        <v>1523</v>
      </c>
      <c r="B401">
        <v>192000</v>
      </c>
      <c r="C401" t="e">
        <f>VLOOKUP(A401,Defaut!O:O,2,0)</f>
        <v>#REF!</v>
      </c>
      <c r="D401">
        <f>SUMIF([2]Sheet2!$C:$C,A401,[2]Sheet2!$M:$M)</f>
        <v>192000</v>
      </c>
      <c r="E401">
        <f t="shared" si="6"/>
        <v>0</v>
      </c>
    </row>
    <row r="402" spans="1:5" x14ac:dyDescent="0.25">
      <c r="A402" t="s">
        <v>1515</v>
      </c>
      <c r="B402">
        <v>379999.98</v>
      </c>
      <c r="C402" t="e">
        <f>VLOOKUP(A402,Defaut!O:O,2,0)</f>
        <v>#REF!</v>
      </c>
      <c r="D402">
        <f>SUMIF([2]Sheet2!$C:$C,A402,[2]Sheet2!$M:$M)</f>
        <v>380000</v>
      </c>
      <c r="E402">
        <f t="shared" si="6"/>
        <v>2.0000000018626451E-2</v>
      </c>
    </row>
    <row r="403" spans="1:5" x14ac:dyDescent="0.25">
      <c r="A403" t="s">
        <v>1507</v>
      </c>
      <c r="B403">
        <v>180999.99</v>
      </c>
      <c r="C403" t="e">
        <f>VLOOKUP(A403,Defaut!O:O,2,0)</f>
        <v>#REF!</v>
      </c>
      <c r="D403">
        <f>SUMIF([2]Sheet2!$C:$C,A403,[2]Sheet2!$M:$M)</f>
        <v>181000</v>
      </c>
      <c r="E403">
        <f t="shared" si="6"/>
        <v>1.0000000009313226E-2</v>
      </c>
    </row>
    <row r="404" spans="1:5" x14ac:dyDescent="0.25">
      <c r="A404" t="s">
        <v>1499</v>
      </c>
      <c r="B404">
        <v>379999.98</v>
      </c>
      <c r="C404" t="e">
        <f>VLOOKUP(A404,Defaut!O:O,2,0)</f>
        <v>#REF!</v>
      </c>
      <c r="D404">
        <f>SUMIF([2]Sheet2!$C:$C,A404,[2]Sheet2!$M:$M)</f>
        <v>380000</v>
      </c>
      <c r="E404">
        <f t="shared" si="6"/>
        <v>2.0000000018626451E-2</v>
      </c>
    </row>
    <row r="405" spans="1:5" x14ac:dyDescent="0.25">
      <c r="A405" t="s">
        <v>1491</v>
      </c>
      <c r="B405">
        <v>491499.99</v>
      </c>
      <c r="C405" t="e">
        <f>VLOOKUP(A405,Defaut!O:O,2,0)</f>
        <v>#REF!</v>
      </c>
      <c r="D405">
        <f>SUMIF([2]Sheet2!$C:$C,A405,[2]Sheet2!$M:$M)</f>
        <v>491500</v>
      </c>
      <c r="E405">
        <f t="shared" si="6"/>
        <v>1.0000000009313226E-2</v>
      </c>
    </row>
    <row r="406" spans="1:5" x14ac:dyDescent="0.25">
      <c r="A406" t="s">
        <v>1483</v>
      </c>
      <c r="B406">
        <v>491499.99</v>
      </c>
      <c r="C406" t="e">
        <f>VLOOKUP(A406,Defaut!O:O,2,0)</f>
        <v>#REF!</v>
      </c>
      <c r="D406">
        <f>SUMIF([2]Sheet2!$C:$C,A406,[2]Sheet2!$M:$M)</f>
        <v>491500</v>
      </c>
      <c r="E406">
        <f t="shared" si="6"/>
        <v>1.0000000009313226E-2</v>
      </c>
    </row>
    <row r="407" spans="1:5" x14ac:dyDescent="0.25">
      <c r="A407" t="s">
        <v>1475</v>
      </c>
      <c r="B407">
        <v>491499.99</v>
      </c>
      <c r="C407" t="e">
        <f>VLOOKUP(A407,Defaut!O:O,2,0)</f>
        <v>#REF!</v>
      </c>
      <c r="D407">
        <f>SUMIF([2]Sheet2!$C:$C,A407,[2]Sheet2!$M:$M)</f>
        <v>491500</v>
      </c>
      <c r="E407">
        <f t="shared" si="6"/>
        <v>1.0000000009313226E-2</v>
      </c>
    </row>
    <row r="408" spans="1:5" x14ac:dyDescent="0.25">
      <c r="A408" t="s">
        <v>1467</v>
      </c>
      <c r="B408">
        <v>491499.99</v>
      </c>
      <c r="C408" t="e">
        <f>VLOOKUP(A408,Defaut!O:O,2,0)</f>
        <v>#REF!</v>
      </c>
      <c r="D408">
        <f>SUMIF([2]Sheet2!$C:$C,A408,[2]Sheet2!$M:$M)</f>
        <v>491500</v>
      </c>
      <c r="E408">
        <f t="shared" si="6"/>
        <v>1.0000000009313226E-2</v>
      </c>
    </row>
    <row r="409" spans="1:5" x14ac:dyDescent="0.25">
      <c r="A409" t="s">
        <v>1459</v>
      </c>
      <c r="B409">
        <v>130000</v>
      </c>
      <c r="C409" t="e">
        <f>VLOOKUP(A409,Defaut!O:O,2,0)</f>
        <v>#REF!</v>
      </c>
      <c r="D409">
        <f>SUMIF([2]Sheet2!$C:$C,A409,[2]Sheet2!$M:$M)</f>
        <v>130000</v>
      </c>
      <c r="E409">
        <f t="shared" si="6"/>
        <v>0</v>
      </c>
    </row>
    <row r="410" spans="1:5" x14ac:dyDescent="0.25">
      <c r="A410" t="s">
        <v>1451</v>
      </c>
      <c r="B410">
        <v>491499.99</v>
      </c>
      <c r="C410" t="e">
        <f>VLOOKUP(A410,Defaut!O:O,2,0)</f>
        <v>#REF!</v>
      </c>
      <c r="D410">
        <f>SUMIF([2]Sheet2!$C:$C,A410,[2]Sheet2!$M:$M)</f>
        <v>491500</v>
      </c>
      <c r="E410">
        <f t="shared" si="6"/>
        <v>1.0000000009313226E-2</v>
      </c>
    </row>
    <row r="411" spans="1:5" x14ac:dyDescent="0.25">
      <c r="A411" t="s">
        <v>1443</v>
      </c>
      <c r="B411">
        <v>357000</v>
      </c>
      <c r="C411" t="e">
        <f>VLOOKUP(A411,Defaut!O:O,2,0)</f>
        <v>#REF!</v>
      </c>
      <c r="D411">
        <f>SUMIF([2]Sheet2!$C:$C,A411,[2]Sheet2!$M:$M)</f>
        <v>357000</v>
      </c>
      <c r="E411">
        <f t="shared" si="6"/>
        <v>0</v>
      </c>
    </row>
    <row r="412" spans="1:5" x14ac:dyDescent="0.25">
      <c r="A412" t="s">
        <v>1435</v>
      </c>
      <c r="B412">
        <v>357000</v>
      </c>
      <c r="C412" t="e">
        <f>VLOOKUP(A412,Defaut!O:O,2,0)</f>
        <v>#REF!</v>
      </c>
      <c r="D412">
        <f>SUMIF([2]Sheet2!$C:$C,A412,[2]Sheet2!$M:$M)</f>
        <v>357000</v>
      </c>
      <c r="E412">
        <f t="shared" si="6"/>
        <v>0</v>
      </c>
    </row>
    <row r="413" spans="1:5" x14ac:dyDescent="0.25">
      <c r="A413" t="s">
        <v>1427</v>
      </c>
      <c r="B413">
        <v>124000</v>
      </c>
      <c r="C413" t="e">
        <f>VLOOKUP(A413,Defaut!O:O,2,0)</f>
        <v>#REF!</v>
      </c>
      <c r="D413">
        <f>SUMIF([2]Sheet2!$C:$C,A413,[2]Sheet2!$M:$M)</f>
        <v>124000</v>
      </c>
      <c r="E413">
        <f t="shared" si="6"/>
        <v>0</v>
      </c>
    </row>
    <row r="414" spans="1:5" x14ac:dyDescent="0.25">
      <c r="A414" t="s">
        <v>1419</v>
      </c>
      <c r="B414">
        <v>394000</v>
      </c>
      <c r="C414" t="e">
        <f>VLOOKUP(A414,Defaut!O:O,2,0)</f>
        <v>#REF!</v>
      </c>
      <c r="D414">
        <f>SUMIF([2]Sheet2!$C:$C,A414,[2]Sheet2!$M:$M)</f>
        <v>394000</v>
      </c>
      <c r="E414">
        <f t="shared" si="6"/>
        <v>0</v>
      </c>
    </row>
    <row r="415" spans="1:5" x14ac:dyDescent="0.25">
      <c r="A415" t="s">
        <v>1411</v>
      </c>
      <c r="B415">
        <v>379999.98</v>
      </c>
      <c r="C415" t="e">
        <f>VLOOKUP(A415,Defaut!O:O,2,0)</f>
        <v>#REF!</v>
      </c>
      <c r="D415">
        <f>SUMIF([2]Sheet2!$C:$C,A415,[2]Sheet2!$M:$M)</f>
        <v>380000</v>
      </c>
      <c r="E415">
        <f t="shared" si="6"/>
        <v>2.0000000018626451E-2</v>
      </c>
    </row>
    <row r="416" spans="1:5" x14ac:dyDescent="0.25">
      <c r="A416" t="s">
        <v>1403</v>
      </c>
      <c r="B416">
        <v>180999.99</v>
      </c>
      <c r="C416" t="e">
        <f>VLOOKUP(A416,Defaut!O:O,2,0)</f>
        <v>#REF!</v>
      </c>
      <c r="D416">
        <f>SUMIF([2]Sheet2!$C:$C,A416,[2]Sheet2!$M:$M)</f>
        <v>181000</v>
      </c>
      <c r="E416">
        <f t="shared" si="6"/>
        <v>1.0000000009313226E-2</v>
      </c>
    </row>
    <row r="417" spans="1:5" x14ac:dyDescent="0.25">
      <c r="A417" t="s">
        <v>1395</v>
      </c>
      <c r="B417">
        <v>417499.99</v>
      </c>
      <c r="C417" t="e">
        <f>VLOOKUP(A417,Defaut!O:O,2,0)</f>
        <v>#REF!</v>
      </c>
      <c r="D417">
        <f>SUMIF([2]Sheet2!$C:$C,A417,[2]Sheet2!$M:$M)</f>
        <v>417500</v>
      </c>
      <c r="E417">
        <f t="shared" si="6"/>
        <v>1.0000000009313226E-2</v>
      </c>
    </row>
    <row r="418" spans="1:5" x14ac:dyDescent="0.25">
      <c r="A418" t="s">
        <v>1387</v>
      </c>
      <c r="B418">
        <v>552000</v>
      </c>
      <c r="C418" t="e">
        <f>VLOOKUP(A418,Defaut!O:O,2,0)</f>
        <v>#REF!</v>
      </c>
      <c r="D418">
        <f>SUMIF([2]Sheet2!$C:$C,A418,[2]Sheet2!$M:$M)</f>
        <v>552000</v>
      </c>
      <c r="E418">
        <f t="shared" si="6"/>
        <v>0</v>
      </c>
    </row>
    <row r="419" spans="1:5" x14ac:dyDescent="0.25">
      <c r="A419" t="s">
        <v>1379</v>
      </c>
      <c r="B419">
        <v>268000</v>
      </c>
      <c r="C419" t="e">
        <f>VLOOKUP(A419,Defaut!O:O,2,0)</f>
        <v>#REF!</v>
      </c>
      <c r="D419">
        <f>SUMIF([2]Sheet2!$C:$C,A419,[2]Sheet2!$M:$M)</f>
        <v>268000</v>
      </c>
      <c r="E419">
        <f t="shared" si="6"/>
        <v>0</v>
      </c>
    </row>
    <row r="420" spans="1:5" x14ac:dyDescent="0.25">
      <c r="A420" t="s">
        <v>1371</v>
      </c>
      <c r="B420">
        <v>180999.99</v>
      </c>
      <c r="C420" t="e">
        <f>VLOOKUP(A420,Defaut!O:O,2,0)</f>
        <v>#REF!</v>
      </c>
      <c r="D420">
        <f>SUMIF([2]Sheet2!$C:$C,A420,[2]Sheet2!$M:$M)</f>
        <v>181000</v>
      </c>
      <c r="E420">
        <f t="shared" si="6"/>
        <v>1.0000000009313226E-2</v>
      </c>
    </row>
    <row r="421" spans="1:5" x14ac:dyDescent="0.25">
      <c r="A421" t="s">
        <v>1363</v>
      </c>
      <c r="B421">
        <v>355999.98</v>
      </c>
      <c r="C421" t="e">
        <f>VLOOKUP(A421,Defaut!O:O,2,0)</f>
        <v>#REF!</v>
      </c>
      <c r="D421">
        <f>SUMIF([2]Sheet2!$C:$C,A421,[2]Sheet2!$M:$M)</f>
        <v>356000</v>
      </c>
      <c r="E421">
        <f t="shared" si="6"/>
        <v>2.0000000018626451E-2</v>
      </c>
    </row>
    <row r="422" spans="1:5" x14ac:dyDescent="0.25">
      <c r="A422" t="s">
        <v>1355</v>
      </c>
      <c r="B422">
        <v>180999.99</v>
      </c>
      <c r="C422" t="e">
        <f>VLOOKUP(A422,Defaut!O:O,2,0)</f>
        <v>#REF!</v>
      </c>
      <c r="D422">
        <f>SUMIF([2]Sheet2!$C:$C,A422,[2]Sheet2!$M:$M)</f>
        <v>181000</v>
      </c>
      <c r="E422">
        <f t="shared" si="6"/>
        <v>1.0000000009313226E-2</v>
      </c>
    </row>
    <row r="423" spans="1:5" x14ac:dyDescent="0.25">
      <c r="A423" t="s">
        <v>1347</v>
      </c>
      <c r="B423">
        <v>192000</v>
      </c>
      <c r="C423" t="e">
        <f>VLOOKUP(A423,Defaut!O:O,2,0)</f>
        <v>#REF!</v>
      </c>
      <c r="D423">
        <f>SUMIF([2]Sheet2!$C:$C,A423,[2]Sheet2!$M:$M)</f>
        <v>192000</v>
      </c>
      <c r="E423">
        <f t="shared" si="6"/>
        <v>0</v>
      </c>
    </row>
    <row r="424" spans="1:5" x14ac:dyDescent="0.25">
      <c r="A424" t="s">
        <v>1339</v>
      </c>
      <c r="B424">
        <v>192000</v>
      </c>
      <c r="C424" t="e">
        <f>VLOOKUP(A424,Defaut!O:O,2,0)</f>
        <v>#REF!</v>
      </c>
      <c r="D424">
        <f>SUMIF([2]Sheet2!$C:$C,A424,[2]Sheet2!$M:$M)</f>
        <v>192000</v>
      </c>
      <c r="E424">
        <f t="shared" si="6"/>
        <v>0</v>
      </c>
    </row>
    <row r="425" spans="1:5" x14ac:dyDescent="0.25">
      <c r="A425" t="s">
        <v>1331</v>
      </c>
      <c r="B425">
        <v>124000</v>
      </c>
      <c r="C425" t="e">
        <f>VLOOKUP(A425,Defaut!O:O,2,0)</f>
        <v>#REF!</v>
      </c>
      <c r="D425">
        <f>SUMIF([2]Sheet2!$C:$C,A425,[2]Sheet2!$M:$M)</f>
        <v>124000</v>
      </c>
      <c r="E425">
        <f t="shared" si="6"/>
        <v>0</v>
      </c>
    </row>
    <row r="426" spans="1:5" x14ac:dyDescent="0.25">
      <c r="A426" t="s">
        <v>1323</v>
      </c>
      <c r="B426">
        <v>379999.98</v>
      </c>
      <c r="C426" t="e">
        <f>VLOOKUP(A426,Defaut!O:O,2,0)</f>
        <v>#REF!</v>
      </c>
      <c r="D426">
        <f>SUMIF([2]Sheet2!$C:$C,A426,[2]Sheet2!$M:$M)</f>
        <v>380000</v>
      </c>
      <c r="E426">
        <f t="shared" si="6"/>
        <v>2.0000000018626451E-2</v>
      </c>
    </row>
    <row r="427" spans="1:5" x14ac:dyDescent="0.25">
      <c r="A427" t="s">
        <v>1315</v>
      </c>
      <c r="B427">
        <v>357000</v>
      </c>
      <c r="C427" t="e">
        <f>VLOOKUP(A427,Defaut!O:O,2,0)</f>
        <v>#REF!</v>
      </c>
      <c r="D427">
        <f>SUMIF([2]Sheet2!$C:$C,A427,[2]Sheet2!$M:$M)</f>
        <v>357000</v>
      </c>
      <c r="E427">
        <f t="shared" si="6"/>
        <v>0</v>
      </c>
    </row>
    <row r="428" spans="1:5" x14ac:dyDescent="0.25">
      <c r="A428" t="s">
        <v>1307</v>
      </c>
      <c r="B428">
        <v>180999.99</v>
      </c>
      <c r="C428" t="e">
        <f>VLOOKUP(A428,Defaut!O:O,2,0)</f>
        <v>#REF!</v>
      </c>
      <c r="D428">
        <f>SUMIF([2]Sheet2!$C:$C,A428,[2]Sheet2!$M:$M)</f>
        <v>181000</v>
      </c>
      <c r="E428">
        <f t="shared" si="6"/>
        <v>1.0000000009313226E-2</v>
      </c>
    </row>
    <row r="429" spans="1:5" x14ac:dyDescent="0.25">
      <c r="A429" t="s">
        <v>1299</v>
      </c>
      <c r="B429">
        <v>379999.98</v>
      </c>
      <c r="C429" t="e">
        <f>VLOOKUP(A429,Defaut!O:O,2,0)</f>
        <v>#REF!</v>
      </c>
      <c r="D429">
        <f>SUMIF([2]Sheet2!$C:$C,A429,[2]Sheet2!$M:$M)</f>
        <v>380000</v>
      </c>
      <c r="E429">
        <f t="shared" si="6"/>
        <v>2.0000000018626451E-2</v>
      </c>
    </row>
    <row r="430" spans="1:5" x14ac:dyDescent="0.25">
      <c r="A430" t="s">
        <v>1291</v>
      </c>
      <c r="B430">
        <v>357000</v>
      </c>
      <c r="C430" t="e">
        <f>VLOOKUP(A430,Defaut!O:O,2,0)</f>
        <v>#REF!</v>
      </c>
      <c r="D430">
        <f>SUMIF([2]Sheet2!$C:$C,A430,[2]Sheet2!$M:$M)</f>
        <v>357000</v>
      </c>
      <c r="E430">
        <f t="shared" si="6"/>
        <v>0</v>
      </c>
    </row>
    <row r="431" spans="1:5" x14ac:dyDescent="0.25">
      <c r="A431" t="s">
        <v>1283</v>
      </c>
      <c r="B431">
        <v>357000</v>
      </c>
      <c r="C431" t="e">
        <f>VLOOKUP(A431,Defaut!O:O,2,0)</f>
        <v>#REF!</v>
      </c>
      <c r="D431">
        <f>SUMIF([2]Sheet2!$C:$C,A431,[2]Sheet2!$M:$M)</f>
        <v>357000</v>
      </c>
      <c r="E431">
        <f t="shared" si="6"/>
        <v>0</v>
      </c>
    </row>
    <row r="432" spans="1:5" x14ac:dyDescent="0.25">
      <c r="A432" t="s">
        <v>1275</v>
      </c>
      <c r="B432">
        <v>180999.99</v>
      </c>
      <c r="C432" t="e">
        <f>VLOOKUP(A432,Defaut!O:O,2,0)</f>
        <v>#REF!</v>
      </c>
      <c r="D432">
        <f>SUMIF([2]Sheet2!$C:$C,A432,[2]Sheet2!$M:$M)</f>
        <v>181000</v>
      </c>
      <c r="E432">
        <f t="shared" si="6"/>
        <v>1.0000000009313226E-2</v>
      </c>
    </row>
    <row r="433" spans="1:5" x14ac:dyDescent="0.25">
      <c r="A433" t="s">
        <v>1267</v>
      </c>
      <c r="B433">
        <v>180999.99</v>
      </c>
      <c r="C433" t="e">
        <f>VLOOKUP(A433,Defaut!O:O,2,0)</f>
        <v>#REF!</v>
      </c>
      <c r="D433">
        <f>SUMIF([2]Sheet2!$C:$C,A433,[2]Sheet2!$M:$M)</f>
        <v>181000</v>
      </c>
      <c r="E433">
        <f t="shared" si="6"/>
        <v>1.0000000009313226E-2</v>
      </c>
    </row>
    <row r="434" spans="1:5" x14ac:dyDescent="0.25">
      <c r="A434" t="s">
        <v>1259</v>
      </c>
      <c r="B434">
        <v>180999.99</v>
      </c>
      <c r="C434" t="e">
        <f>VLOOKUP(A434,Defaut!O:O,2,0)</f>
        <v>#REF!</v>
      </c>
      <c r="D434">
        <f>SUMIF([2]Sheet2!$C:$C,A434,[2]Sheet2!$M:$M)</f>
        <v>181000</v>
      </c>
      <c r="E434">
        <f t="shared" si="6"/>
        <v>1.0000000009313226E-2</v>
      </c>
    </row>
    <row r="435" spans="1:5" x14ac:dyDescent="0.25">
      <c r="A435" t="s">
        <v>1251</v>
      </c>
      <c r="B435">
        <v>144999.99</v>
      </c>
      <c r="C435" t="e">
        <f>VLOOKUP(A435,Defaut!O:O,2,0)</f>
        <v>#REF!</v>
      </c>
      <c r="D435">
        <f>SUMIF([2]Sheet2!$C:$C,A435,[2]Sheet2!$M:$M)</f>
        <v>145000</v>
      </c>
      <c r="E435">
        <f t="shared" si="6"/>
        <v>1.0000000009313226E-2</v>
      </c>
    </row>
    <row r="436" spans="1:5" x14ac:dyDescent="0.25">
      <c r="A436" t="s">
        <v>1243</v>
      </c>
      <c r="B436">
        <v>144999.99</v>
      </c>
      <c r="C436" t="e">
        <f>VLOOKUP(A436,Defaut!O:O,2,0)</f>
        <v>#REF!</v>
      </c>
      <c r="D436">
        <f>SUMIF([2]Sheet2!$C:$C,A436,[2]Sheet2!$M:$M)</f>
        <v>145000</v>
      </c>
      <c r="E436">
        <f t="shared" si="6"/>
        <v>1.0000000009313226E-2</v>
      </c>
    </row>
    <row r="437" spans="1:5" x14ac:dyDescent="0.25">
      <c r="A437" t="s">
        <v>1235</v>
      </c>
      <c r="B437">
        <v>338000.01</v>
      </c>
      <c r="C437" t="e">
        <f>VLOOKUP(A437,Defaut!O:O,2,0)</f>
        <v>#REF!</v>
      </c>
      <c r="D437">
        <f>SUMIF([2]Sheet2!$C:$C,A437,[2]Sheet2!$M:$M)</f>
        <v>338000</v>
      </c>
      <c r="E437">
        <f t="shared" si="6"/>
        <v>-1.0000000009313226E-2</v>
      </c>
    </row>
    <row r="438" spans="1:5" x14ac:dyDescent="0.25">
      <c r="A438" t="s">
        <v>1228</v>
      </c>
      <c r="B438">
        <v>180999.99</v>
      </c>
      <c r="C438" t="e">
        <f>VLOOKUP(A438,Defaut!O:O,2,0)</f>
        <v>#REF!</v>
      </c>
      <c r="D438">
        <f>SUMIF([2]Sheet2!$C:$C,A438,[2]Sheet2!$M:$M)</f>
        <v>181000</v>
      </c>
      <c r="E438">
        <f t="shared" si="6"/>
        <v>1.0000000009313226E-2</v>
      </c>
    </row>
    <row r="439" spans="1:5" x14ac:dyDescent="0.25">
      <c r="A439" t="s">
        <v>1221</v>
      </c>
      <c r="B439">
        <v>180999.99</v>
      </c>
      <c r="C439" t="e">
        <f>VLOOKUP(A439,Defaut!O:O,2,0)</f>
        <v>#REF!</v>
      </c>
      <c r="D439">
        <f>SUMIF([2]Sheet2!$C:$C,A439,[2]Sheet2!$M:$M)</f>
        <v>181000</v>
      </c>
      <c r="E439">
        <f t="shared" si="6"/>
        <v>1.0000000009313226E-2</v>
      </c>
    </row>
    <row r="440" spans="1:5" x14ac:dyDescent="0.25">
      <c r="A440" t="s">
        <v>1214</v>
      </c>
      <c r="B440">
        <v>360999.99</v>
      </c>
      <c r="C440" t="e">
        <f>VLOOKUP(A440,Defaut!O:O,2,0)</f>
        <v>#REF!</v>
      </c>
      <c r="D440">
        <f>SUMIF([2]Sheet2!$C:$C,A440,[2]Sheet2!$M:$M)</f>
        <v>361000</v>
      </c>
      <c r="E440">
        <f t="shared" si="6"/>
        <v>1.0000000009313226E-2</v>
      </c>
    </row>
    <row r="441" spans="1:5" x14ac:dyDescent="0.25">
      <c r="A441" t="s">
        <v>1206</v>
      </c>
      <c r="B441">
        <v>262999.99000000005</v>
      </c>
      <c r="C441" t="e">
        <f>VLOOKUP(A441,Defaut!O:O,2,0)</f>
        <v>#REF!</v>
      </c>
      <c r="D441">
        <f>SUMIF([2]Sheet2!$C:$C,A441,[2]Sheet2!$M:$M)</f>
        <v>263000</v>
      </c>
      <c r="E441">
        <f t="shared" si="6"/>
        <v>9.9999999511055648E-3</v>
      </c>
    </row>
    <row r="442" spans="1:5" x14ac:dyDescent="0.25">
      <c r="A442" t="s">
        <v>1198</v>
      </c>
      <c r="B442">
        <v>180999.99</v>
      </c>
      <c r="C442" t="e">
        <f>VLOOKUP(A442,Defaut!O:O,2,0)</f>
        <v>#REF!</v>
      </c>
      <c r="D442">
        <f>SUMIF([2]Sheet2!$C:$C,A442,[2]Sheet2!$M:$M)</f>
        <v>181000</v>
      </c>
      <c r="E442">
        <f t="shared" si="6"/>
        <v>1.0000000009313226E-2</v>
      </c>
    </row>
    <row r="443" spans="1:5" x14ac:dyDescent="0.25">
      <c r="A443" t="s">
        <v>1191</v>
      </c>
      <c r="B443">
        <v>124000</v>
      </c>
      <c r="C443" t="e">
        <f>VLOOKUP(A443,Defaut!O:O,2,0)</f>
        <v>#REF!</v>
      </c>
      <c r="D443">
        <f>SUMIF([2]Sheet2!$C:$C,A443,[2]Sheet2!$M:$M)</f>
        <v>124000</v>
      </c>
      <c r="E443">
        <f t="shared" si="6"/>
        <v>0</v>
      </c>
    </row>
    <row r="444" spans="1:5" x14ac:dyDescent="0.25">
      <c r="A444" t="s">
        <v>1184</v>
      </c>
      <c r="B444">
        <v>327000</v>
      </c>
      <c r="C444" t="e">
        <f>VLOOKUP(A444,Defaut!O:O,2,0)</f>
        <v>#REF!</v>
      </c>
      <c r="D444">
        <f>SUMIF([2]Sheet2!$C:$C,A444,[2]Sheet2!$M:$M)</f>
        <v>327000</v>
      </c>
      <c r="E444">
        <f t="shared" si="6"/>
        <v>0</v>
      </c>
    </row>
    <row r="445" spans="1:5" x14ac:dyDescent="0.25">
      <c r="A445" t="s">
        <v>1177</v>
      </c>
      <c r="B445">
        <v>357000</v>
      </c>
      <c r="C445" t="e">
        <f>VLOOKUP(A445,Defaut!O:O,2,0)</f>
        <v>#REF!</v>
      </c>
      <c r="D445">
        <f>SUMIF([2]Sheet2!$C:$C,A445,[2]Sheet2!$M:$M)</f>
        <v>357000</v>
      </c>
      <c r="E445">
        <f t="shared" si="6"/>
        <v>0</v>
      </c>
    </row>
    <row r="446" spans="1:5" x14ac:dyDescent="0.25">
      <c r="A446" t="s">
        <v>1169</v>
      </c>
      <c r="B446">
        <v>402000</v>
      </c>
      <c r="C446" t="e">
        <f>VLOOKUP(A446,Defaut!O:O,2,0)</f>
        <v>#REF!</v>
      </c>
      <c r="D446">
        <f>SUMIF([2]Sheet2!$C:$C,A446,[2]Sheet2!$M:$M)</f>
        <v>402000</v>
      </c>
      <c r="E446">
        <f t="shared" si="6"/>
        <v>0</v>
      </c>
    </row>
    <row r="447" spans="1:5" x14ac:dyDescent="0.25">
      <c r="A447" t="s">
        <v>1162</v>
      </c>
      <c r="B447">
        <v>357000</v>
      </c>
      <c r="C447" t="e">
        <f>VLOOKUP(A447,Defaut!O:O,2,0)</f>
        <v>#REF!</v>
      </c>
      <c r="D447">
        <f>SUMIF([2]Sheet2!$C:$C,A447,[2]Sheet2!$M:$M)</f>
        <v>357000</v>
      </c>
      <c r="E447">
        <f t="shared" si="6"/>
        <v>0</v>
      </c>
    </row>
    <row r="448" spans="1:5" x14ac:dyDescent="0.25">
      <c r="A448" t="s">
        <v>1155</v>
      </c>
      <c r="B448">
        <v>379999.98</v>
      </c>
      <c r="C448" t="e">
        <f>VLOOKUP(A448,Defaut!O:O,2,0)</f>
        <v>#REF!</v>
      </c>
      <c r="D448">
        <f>SUMIF([2]Sheet2!$C:$C,A448,[2]Sheet2!$M:$M)</f>
        <v>380000</v>
      </c>
      <c r="E448">
        <f t="shared" si="6"/>
        <v>2.0000000018626451E-2</v>
      </c>
    </row>
    <row r="449" spans="1:5" x14ac:dyDescent="0.25">
      <c r="A449" t="s">
        <v>1147</v>
      </c>
      <c r="B449">
        <v>274000</v>
      </c>
      <c r="C449" t="e">
        <f>VLOOKUP(A449,Defaut!O:O,2,0)</f>
        <v>#REF!</v>
      </c>
      <c r="D449">
        <f>SUMIF([2]Sheet2!$C:$C,A449,[2]Sheet2!$M:$M)</f>
        <v>274000</v>
      </c>
      <c r="E449">
        <f t="shared" si="6"/>
        <v>0</v>
      </c>
    </row>
    <row r="450" spans="1:5" x14ac:dyDescent="0.25">
      <c r="A450" t="s">
        <v>1140</v>
      </c>
      <c r="B450">
        <v>180999.99</v>
      </c>
      <c r="C450" t="e">
        <f>VLOOKUP(A450,Defaut!O:O,2,0)</f>
        <v>#REF!</v>
      </c>
      <c r="D450">
        <f>SUMIF([2]Sheet2!$C:$C,A450,[2]Sheet2!$M:$M)</f>
        <v>181000</v>
      </c>
      <c r="E450">
        <f t="shared" ref="E450:E513" si="7">D450-B450</f>
        <v>1.0000000009313226E-2</v>
      </c>
    </row>
    <row r="451" spans="1:5" x14ac:dyDescent="0.25">
      <c r="A451" t="s">
        <v>1133</v>
      </c>
      <c r="B451">
        <v>357000</v>
      </c>
      <c r="C451" t="e">
        <f>VLOOKUP(A451,Defaut!O:O,2,0)</f>
        <v>#REF!</v>
      </c>
      <c r="D451">
        <f>SUMIF([2]Sheet2!$C:$C,A451,[2]Sheet2!$M:$M)</f>
        <v>357000</v>
      </c>
      <c r="E451">
        <f t="shared" si="7"/>
        <v>0</v>
      </c>
    </row>
    <row r="452" spans="1:5" x14ac:dyDescent="0.25">
      <c r="A452" t="s">
        <v>1125</v>
      </c>
      <c r="B452">
        <v>357000</v>
      </c>
      <c r="C452" t="e">
        <f>VLOOKUP(A452,Defaut!O:O,2,0)</f>
        <v>#REF!</v>
      </c>
      <c r="D452">
        <f>SUMIF([2]Sheet2!$C:$C,A452,[2]Sheet2!$M:$M)</f>
        <v>357000</v>
      </c>
      <c r="E452">
        <f t="shared" si="7"/>
        <v>0</v>
      </c>
    </row>
    <row r="453" spans="1:5" x14ac:dyDescent="0.25">
      <c r="A453" t="s">
        <v>1117</v>
      </c>
      <c r="B453">
        <v>357000</v>
      </c>
      <c r="C453" t="e">
        <f>VLOOKUP(A453,Defaut!O:O,2,0)</f>
        <v>#REF!</v>
      </c>
      <c r="D453">
        <f>SUMIF([2]Sheet2!$C:$C,A453,[2]Sheet2!$M:$M)</f>
        <v>357000</v>
      </c>
      <c r="E453">
        <f t="shared" si="7"/>
        <v>0</v>
      </c>
    </row>
    <row r="454" spans="1:5" x14ac:dyDescent="0.25">
      <c r="A454" t="s">
        <v>1109</v>
      </c>
      <c r="B454">
        <v>357000</v>
      </c>
      <c r="C454" t="e">
        <f>VLOOKUP(A454,Defaut!O:O,2,0)</f>
        <v>#REF!</v>
      </c>
      <c r="D454">
        <f>SUMIF([2]Sheet2!$C:$C,A454,[2]Sheet2!$M:$M)</f>
        <v>357000</v>
      </c>
      <c r="E454">
        <f t="shared" si="7"/>
        <v>0</v>
      </c>
    </row>
    <row r="455" spans="1:5" x14ac:dyDescent="0.25">
      <c r="A455" t="s">
        <v>1101</v>
      </c>
      <c r="B455">
        <v>357000</v>
      </c>
      <c r="C455" t="e">
        <f>VLOOKUP(A455,Defaut!O:O,2,0)</f>
        <v>#REF!</v>
      </c>
      <c r="D455">
        <f>SUMIF([2]Sheet2!$C:$C,A455,[2]Sheet2!$M:$M)</f>
        <v>357000</v>
      </c>
      <c r="E455">
        <f t="shared" si="7"/>
        <v>0</v>
      </c>
    </row>
    <row r="456" spans="1:5" x14ac:dyDescent="0.25">
      <c r="A456" t="s">
        <v>1093</v>
      </c>
      <c r="B456">
        <v>357000</v>
      </c>
      <c r="C456" t="e">
        <f>VLOOKUP(A456,Defaut!O:O,2,0)</f>
        <v>#REF!</v>
      </c>
      <c r="D456">
        <f>SUMIF([2]Sheet2!$C:$C,A456,[2]Sheet2!$M:$M)</f>
        <v>357000</v>
      </c>
      <c r="E456">
        <f t="shared" si="7"/>
        <v>0</v>
      </c>
    </row>
    <row r="457" spans="1:5" x14ac:dyDescent="0.25">
      <c r="A457" t="s">
        <v>1085</v>
      </c>
      <c r="B457">
        <v>364999.98</v>
      </c>
      <c r="C457" t="e">
        <f>VLOOKUP(A457,Defaut!O:O,2,0)</f>
        <v>#REF!</v>
      </c>
      <c r="D457">
        <f>SUMIF([2]Sheet2!$C:$C,A457,[2]Sheet2!$M:$M)</f>
        <v>365000</v>
      </c>
      <c r="E457">
        <f t="shared" si="7"/>
        <v>2.0000000018626451E-2</v>
      </c>
    </row>
    <row r="458" spans="1:5" x14ac:dyDescent="0.25">
      <c r="A458" t="s">
        <v>1077</v>
      </c>
      <c r="B458">
        <v>192000</v>
      </c>
      <c r="C458" t="e">
        <f>VLOOKUP(A458,Defaut!O:O,2,0)</f>
        <v>#REF!</v>
      </c>
      <c r="D458">
        <f>SUMIF([2]Sheet2!$C:$C,A458,[2]Sheet2!$M:$M)</f>
        <v>192000</v>
      </c>
      <c r="E458">
        <f t="shared" si="7"/>
        <v>0</v>
      </c>
    </row>
    <row r="459" spans="1:5" x14ac:dyDescent="0.25">
      <c r="A459" t="s">
        <v>1069</v>
      </c>
      <c r="B459">
        <v>289999.98</v>
      </c>
      <c r="C459" t="e">
        <f>VLOOKUP(A459,Defaut!O:O,2,0)</f>
        <v>#REF!</v>
      </c>
      <c r="D459">
        <f>SUMIF([2]Sheet2!$C:$C,A459,[2]Sheet2!$M:$M)</f>
        <v>290000</v>
      </c>
      <c r="E459">
        <f t="shared" si="7"/>
        <v>2.0000000018626451E-2</v>
      </c>
    </row>
    <row r="460" spans="1:5" x14ac:dyDescent="0.25">
      <c r="A460" t="s">
        <v>1061</v>
      </c>
      <c r="B460">
        <v>357000</v>
      </c>
      <c r="C460" t="e">
        <f>VLOOKUP(A460,Defaut!O:O,2,0)</f>
        <v>#REF!</v>
      </c>
      <c r="D460">
        <f>SUMIF([2]Sheet2!$C:$C,A460,[2]Sheet2!$M:$M)</f>
        <v>357000</v>
      </c>
      <c r="E460">
        <f t="shared" si="7"/>
        <v>0</v>
      </c>
    </row>
    <row r="461" spans="1:5" x14ac:dyDescent="0.25">
      <c r="A461" t="s">
        <v>1053</v>
      </c>
      <c r="B461">
        <v>216000</v>
      </c>
      <c r="C461" t="e">
        <f>VLOOKUP(A461,Defaut!O:O,2,0)</f>
        <v>#REF!</v>
      </c>
      <c r="D461">
        <f>SUMIF([2]Sheet2!$C:$C,A461,[2]Sheet2!$M:$M)</f>
        <v>216000</v>
      </c>
      <c r="E461">
        <f t="shared" si="7"/>
        <v>0</v>
      </c>
    </row>
    <row r="462" spans="1:5" x14ac:dyDescent="0.25">
      <c r="A462" t="s">
        <v>1045</v>
      </c>
      <c r="B462">
        <v>180999.99</v>
      </c>
      <c r="C462" t="e">
        <f>VLOOKUP(A462,Defaut!O:O,2,0)</f>
        <v>#REF!</v>
      </c>
      <c r="D462">
        <f>SUMIF([2]Sheet2!$C:$C,A462,[2]Sheet2!$M:$M)</f>
        <v>181000</v>
      </c>
      <c r="E462">
        <f t="shared" si="7"/>
        <v>1.0000000009313226E-2</v>
      </c>
    </row>
    <row r="463" spans="1:5" x14ac:dyDescent="0.25">
      <c r="A463" t="s">
        <v>1037</v>
      </c>
      <c r="B463">
        <v>140499.99</v>
      </c>
      <c r="C463" t="e">
        <f>VLOOKUP(A463,Defaut!O:O,2,0)</f>
        <v>#REF!</v>
      </c>
      <c r="D463">
        <f>SUMIF([2]Sheet2!$C:$C,A463,[2]Sheet2!$M:$M)</f>
        <v>140500</v>
      </c>
      <c r="E463">
        <f t="shared" si="7"/>
        <v>1.0000000009313226E-2</v>
      </c>
    </row>
    <row r="464" spans="1:5" x14ac:dyDescent="0.25">
      <c r="A464" t="s">
        <v>1029</v>
      </c>
      <c r="B464">
        <v>357000</v>
      </c>
      <c r="C464" t="e">
        <f>VLOOKUP(A464,Defaut!O:O,2,0)</f>
        <v>#REF!</v>
      </c>
      <c r="D464">
        <f>SUMIF([2]Sheet2!$C:$C,A464,[2]Sheet2!$M:$M)</f>
        <v>357000</v>
      </c>
      <c r="E464">
        <f t="shared" si="7"/>
        <v>0</v>
      </c>
    </row>
    <row r="465" spans="1:5" x14ac:dyDescent="0.25">
      <c r="A465" t="s">
        <v>1021</v>
      </c>
      <c r="B465">
        <v>357000</v>
      </c>
      <c r="C465" t="e">
        <f>VLOOKUP(A465,Defaut!O:O,2,0)</f>
        <v>#REF!</v>
      </c>
      <c r="D465">
        <f>SUMIF([2]Sheet2!$C:$C,A465,[2]Sheet2!$M:$M)</f>
        <v>357000</v>
      </c>
      <c r="E465">
        <f t="shared" si="7"/>
        <v>0</v>
      </c>
    </row>
    <row r="466" spans="1:5" x14ac:dyDescent="0.25">
      <c r="A466" t="s">
        <v>1013</v>
      </c>
      <c r="B466">
        <v>180999.99</v>
      </c>
      <c r="C466" t="e">
        <f>VLOOKUP(A466,Defaut!O:O,2,0)</f>
        <v>#REF!</v>
      </c>
      <c r="D466">
        <f>SUMIF([2]Sheet2!$C:$C,A466,[2]Sheet2!$M:$M)</f>
        <v>181000</v>
      </c>
      <c r="E466">
        <f t="shared" si="7"/>
        <v>1.0000000009313226E-2</v>
      </c>
    </row>
    <row r="467" spans="1:5" x14ac:dyDescent="0.25">
      <c r="A467" t="s">
        <v>1005</v>
      </c>
      <c r="B467">
        <v>180999.99</v>
      </c>
      <c r="C467" t="e">
        <f>VLOOKUP(A467,Defaut!O:O,2,0)</f>
        <v>#REF!</v>
      </c>
      <c r="D467">
        <f>SUMIF([2]Sheet2!$C:$C,A467,[2]Sheet2!$M:$M)</f>
        <v>181000</v>
      </c>
      <c r="E467">
        <f t="shared" si="7"/>
        <v>1.0000000009313226E-2</v>
      </c>
    </row>
    <row r="468" spans="1:5" x14ac:dyDescent="0.25">
      <c r="A468" t="s">
        <v>989</v>
      </c>
      <c r="B468">
        <v>357000</v>
      </c>
      <c r="C468" t="e">
        <f>VLOOKUP(A468,Defaut!O:O,2,0)</f>
        <v>#REF!</v>
      </c>
      <c r="D468">
        <f>SUMIF([2]Sheet2!$C:$C,A468,[2]Sheet2!$M:$M)</f>
        <v>357000</v>
      </c>
      <c r="E468">
        <f t="shared" si="7"/>
        <v>0</v>
      </c>
    </row>
    <row r="469" spans="1:5" x14ac:dyDescent="0.25">
      <c r="A469" t="s">
        <v>981</v>
      </c>
      <c r="B469">
        <v>144999.99</v>
      </c>
      <c r="C469" t="e">
        <f>VLOOKUP(A469,Defaut!O:O,2,0)</f>
        <v>#REF!</v>
      </c>
      <c r="D469">
        <f>SUMIF([2]Sheet2!$C:$C,A469,[2]Sheet2!$M:$M)</f>
        <v>145000</v>
      </c>
      <c r="E469">
        <f t="shared" si="7"/>
        <v>1.0000000009313226E-2</v>
      </c>
    </row>
    <row r="470" spans="1:5" x14ac:dyDescent="0.25">
      <c r="A470" t="s">
        <v>974</v>
      </c>
      <c r="B470">
        <v>357000</v>
      </c>
      <c r="C470" t="e">
        <f>VLOOKUP(A470,Defaut!O:O,2,0)</f>
        <v>#REF!</v>
      </c>
      <c r="D470">
        <f>SUMIF([2]Sheet2!$C:$C,A470,[2]Sheet2!$M:$M)</f>
        <v>357000</v>
      </c>
      <c r="E470">
        <f t="shared" si="7"/>
        <v>0</v>
      </c>
    </row>
    <row r="471" spans="1:5" x14ac:dyDescent="0.25">
      <c r="A471" t="s">
        <v>966</v>
      </c>
      <c r="B471">
        <v>124000</v>
      </c>
      <c r="C471" t="e">
        <f>VLOOKUP(A471,Defaut!O:O,2,0)</f>
        <v>#REF!</v>
      </c>
      <c r="D471">
        <f>SUMIF([2]Sheet2!$C:$C,A471,[2]Sheet2!$M:$M)</f>
        <v>124000</v>
      </c>
      <c r="E471">
        <f t="shared" si="7"/>
        <v>0</v>
      </c>
    </row>
    <row r="472" spans="1:5" x14ac:dyDescent="0.25">
      <c r="A472" t="s">
        <v>958</v>
      </c>
      <c r="B472">
        <v>180999.99</v>
      </c>
      <c r="C472" t="e">
        <f>VLOOKUP(A472,Defaut!O:O,2,0)</f>
        <v>#REF!</v>
      </c>
      <c r="D472">
        <f>SUMIF([2]Sheet2!$C:$C,A472,[2]Sheet2!$M:$M)</f>
        <v>181000</v>
      </c>
      <c r="E472">
        <f t="shared" si="7"/>
        <v>1.0000000009313226E-2</v>
      </c>
    </row>
    <row r="473" spans="1:5" x14ac:dyDescent="0.25">
      <c r="A473" t="s">
        <v>950</v>
      </c>
      <c r="B473">
        <v>357000</v>
      </c>
      <c r="C473" t="e">
        <f>VLOOKUP(A473,Defaut!O:O,2,0)</f>
        <v>#REF!</v>
      </c>
      <c r="D473">
        <f>SUMIF([2]Sheet2!$C:$C,A473,[2]Sheet2!$M:$M)</f>
        <v>357000</v>
      </c>
      <c r="E473">
        <f t="shared" si="7"/>
        <v>0</v>
      </c>
    </row>
    <row r="474" spans="1:5" x14ac:dyDescent="0.25">
      <c r="A474" t="s">
        <v>942</v>
      </c>
      <c r="B474">
        <v>357000</v>
      </c>
      <c r="C474" t="e">
        <f>VLOOKUP(A474,Defaut!O:O,2,0)</f>
        <v>#REF!</v>
      </c>
      <c r="D474">
        <f>SUMIF([2]Sheet2!$C:$C,A474,[2]Sheet2!$M:$M)</f>
        <v>357000</v>
      </c>
      <c r="E474">
        <f t="shared" si="7"/>
        <v>0</v>
      </c>
    </row>
    <row r="475" spans="1:5" x14ac:dyDescent="0.25">
      <c r="A475" t="s">
        <v>934</v>
      </c>
      <c r="B475">
        <v>124000</v>
      </c>
      <c r="C475" t="e">
        <f>VLOOKUP(A475,Defaut!O:O,2,0)</f>
        <v>#REF!</v>
      </c>
      <c r="D475">
        <f>SUMIF([2]Sheet2!$C:$C,A475,[2]Sheet2!$M:$M)</f>
        <v>124000</v>
      </c>
      <c r="E475">
        <f t="shared" si="7"/>
        <v>0</v>
      </c>
    </row>
    <row r="476" spans="1:5" x14ac:dyDescent="0.25">
      <c r="A476" t="s">
        <v>926</v>
      </c>
      <c r="B476">
        <v>124000</v>
      </c>
      <c r="C476" t="e">
        <f>VLOOKUP(A476,Defaut!O:O,2,0)</f>
        <v>#REF!</v>
      </c>
      <c r="D476">
        <f>SUMIF([2]Sheet2!$C:$C,A476,[2]Sheet2!$M:$M)</f>
        <v>124000</v>
      </c>
      <c r="E476">
        <f t="shared" si="7"/>
        <v>0</v>
      </c>
    </row>
    <row r="477" spans="1:5" x14ac:dyDescent="0.25">
      <c r="A477" t="s">
        <v>918</v>
      </c>
      <c r="B477">
        <v>379999.98</v>
      </c>
      <c r="C477" t="e">
        <f>VLOOKUP(A477,Defaut!O:O,2,0)</f>
        <v>#REF!</v>
      </c>
      <c r="D477">
        <f>SUMIF([2]Sheet2!$C:$C,A477,[2]Sheet2!$M:$M)</f>
        <v>380000</v>
      </c>
      <c r="E477">
        <f t="shared" si="7"/>
        <v>2.0000000018626451E-2</v>
      </c>
    </row>
    <row r="478" spans="1:5" x14ac:dyDescent="0.25">
      <c r="A478" t="s">
        <v>910</v>
      </c>
      <c r="B478">
        <v>379999.98</v>
      </c>
      <c r="C478" t="e">
        <f>VLOOKUP(A478,Defaut!O:O,2,0)</f>
        <v>#REF!</v>
      </c>
      <c r="D478">
        <f>SUMIF([2]Sheet2!$C:$C,A478,[2]Sheet2!$M:$M)</f>
        <v>380000</v>
      </c>
      <c r="E478">
        <f t="shared" si="7"/>
        <v>2.0000000018626451E-2</v>
      </c>
    </row>
    <row r="479" spans="1:5" x14ac:dyDescent="0.25">
      <c r="A479" t="s">
        <v>902</v>
      </c>
      <c r="B479">
        <v>325000.02</v>
      </c>
      <c r="C479" t="e">
        <f>VLOOKUP(A479,Defaut!O:O,2,0)</f>
        <v>#REF!</v>
      </c>
      <c r="D479">
        <f>SUMIF([2]Sheet2!$C:$C,A479,[2]Sheet2!$M:$M)</f>
        <v>325000</v>
      </c>
      <c r="E479">
        <f t="shared" si="7"/>
        <v>-2.0000000018626451E-2</v>
      </c>
    </row>
    <row r="480" spans="1:5" x14ac:dyDescent="0.25">
      <c r="A480" t="s">
        <v>895</v>
      </c>
      <c r="B480">
        <v>130000</v>
      </c>
      <c r="C480" t="e">
        <f>VLOOKUP(A480,Defaut!O:O,2,0)</f>
        <v>#REF!</v>
      </c>
      <c r="D480">
        <f>SUMIF([2]Sheet2!$C:$C,A480,[2]Sheet2!$M:$M)</f>
        <v>130000</v>
      </c>
      <c r="E480">
        <f t="shared" si="7"/>
        <v>0</v>
      </c>
    </row>
    <row r="481" spans="1:5" x14ac:dyDescent="0.25">
      <c r="A481" t="s">
        <v>887</v>
      </c>
      <c r="B481">
        <v>355999.98</v>
      </c>
      <c r="C481" t="e">
        <f>VLOOKUP(A481,Defaut!O:O,2,0)</f>
        <v>#REF!</v>
      </c>
      <c r="D481">
        <f>SUMIF([2]Sheet2!$C:$C,A481,[2]Sheet2!$M:$M)</f>
        <v>356000</v>
      </c>
      <c r="E481">
        <f t="shared" si="7"/>
        <v>2.0000000018626451E-2</v>
      </c>
    </row>
    <row r="482" spans="1:5" x14ac:dyDescent="0.25">
      <c r="A482" t="s">
        <v>879</v>
      </c>
      <c r="B482">
        <v>140499.99</v>
      </c>
      <c r="C482" t="e">
        <f>VLOOKUP(A482,Defaut!O:O,2,0)</f>
        <v>#REF!</v>
      </c>
      <c r="D482">
        <f>SUMIF([2]Sheet2!$C:$C,A482,[2]Sheet2!$M:$M)</f>
        <v>140500</v>
      </c>
      <c r="E482">
        <f t="shared" si="7"/>
        <v>1.0000000009313226E-2</v>
      </c>
    </row>
    <row r="483" spans="1:5" x14ac:dyDescent="0.25">
      <c r="A483" t="s">
        <v>871</v>
      </c>
      <c r="B483">
        <v>267499.99</v>
      </c>
      <c r="C483" t="e">
        <f>VLOOKUP(A483,Defaut!O:O,2,0)</f>
        <v>#REF!</v>
      </c>
      <c r="D483">
        <f>SUMIF([2]Sheet2!$C:$C,A483,[2]Sheet2!$M:$M)</f>
        <v>267500</v>
      </c>
      <c r="E483">
        <f t="shared" si="7"/>
        <v>1.0000000009313226E-2</v>
      </c>
    </row>
    <row r="484" spans="1:5" x14ac:dyDescent="0.25">
      <c r="A484" t="s">
        <v>863</v>
      </c>
      <c r="B484">
        <v>327000</v>
      </c>
      <c r="C484" t="e">
        <f>VLOOKUP(A484,Defaut!O:O,2,0)</f>
        <v>#REF!</v>
      </c>
      <c r="D484">
        <f>SUMIF([2]Sheet2!$C:$C,A484,[2]Sheet2!$M:$M)</f>
        <v>327000</v>
      </c>
      <c r="E484">
        <f t="shared" si="7"/>
        <v>0</v>
      </c>
    </row>
    <row r="485" spans="1:5" x14ac:dyDescent="0.25">
      <c r="A485" t="s">
        <v>855</v>
      </c>
      <c r="B485">
        <v>357000</v>
      </c>
      <c r="C485" t="e">
        <f>VLOOKUP(A485,Defaut!O:O,2,0)</f>
        <v>#REF!</v>
      </c>
      <c r="D485">
        <f>SUMIF([2]Sheet2!$C:$C,A485,[2]Sheet2!$M:$M)</f>
        <v>357000</v>
      </c>
      <c r="E485">
        <f t="shared" si="7"/>
        <v>0</v>
      </c>
    </row>
    <row r="486" spans="1:5" x14ac:dyDescent="0.25">
      <c r="A486" t="s">
        <v>997</v>
      </c>
      <c r="B486">
        <v>379999.98</v>
      </c>
      <c r="C486" t="e">
        <f>VLOOKUP(A486,Defaut!O:O,2,0)</f>
        <v>#REF!</v>
      </c>
      <c r="D486">
        <f>SUMIF([2]Sheet2!$C:$C,A486,[2]Sheet2!$M:$M)</f>
        <v>380000</v>
      </c>
      <c r="E486">
        <f t="shared" si="7"/>
        <v>2.0000000018626451E-2</v>
      </c>
    </row>
    <row r="487" spans="1:5" x14ac:dyDescent="0.25">
      <c r="A487" t="s">
        <v>847</v>
      </c>
      <c r="B487">
        <v>107000</v>
      </c>
      <c r="C487" t="e">
        <f>VLOOKUP(A487,Defaut!O:O,2,0)</f>
        <v>#REF!</v>
      </c>
      <c r="D487">
        <f>SUMIF([2]Sheet2!$C:$C,A487,[2]Sheet2!$M:$M)</f>
        <v>107000</v>
      </c>
      <c r="E487">
        <f t="shared" si="7"/>
        <v>0</v>
      </c>
    </row>
    <row r="488" spans="1:5" x14ac:dyDescent="0.25">
      <c r="A488" t="s">
        <v>840</v>
      </c>
      <c r="B488">
        <v>364999.98</v>
      </c>
      <c r="C488" t="e">
        <f>VLOOKUP(A488,Defaut!O:O,2,0)</f>
        <v>#REF!</v>
      </c>
      <c r="D488">
        <f>SUMIF([2]Sheet2!$C:$C,A488,[2]Sheet2!$M:$M)</f>
        <v>365000</v>
      </c>
      <c r="E488">
        <f t="shared" si="7"/>
        <v>2.0000000018626451E-2</v>
      </c>
    </row>
    <row r="489" spans="1:5" x14ac:dyDescent="0.25">
      <c r="A489" t="s">
        <v>832</v>
      </c>
      <c r="B489">
        <v>352000.02</v>
      </c>
      <c r="C489" t="e">
        <f>VLOOKUP(A489,Defaut!O:O,2,0)</f>
        <v>#REF!</v>
      </c>
      <c r="D489">
        <f>SUMIF([2]Sheet2!$C:$C,A489,[2]Sheet2!$M:$M)</f>
        <v>352000</v>
      </c>
      <c r="E489">
        <f t="shared" si="7"/>
        <v>-2.0000000018626451E-2</v>
      </c>
    </row>
    <row r="490" spans="1:5" x14ac:dyDescent="0.25">
      <c r="A490" t="s">
        <v>824</v>
      </c>
      <c r="B490">
        <v>357000</v>
      </c>
      <c r="C490" t="e">
        <f>VLOOKUP(A490,Defaut!O:O,2,0)</f>
        <v>#REF!</v>
      </c>
      <c r="D490">
        <f>SUMIF([2]Sheet2!$C:$C,A490,[2]Sheet2!$M:$M)</f>
        <v>357000</v>
      </c>
      <c r="E490">
        <f t="shared" si="7"/>
        <v>0</v>
      </c>
    </row>
    <row r="491" spans="1:5" x14ac:dyDescent="0.25">
      <c r="A491" t="s">
        <v>817</v>
      </c>
      <c r="B491">
        <v>352000.02</v>
      </c>
      <c r="C491" t="e">
        <f>VLOOKUP(A491,Defaut!O:O,2,0)</f>
        <v>#REF!</v>
      </c>
      <c r="D491">
        <f>SUMIF([2]Sheet2!$C:$C,A491,[2]Sheet2!$M:$M)</f>
        <v>352000</v>
      </c>
      <c r="E491">
        <f t="shared" si="7"/>
        <v>-2.0000000018626451E-2</v>
      </c>
    </row>
    <row r="492" spans="1:5" x14ac:dyDescent="0.25">
      <c r="A492" t="s">
        <v>809</v>
      </c>
      <c r="B492">
        <v>180999.99</v>
      </c>
      <c r="C492" t="e">
        <f>VLOOKUP(A492,Defaut!O:O,2,0)</f>
        <v>#REF!</v>
      </c>
      <c r="D492">
        <f>SUMIF([2]Sheet2!$C:$C,A492,[2]Sheet2!$M:$M)</f>
        <v>181000</v>
      </c>
      <c r="E492">
        <f t="shared" si="7"/>
        <v>1.0000000009313226E-2</v>
      </c>
    </row>
    <row r="493" spans="1:5" x14ac:dyDescent="0.25">
      <c r="A493" t="s">
        <v>801</v>
      </c>
      <c r="B493">
        <v>439999.99</v>
      </c>
      <c r="C493" t="e">
        <f>VLOOKUP(A493,Defaut!O:O,2,0)</f>
        <v>#REF!</v>
      </c>
      <c r="D493">
        <f>SUMIF([2]Sheet2!$C:$C,A493,[2]Sheet2!$M:$M)</f>
        <v>440000</v>
      </c>
      <c r="E493">
        <f t="shared" si="7"/>
        <v>1.0000000009313226E-2</v>
      </c>
    </row>
    <row r="494" spans="1:5" x14ac:dyDescent="0.25">
      <c r="A494" t="s">
        <v>793</v>
      </c>
      <c r="B494">
        <v>357000</v>
      </c>
      <c r="C494" t="e">
        <f>VLOOKUP(A494,Defaut!O:O,2,0)</f>
        <v>#REF!</v>
      </c>
      <c r="D494">
        <f>SUMIF([2]Sheet2!$C:$C,A494,[2]Sheet2!$M:$M)</f>
        <v>357000</v>
      </c>
      <c r="E494">
        <f t="shared" si="7"/>
        <v>0</v>
      </c>
    </row>
    <row r="495" spans="1:5" x14ac:dyDescent="0.25">
      <c r="A495" t="s">
        <v>785</v>
      </c>
      <c r="B495">
        <v>351000</v>
      </c>
      <c r="C495" t="e">
        <f>VLOOKUP(A495,Defaut!O:O,2,0)</f>
        <v>#REF!</v>
      </c>
      <c r="D495">
        <f>SUMIF([2]Sheet2!$C:$C,A495,[2]Sheet2!$M:$M)</f>
        <v>351000</v>
      </c>
      <c r="E495">
        <f t="shared" si="7"/>
        <v>0</v>
      </c>
    </row>
    <row r="496" spans="1:5" x14ac:dyDescent="0.25">
      <c r="A496" t="s">
        <v>777</v>
      </c>
      <c r="B496">
        <v>355999.98</v>
      </c>
      <c r="C496" t="e">
        <f>VLOOKUP(A496,Defaut!O:O,2,0)</f>
        <v>#REF!</v>
      </c>
      <c r="D496">
        <f>SUMIF([2]Sheet2!$C:$C,A496,[2]Sheet2!$M:$M)</f>
        <v>356000</v>
      </c>
      <c r="E496">
        <f t="shared" si="7"/>
        <v>2.0000000018626451E-2</v>
      </c>
    </row>
    <row r="497" spans="1:5" x14ac:dyDescent="0.25">
      <c r="A497" t="s">
        <v>769</v>
      </c>
      <c r="B497">
        <v>357000</v>
      </c>
      <c r="C497" t="e">
        <f>VLOOKUP(A497,Defaut!O:O,2,0)</f>
        <v>#REF!</v>
      </c>
      <c r="D497">
        <f>SUMIF([2]Sheet2!$C:$C,A497,[2]Sheet2!$M:$M)</f>
        <v>357000</v>
      </c>
      <c r="E497">
        <f t="shared" si="7"/>
        <v>0</v>
      </c>
    </row>
    <row r="498" spans="1:5" x14ac:dyDescent="0.25">
      <c r="A498" t="s">
        <v>761</v>
      </c>
      <c r="B498">
        <v>357000</v>
      </c>
      <c r="C498" t="e">
        <f>VLOOKUP(A498,Defaut!O:O,2,0)</f>
        <v>#REF!</v>
      </c>
      <c r="D498">
        <f>SUMIF([2]Sheet2!$C:$C,A498,[2]Sheet2!$M:$M)</f>
        <v>357000</v>
      </c>
      <c r="E498">
        <f t="shared" si="7"/>
        <v>0</v>
      </c>
    </row>
    <row r="499" spans="1:5" x14ac:dyDescent="0.25">
      <c r="A499" t="s">
        <v>753</v>
      </c>
      <c r="B499">
        <v>357000</v>
      </c>
      <c r="C499" t="e">
        <f>VLOOKUP(A499,Defaut!O:O,2,0)</f>
        <v>#REF!</v>
      </c>
      <c r="D499">
        <f>SUMIF([2]Sheet2!$C:$C,A499,[2]Sheet2!$M:$M)</f>
        <v>357000</v>
      </c>
      <c r="E499">
        <f t="shared" si="7"/>
        <v>0</v>
      </c>
    </row>
    <row r="500" spans="1:5" x14ac:dyDescent="0.25">
      <c r="A500" t="s">
        <v>745</v>
      </c>
      <c r="B500">
        <v>180999.99</v>
      </c>
      <c r="C500" t="e">
        <f>VLOOKUP(A500,Defaut!O:O,2,0)</f>
        <v>#REF!</v>
      </c>
      <c r="D500">
        <f>SUMIF([2]Sheet2!$C:$C,A500,[2]Sheet2!$M:$M)</f>
        <v>181000</v>
      </c>
      <c r="E500">
        <f t="shared" si="7"/>
        <v>1.0000000009313226E-2</v>
      </c>
    </row>
    <row r="501" spans="1:5" x14ac:dyDescent="0.25">
      <c r="A501" t="s">
        <v>729</v>
      </c>
      <c r="B501">
        <v>357000</v>
      </c>
      <c r="C501" t="e">
        <f>VLOOKUP(A501,Defaut!O:O,2,0)</f>
        <v>#REF!</v>
      </c>
      <c r="D501">
        <f>SUMIF([2]Sheet2!$C:$C,A501,[2]Sheet2!$M:$M)</f>
        <v>357000</v>
      </c>
      <c r="E501">
        <f t="shared" si="7"/>
        <v>0</v>
      </c>
    </row>
    <row r="502" spans="1:5" x14ac:dyDescent="0.25">
      <c r="A502" t="s">
        <v>721</v>
      </c>
      <c r="B502">
        <v>180999.99</v>
      </c>
      <c r="C502" t="e">
        <f>VLOOKUP(A502,Defaut!O:O,2,0)</f>
        <v>#REF!</v>
      </c>
      <c r="D502">
        <f>SUMIF([2]Sheet2!$C:$C,A502,[2]Sheet2!$M:$M)</f>
        <v>181000</v>
      </c>
      <c r="E502">
        <f t="shared" si="7"/>
        <v>1.0000000009313226E-2</v>
      </c>
    </row>
    <row r="503" spans="1:5" x14ac:dyDescent="0.25">
      <c r="A503" t="s">
        <v>713</v>
      </c>
      <c r="B503">
        <v>241000</v>
      </c>
      <c r="C503" t="e">
        <f>VLOOKUP(A503,Defaut!O:O,2,0)</f>
        <v>#REF!</v>
      </c>
      <c r="D503">
        <f>SUMIF([2]Sheet2!$C:$C,A503,[2]Sheet2!$M:$M)</f>
        <v>241000</v>
      </c>
      <c r="E503">
        <f t="shared" si="7"/>
        <v>0</v>
      </c>
    </row>
    <row r="504" spans="1:5" x14ac:dyDescent="0.25">
      <c r="A504" t="s">
        <v>705</v>
      </c>
      <c r="B504">
        <v>124000</v>
      </c>
      <c r="C504" t="e">
        <f>VLOOKUP(A504,Defaut!O:O,2,0)</f>
        <v>#REF!</v>
      </c>
      <c r="D504">
        <f>SUMIF([2]Sheet2!$C:$C,A504,[2]Sheet2!$M:$M)</f>
        <v>124000</v>
      </c>
      <c r="E504">
        <f t="shared" si="7"/>
        <v>0</v>
      </c>
    </row>
    <row r="505" spans="1:5" x14ac:dyDescent="0.25">
      <c r="A505" t="s">
        <v>697</v>
      </c>
      <c r="B505">
        <v>180999.99</v>
      </c>
      <c r="C505" t="e">
        <f>VLOOKUP(A505,Defaut!O:O,2,0)</f>
        <v>#REF!</v>
      </c>
      <c r="D505">
        <f>SUMIF([2]Sheet2!$C:$C,A505,[2]Sheet2!$M:$M)</f>
        <v>181000</v>
      </c>
      <c r="E505">
        <f t="shared" si="7"/>
        <v>1.0000000009313226E-2</v>
      </c>
    </row>
    <row r="506" spans="1:5" x14ac:dyDescent="0.25">
      <c r="A506" t="s">
        <v>689</v>
      </c>
      <c r="B506">
        <v>124000</v>
      </c>
      <c r="C506" t="e">
        <f>VLOOKUP(A506,Defaut!O:O,2,0)</f>
        <v>#REF!</v>
      </c>
      <c r="D506">
        <f>SUMIF([2]Sheet2!$C:$C,A506,[2]Sheet2!$M:$M)</f>
        <v>124000</v>
      </c>
      <c r="E506">
        <f t="shared" si="7"/>
        <v>0</v>
      </c>
    </row>
    <row r="507" spans="1:5" x14ac:dyDescent="0.25">
      <c r="A507" t="s">
        <v>681</v>
      </c>
      <c r="B507">
        <v>357000</v>
      </c>
      <c r="C507" t="e">
        <f>VLOOKUP(A507,Defaut!O:O,2,0)</f>
        <v>#REF!</v>
      </c>
      <c r="D507">
        <f>SUMIF([2]Sheet2!$C:$C,A507,[2]Sheet2!$M:$M)</f>
        <v>357000</v>
      </c>
      <c r="E507">
        <f t="shared" si="7"/>
        <v>0</v>
      </c>
    </row>
    <row r="508" spans="1:5" x14ac:dyDescent="0.25">
      <c r="A508" t="s">
        <v>673</v>
      </c>
      <c r="B508">
        <v>303000</v>
      </c>
      <c r="C508" t="e">
        <f>VLOOKUP(A508,Defaut!O:O,2,0)</f>
        <v>#REF!</v>
      </c>
      <c r="D508">
        <f>SUMIF([2]Sheet2!$C:$C,A508,[2]Sheet2!$M:$M)</f>
        <v>303000</v>
      </c>
      <c r="E508">
        <f t="shared" si="7"/>
        <v>0</v>
      </c>
    </row>
    <row r="509" spans="1:5" x14ac:dyDescent="0.25">
      <c r="A509" t="s">
        <v>665</v>
      </c>
      <c r="B509">
        <v>536499.99</v>
      </c>
      <c r="C509" t="e">
        <f>VLOOKUP(A509,Defaut!O:O,2,0)</f>
        <v>#REF!</v>
      </c>
      <c r="D509">
        <f>SUMIF([2]Sheet2!$C:$C,A509,[2]Sheet2!$M:$M)</f>
        <v>536500</v>
      </c>
      <c r="E509">
        <f t="shared" si="7"/>
        <v>1.0000000009313226E-2</v>
      </c>
    </row>
    <row r="510" spans="1:5" x14ac:dyDescent="0.25">
      <c r="A510" t="s">
        <v>657</v>
      </c>
      <c r="B510">
        <v>357000</v>
      </c>
      <c r="C510" t="e">
        <f>VLOOKUP(A510,Defaut!O:O,2,0)</f>
        <v>#REF!</v>
      </c>
      <c r="D510">
        <f>SUMIF([2]Sheet2!$C:$C,A510,[2]Sheet2!$M:$M)</f>
        <v>357000</v>
      </c>
      <c r="E510">
        <f t="shared" si="7"/>
        <v>0</v>
      </c>
    </row>
    <row r="511" spans="1:5" x14ac:dyDescent="0.25">
      <c r="A511" t="s">
        <v>649</v>
      </c>
      <c r="B511">
        <v>352000.02</v>
      </c>
      <c r="C511" t="e">
        <f>VLOOKUP(A511,Defaut!O:O,2,0)</f>
        <v>#REF!</v>
      </c>
      <c r="D511">
        <f>SUMIF([2]Sheet2!$C:$C,A511,[2]Sheet2!$M:$M)</f>
        <v>352000</v>
      </c>
      <c r="E511">
        <f t="shared" si="7"/>
        <v>-2.0000000018626451E-2</v>
      </c>
    </row>
    <row r="512" spans="1:5" x14ac:dyDescent="0.25">
      <c r="A512" t="s">
        <v>641</v>
      </c>
      <c r="B512">
        <v>357000</v>
      </c>
      <c r="C512" t="e">
        <f>VLOOKUP(A512,Defaut!O:O,2,0)</f>
        <v>#REF!</v>
      </c>
      <c r="D512">
        <f>SUMIF([2]Sheet2!$C:$C,A512,[2]Sheet2!$M:$M)</f>
        <v>357000</v>
      </c>
      <c r="E512">
        <f t="shared" si="7"/>
        <v>0</v>
      </c>
    </row>
    <row r="513" spans="1:5" x14ac:dyDescent="0.25">
      <c r="A513" t="s">
        <v>633</v>
      </c>
      <c r="B513">
        <v>268000</v>
      </c>
      <c r="C513" t="e">
        <f>VLOOKUP(A513,Defaut!O:O,2,0)</f>
        <v>#REF!</v>
      </c>
      <c r="D513">
        <f>SUMIF([2]Sheet2!$C:$C,A513,[2]Sheet2!$M:$M)</f>
        <v>268000</v>
      </c>
      <c r="E513">
        <f t="shared" si="7"/>
        <v>0</v>
      </c>
    </row>
    <row r="514" spans="1:5" x14ac:dyDescent="0.25">
      <c r="A514" t="s">
        <v>625</v>
      </c>
      <c r="B514">
        <v>352000.02</v>
      </c>
      <c r="C514" t="e">
        <f>VLOOKUP(A514,Defaut!O:O,2,0)</f>
        <v>#REF!</v>
      </c>
      <c r="D514">
        <f>SUMIF([2]Sheet2!$C:$C,A514,[2]Sheet2!$M:$M)</f>
        <v>352000</v>
      </c>
      <c r="E514">
        <f t="shared" ref="E514:E576" si="8">D514-B514</f>
        <v>-2.0000000018626451E-2</v>
      </c>
    </row>
    <row r="515" spans="1:5" x14ac:dyDescent="0.25">
      <c r="A515" t="s">
        <v>617</v>
      </c>
      <c r="B515">
        <v>357000</v>
      </c>
      <c r="C515" t="e">
        <f>VLOOKUP(A515,Defaut!O:O,2,0)</f>
        <v>#REF!</v>
      </c>
      <c r="D515">
        <f>SUMIF([2]Sheet2!$C:$C,A515,[2]Sheet2!$M:$M)</f>
        <v>357000</v>
      </c>
      <c r="E515">
        <f t="shared" si="8"/>
        <v>0</v>
      </c>
    </row>
    <row r="516" spans="1:5" x14ac:dyDescent="0.25">
      <c r="A516" t="s">
        <v>609</v>
      </c>
      <c r="B516">
        <v>123000</v>
      </c>
      <c r="C516" t="e">
        <f>VLOOKUP(A516,Defaut!O:O,2,0)</f>
        <v>#REF!</v>
      </c>
      <c r="D516">
        <f>SUMIF([2]Sheet2!$C:$C,A516,[2]Sheet2!$M:$M)</f>
        <v>123000</v>
      </c>
      <c r="E516">
        <f t="shared" si="8"/>
        <v>0</v>
      </c>
    </row>
    <row r="517" spans="1:5" x14ac:dyDescent="0.25">
      <c r="A517" t="s">
        <v>601</v>
      </c>
      <c r="B517">
        <v>357000</v>
      </c>
      <c r="C517" t="e">
        <f>VLOOKUP(A517,Defaut!O:O,2,0)</f>
        <v>#REF!</v>
      </c>
      <c r="D517">
        <f>SUMIF([2]Sheet2!$C:$C,A517,[2]Sheet2!$M:$M)</f>
        <v>357000</v>
      </c>
      <c r="E517">
        <f t="shared" si="8"/>
        <v>0</v>
      </c>
    </row>
    <row r="518" spans="1:5" x14ac:dyDescent="0.25">
      <c r="A518" t="s">
        <v>593</v>
      </c>
      <c r="B518">
        <v>140499.99</v>
      </c>
      <c r="C518" t="e">
        <f>VLOOKUP(A518,Defaut!O:O,2,0)</f>
        <v>#REF!</v>
      </c>
      <c r="D518">
        <f>SUMIF([2]Sheet2!$C:$C,A518,[2]Sheet2!$M:$M)</f>
        <v>140500</v>
      </c>
      <c r="E518">
        <f t="shared" si="8"/>
        <v>1.0000000009313226E-2</v>
      </c>
    </row>
    <row r="519" spans="1:5" x14ac:dyDescent="0.25">
      <c r="A519" t="s">
        <v>585</v>
      </c>
      <c r="B519">
        <v>124000</v>
      </c>
      <c r="C519" t="e">
        <f>VLOOKUP(A519,Defaut!O:O,2,0)</f>
        <v>#REF!</v>
      </c>
      <c r="D519">
        <f>SUMIF([2]Sheet2!$C:$C,A519,[2]Sheet2!$M:$M)</f>
        <v>124000</v>
      </c>
      <c r="E519">
        <f t="shared" si="8"/>
        <v>0</v>
      </c>
    </row>
    <row r="520" spans="1:5" x14ac:dyDescent="0.25">
      <c r="A520" t="s">
        <v>577</v>
      </c>
      <c r="B520">
        <v>140499.99</v>
      </c>
      <c r="C520" t="e">
        <f>VLOOKUP(A520,Defaut!O:O,2,0)</f>
        <v>#REF!</v>
      </c>
      <c r="D520">
        <f>SUMIF([2]Sheet2!$C:$C,A520,[2]Sheet2!$M:$M)</f>
        <v>140500</v>
      </c>
      <c r="E520">
        <f t="shared" si="8"/>
        <v>1.0000000009313226E-2</v>
      </c>
    </row>
    <row r="521" spans="1:5" x14ac:dyDescent="0.25">
      <c r="A521" t="s">
        <v>569</v>
      </c>
      <c r="B521">
        <v>124000</v>
      </c>
      <c r="C521" t="e">
        <f>VLOOKUP(A521,Defaut!O:O,2,0)</f>
        <v>#REF!</v>
      </c>
      <c r="D521">
        <f>SUMIF([2]Sheet2!$C:$C,A521,[2]Sheet2!$M:$M)</f>
        <v>124000</v>
      </c>
      <c r="E521">
        <f t="shared" si="8"/>
        <v>0</v>
      </c>
    </row>
    <row r="522" spans="1:5" x14ac:dyDescent="0.25">
      <c r="A522" t="s">
        <v>561</v>
      </c>
      <c r="B522">
        <v>352000.02</v>
      </c>
      <c r="C522" t="e">
        <f>VLOOKUP(A522,Defaut!O:O,2,0)</f>
        <v>#REF!</v>
      </c>
      <c r="D522">
        <f>SUMIF([2]Sheet2!$C:$C,A522,[2]Sheet2!$M:$M)</f>
        <v>352000</v>
      </c>
      <c r="E522">
        <f t="shared" si="8"/>
        <v>-2.0000000018626451E-2</v>
      </c>
    </row>
    <row r="523" spans="1:5" x14ac:dyDescent="0.25">
      <c r="A523" t="s">
        <v>553</v>
      </c>
      <c r="B523">
        <v>432000</v>
      </c>
      <c r="C523" t="e">
        <f>VLOOKUP(A523,Defaut!O:O,2,0)</f>
        <v>#REF!</v>
      </c>
      <c r="D523">
        <f>SUMIF([2]Sheet2!$C:$C,A523,[2]Sheet2!$M:$M)</f>
        <v>432000</v>
      </c>
      <c r="E523">
        <f t="shared" si="8"/>
        <v>0</v>
      </c>
    </row>
    <row r="524" spans="1:5" x14ac:dyDescent="0.25">
      <c r="A524" t="s">
        <v>545</v>
      </c>
      <c r="B524">
        <v>708000</v>
      </c>
      <c r="C524" t="e">
        <f>VLOOKUP(A524,Defaut!O:O,2,0)</f>
        <v>#REF!</v>
      </c>
      <c r="D524">
        <f>SUMIF([2]Sheet2!$C:$C,A524,[2]Sheet2!$M:$M)</f>
        <v>708000</v>
      </c>
      <c r="E524">
        <f t="shared" si="8"/>
        <v>0</v>
      </c>
    </row>
    <row r="525" spans="1:5" x14ac:dyDescent="0.25">
      <c r="A525" t="s">
        <v>537</v>
      </c>
      <c r="B525">
        <v>334000</v>
      </c>
      <c r="C525" t="e">
        <f>VLOOKUP(A525,Defaut!O:O,2,0)</f>
        <v>#REF!</v>
      </c>
      <c r="D525">
        <f>SUMIF([2]Sheet2!$C:$C,A525,[2]Sheet2!$M:$M)</f>
        <v>334000</v>
      </c>
      <c r="E525">
        <f t="shared" si="8"/>
        <v>0</v>
      </c>
    </row>
    <row r="526" spans="1:5" x14ac:dyDescent="0.25">
      <c r="A526" t="s">
        <v>529</v>
      </c>
      <c r="B526">
        <v>180999.99</v>
      </c>
      <c r="C526" t="e">
        <f>VLOOKUP(A526,Defaut!O:O,2,0)</f>
        <v>#REF!</v>
      </c>
      <c r="D526">
        <f>SUMIF([2]Sheet2!$C:$C,A526,[2]Sheet2!$M:$M)</f>
        <v>181000</v>
      </c>
      <c r="E526">
        <f t="shared" si="8"/>
        <v>1.0000000009313226E-2</v>
      </c>
    </row>
    <row r="527" spans="1:5" x14ac:dyDescent="0.25">
      <c r="A527" t="s">
        <v>521</v>
      </c>
      <c r="B527">
        <v>124000</v>
      </c>
      <c r="C527" t="e">
        <f>VLOOKUP(A527,Defaut!O:O,2,0)</f>
        <v>#REF!</v>
      </c>
      <c r="D527">
        <f>SUMIF([2]Sheet2!$C:$C,A527,[2]Sheet2!$M:$M)</f>
        <v>124000</v>
      </c>
      <c r="E527">
        <f t="shared" si="8"/>
        <v>0</v>
      </c>
    </row>
    <row r="528" spans="1:5" x14ac:dyDescent="0.25">
      <c r="A528" t="s">
        <v>513</v>
      </c>
      <c r="B528">
        <v>352000.02</v>
      </c>
      <c r="C528" t="e">
        <f>VLOOKUP(A528,Defaut!O:O,2,0)</f>
        <v>#REF!</v>
      </c>
      <c r="D528">
        <f>SUMIF([2]Sheet2!$C:$C,A528,[2]Sheet2!$M:$M)</f>
        <v>352000</v>
      </c>
      <c r="E528">
        <f t="shared" si="8"/>
        <v>-2.0000000018626451E-2</v>
      </c>
    </row>
    <row r="529" spans="1:5" x14ac:dyDescent="0.25">
      <c r="A529" t="s">
        <v>505</v>
      </c>
      <c r="B529">
        <v>153999.99</v>
      </c>
      <c r="C529" t="e">
        <f>VLOOKUP(A529,Defaut!O:O,2,0)</f>
        <v>#REF!</v>
      </c>
      <c r="D529">
        <f>SUMIF([2]Sheet2!$C:$C,A529,[2]Sheet2!$M:$M)</f>
        <v>154000</v>
      </c>
      <c r="E529">
        <f t="shared" si="8"/>
        <v>1.0000000009313226E-2</v>
      </c>
    </row>
    <row r="530" spans="1:5" x14ac:dyDescent="0.25">
      <c r="A530" t="s">
        <v>497</v>
      </c>
      <c r="B530">
        <v>357000</v>
      </c>
      <c r="C530" t="e">
        <f>VLOOKUP(A530,Defaut!O:O,2,0)</f>
        <v>#REF!</v>
      </c>
      <c r="D530">
        <f>SUMIF([2]Sheet2!$C:$C,A530,[2]Sheet2!$M:$M)</f>
        <v>357000</v>
      </c>
      <c r="E530">
        <f t="shared" si="8"/>
        <v>0</v>
      </c>
    </row>
    <row r="531" spans="1:5" x14ac:dyDescent="0.25">
      <c r="A531" t="s">
        <v>489</v>
      </c>
      <c r="B531">
        <v>357000</v>
      </c>
      <c r="C531" t="e">
        <f>VLOOKUP(A531,Defaut!O:O,2,0)</f>
        <v>#REF!</v>
      </c>
      <c r="D531">
        <f>SUMIF([2]Sheet2!$C:$C,A531,[2]Sheet2!$M:$M)</f>
        <v>357000</v>
      </c>
      <c r="E531">
        <f t="shared" si="8"/>
        <v>0</v>
      </c>
    </row>
    <row r="532" spans="1:5" x14ac:dyDescent="0.25">
      <c r="A532" t="s">
        <v>481</v>
      </c>
      <c r="B532">
        <v>357000</v>
      </c>
      <c r="C532" t="e">
        <f>VLOOKUP(A532,Defaut!O:O,2,0)</f>
        <v>#REF!</v>
      </c>
      <c r="D532">
        <f>SUMIF([2]Sheet2!$C:$C,A532,[2]Sheet2!$M:$M)</f>
        <v>357000</v>
      </c>
      <c r="E532">
        <f t="shared" si="8"/>
        <v>0</v>
      </c>
    </row>
    <row r="533" spans="1:5" x14ac:dyDescent="0.25">
      <c r="A533" t="s">
        <v>473</v>
      </c>
      <c r="B533">
        <v>356499.99</v>
      </c>
      <c r="C533" t="e">
        <f>VLOOKUP(A533,Defaut!O:O,2,0)</f>
        <v>#REF!</v>
      </c>
      <c r="D533">
        <f>SUMIF([2]Sheet2!$C:$C,A533,[2]Sheet2!$M:$M)</f>
        <v>356500</v>
      </c>
      <c r="E533">
        <f t="shared" si="8"/>
        <v>1.0000000009313226E-2</v>
      </c>
    </row>
    <row r="534" spans="1:5" x14ac:dyDescent="0.25">
      <c r="A534" t="s">
        <v>465</v>
      </c>
      <c r="B534">
        <v>257499.99</v>
      </c>
      <c r="C534" t="e">
        <f>VLOOKUP(A534,Defaut!O:O,2,0)</f>
        <v>#REF!</v>
      </c>
      <c r="D534">
        <f>SUMIF([2]Sheet2!$C:$C,A534,[2]Sheet2!$M:$M)</f>
        <v>257500</v>
      </c>
      <c r="E534">
        <f t="shared" si="8"/>
        <v>1.0000000009313226E-2</v>
      </c>
    </row>
    <row r="535" spans="1:5" x14ac:dyDescent="0.25">
      <c r="A535" t="s">
        <v>457</v>
      </c>
      <c r="B535">
        <v>140499.99</v>
      </c>
      <c r="C535" t="e">
        <f>VLOOKUP(A535,Defaut!O:O,2,0)</f>
        <v>#REF!</v>
      </c>
      <c r="D535">
        <f>SUMIF([2]Sheet2!$C:$C,A535,[2]Sheet2!$M:$M)</f>
        <v>140500</v>
      </c>
      <c r="E535">
        <f t="shared" si="8"/>
        <v>1.0000000009313226E-2</v>
      </c>
    </row>
    <row r="536" spans="1:5" x14ac:dyDescent="0.25">
      <c r="A536" t="s">
        <v>449</v>
      </c>
      <c r="B536">
        <v>124000</v>
      </c>
      <c r="C536" t="e">
        <f>VLOOKUP(A536,Defaut!O:O,2,0)</f>
        <v>#REF!</v>
      </c>
      <c r="D536">
        <f>SUMIF([2]Sheet2!$C:$C,A536,[2]Sheet2!$M:$M)</f>
        <v>124000</v>
      </c>
      <c r="E536">
        <f t="shared" si="8"/>
        <v>0</v>
      </c>
    </row>
    <row r="537" spans="1:5" x14ac:dyDescent="0.25">
      <c r="A537" t="s">
        <v>441</v>
      </c>
      <c r="B537">
        <v>180999.99</v>
      </c>
      <c r="C537" t="e">
        <f>VLOOKUP(A537,Defaut!O:O,2,0)</f>
        <v>#REF!</v>
      </c>
      <c r="D537">
        <f>SUMIF([2]Sheet2!$C:$C,A537,[2]Sheet2!$M:$M)</f>
        <v>181000</v>
      </c>
      <c r="E537">
        <f t="shared" si="8"/>
        <v>1.0000000009313226E-2</v>
      </c>
    </row>
    <row r="538" spans="1:5" x14ac:dyDescent="0.25">
      <c r="A538" t="s">
        <v>433</v>
      </c>
      <c r="B538">
        <v>454999.98</v>
      </c>
      <c r="C538" t="e">
        <f>VLOOKUP(A538,Defaut!O:O,2,0)</f>
        <v>#REF!</v>
      </c>
      <c r="D538">
        <f>SUMIF([2]Sheet2!$C:$C,A538,[2]Sheet2!$M:$M)</f>
        <v>455000</v>
      </c>
      <c r="E538">
        <f t="shared" si="8"/>
        <v>2.0000000018626451E-2</v>
      </c>
    </row>
    <row r="539" spans="1:5" x14ac:dyDescent="0.25">
      <c r="A539" t="s">
        <v>425</v>
      </c>
      <c r="B539">
        <v>355999.98</v>
      </c>
      <c r="C539" t="e">
        <f>VLOOKUP(A539,Defaut!O:O,2,0)</f>
        <v>#REF!</v>
      </c>
      <c r="D539">
        <f>SUMIF([2]Sheet2!$C:$C,A539,[2]Sheet2!$M:$M)</f>
        <v>356000</v>
      </c>
      <c r="E539">
        <f t="shared" si="8"/>
        <v>2.0000000018626451E-2</v>
      </c>
    </row>
    <row r="540" spans="1:5" x14ac:dyDescent="0.25">
      <c r="A540" t="s">
        <v>417</v>
      </c>
      <c r="B540">
        <v>357000</v>
      </c>
      <c r="C540" t="e">
        <f>VLOOKUP(A540,Defaut!O:O,2,0)</f>
        <v>#REF!</v>
      </c>
      <c r="D540">
        <f>SUMIF([2]Sheet2!$C:$C,A540,[2]Sheet2!$M:$M)</f>
        <v>357000</v>
      </c>
      <c r="E540">
        <f t="shared" si="8"/>
        <v>0</v>
      </c>
    </row>
    <row r="541" spans="1:5" x14ac:dyDescent="0.25">
      <c r="A541" t="s">
        <v>409</v>
      </c>
      <c r="B541">
        <v>357000</v>
      </c>
      <c r="C541" t="e">
        <f>VLOOKUP(A541,Defaut!O:O,2,0)</f>
        <v>#REF!</v>
      </c>
      <c r="D541">
        <f>SUMIF([2]Sheet2!$C:$C,A541,[2]Sheet2!$M:$M)</f>
        <v>357000</v>
      </c>
      <c r="E541">
        <f t="shared" si="8"/>
        <v>0</v>
      </c>
    </row>
    <row r="542" spans="1:5" x14ac:dyDescent="0.25">
      <c r="A542" t="s">
        <v>401</v>
      </c>
      <c r="B542">
        <v>180999.99</v>
      </c>
      <c r="C542" t="e">
        <f>VLOOKUP(A542,Defaut!O:O,2,0)</f>
        <v>#REF!</v>
      </c>
      <c r="D542">
        <f>SUMIF([2]Sheet2!$C:$C,A542,[2]Sheet2!$M:$M)</f>
        <v>181000</v>
      </c>
      <c r="E542">
        <f t="shared" si="8"/>
        <v>1.0000000009313226E-2</v>
      </c>
    </row>
    <row r="543" spans="1:5" x14ac:dyDescent="0.25">
      <c r="A543" t="s">
        <v>393</v>
      </c>
      <c r="B543">
        <v>789000</v>
      </c>
      <c r="C543" t="e">
        <f>VLOOKUP(A543,Defaut!O:O,2,0)</f>
        <v>#REF!</v>
      </c>
      <c r="D543">
        <f>SUMIF([2]Sheet2!$C:$C,A543,[2]Sheet2!$M:$M)</f>
        <v>789000</v>
      </c>
      <c r="E543">
        <f t="shared" si="8"/>
        <v>0</v>
      </c>
    </row>
    <row r="544" spans="1:5" x14ac:dyDescent="0.25">
      <c r="A544" t="s">
        <v>385</v>
      </c>
      <c r="B544">
        <v>357000</v>
      </c>
      <c r="C544" t="e">
        <f>VLOOKUP(A544,Defaut!O:O,2,0)</f>
        <v>#REF!</v>
      </c>
      <c r="D544">
        <f>SUMIF([2]Sheet2!$C:$C,A544,[2]Sheet2!$M:$M)</f>
        <v>357000</v>
      </c>
      <c r="E544">
        <f t="shared" si="8"/>
        <v>0</v>
      </c>
    </row>
    <row r="545" spans="1:5" x14ac:dyDescent="0.25">
      <c r="A545" t="s">
        <v>377</v>
      </c>
      <c r="B545">
        <v>144999.99</v>
      </c>
      <c r="C545" t="e">
        <f>VLOOKUP(A545,Defaut!O:O,2,0)</f>
        <v>#REF!</v>
      </c>
      <c r="D545">
        <f>SUMIF([2]Sheet2!$C:$C,A545,[2]Sheet2!$M:$M)</f>
        <v>145000</v>
      </c>
      <c r="E545">
        <f t="shared" si="8"/>
        <v>1.0000000009313226E-2</v>
      </c>
    </row>
    <row r="546" spans="1:5" x14ac:dyDescent="0.25">
      <c r="A546" t="s">
        <v>369</v>
      </c>
      <c r="B546">
        <v>192000</v>
      </c>
      <c r="C546" t="e">
        <f>VLOOKUP(A546,Defaut!O:O,2,0)</f>
        <v>#REF!</v>
      </c>
      <c r="D546">
        <f>SUMIF([2]Sheet2!$C:$C,A546,[2]Sheet2!$M:$M)</f>
        <v>192000</v>
      </c>
      <c r="E546">
        <f t="shared" si="8"/>
        <v>0</v>
      </c>
    </row>
    <row r="547" spans="1:5" x14ac:dyDescent="0.25">
      <c r="A547" t="s">
        <v>361</v>
      </c>
      <c r="B547">
        <v>124000</v>
      </c>
      <c r="C547" t="e">
        <f>VLOOKUP(A547,Defaut!O:O,2,0)</f>
        <v>#REF!</v>
      </c>
      <c r="D547">
        <f>SUMIF([2]Sheet2!$C:$C,A547,[2]Sheet2!$M:$M)</f>
        <v>124000</v>
      </c>
      <c r="E547">
        <f t="shared" si="8"/>
        <v>0</v>
      </c>
    </row>
    <row r="548" spans="1:5" x14ac:dyDescent="0.25">
      <c r="A548" t="s">
        <v>353</v>
      </c>
      <c r="B548">
        <v>360000</v>
      </c>
      <c r="C548" t="e">
        <f>VLOOKUP(A548,Defaut!O:O,2,0)</f>
        <v>#REF!</v>
      </c>
      <c r="D548">
        <f>SUMIF([2]Sheet2!$C:$C,A548,[2]Sheet2!$M:$M)</f>
        <v>360000</v>
      </c>
      <c r="E548">
        <f t="shared" si="8"/>
        <v>0</v>
      </c>
    </row>
    <row r="549" spans="1:5" x14ac:dyDescent="0.25">
      <c r="A549" t="s">
        <v>345</v>
      </c>
      <c r="B549">
        <v>144999.99</v>
      </c>
      <c r="C549" t="e">
        <f>VLOOKUP(A549,Defaut!O:O,2,0)</f>
        <v>#REF!</v>
      </c>
      <c r="D549">
        <f>SUMIF([2]Sheet2!$C:$C,A549,[2]Sheet2!$M:$M)</f>
        <v>145000</v>
      </c>
      <c r="E549">
        <f t="shared" si="8"/>
        <v>1.0000000009313226E-2</v>
      </c>
    </row>
    <row r="550" spans="1:5" x14ac:dyDescent="0.25">
      <c r="A550" t="s">
        <v>337</v>
      </c>
      <c r="B550">
        <v>379999.98</v>
      </c>
      <c r="C550" t="e">
        <f>VLOOKUP(A550,Defaut!O:O,2,0)</f>
        <v>#REF!</v>
      </c>
      <c r="D550">
        <f>SUMIF([2]Sheet2!$C:$C,A550,[2]Sheet2!$M:$M)</f>
        <v>380000</v>
      </c>
      <c r="E550">
        <f t="shared" si="8"/>
        <v>2.0000000018626451E-2</v>
      </c>
    </row>
    <row r="551" spans="1:5" x14ac:dyDescent="0.25">
      <c r="A551" t="s">
        <v>329</v>
      </c>
      <c r="B551">
        <v>144999.99</v>
      </c>
      <c r="C551" t="e">
        <f>VLOOKUP(A551,Defaut!O:O,2,0)</f>
        <v>#REF!</v>
      </c>
      <c r="D551">
        <f>SUMIF([2]Sheet2!$C:$C,A551,[2]Sheet2!$M:$M)</f>
        <v>145000</v>
      </c>
      <c r="E551">
        <f t="shared" si="8"/>
        <v>1.0000000009313226E-2</v>
      </c>
    </row>
    <row r="552" spans="1:5" x14ac:dyDescent="0.25">
      <c r="A552" t="s">
        <v>321</v>
      </c>
      <c r="B552">
        <v>185000.01</v>
      </c>
      <c r="C552" t="e">
        <f>VLOOKUP(A552,Defaut!O:O,2,0)</f>
        <v>#REF!</v>
      </c>
      <c r="D552">
        <f>SUMIF([2]Sheet2!$C:$C,A552,[2]Sheet2!$M:$M)</f>
        <v>185000</v>
      </c>
      <c r="E552">
        <f t="shared" si="8"/>
        <v>-1.0000000009313226E-2</v>
      </c>
    </row>
    <row r="553" spans="1:5" x14ac:dyDescent="0.25">
      <c r="A553" t="s">
        <v>313</v>
      </c>
      <c r="B553">
        <v>325000.02</v>
      </c>
      <c r="C553" t="e">
        <f>VLOOKUP(A553,Defaut!O:O,2,0)</f>
        <v>#REF!</v>
      </c>
      <c r="D553">
        <f>SUMIF([2]Sheet2!$C:$C,A553,[2]Sheet2!$M:$M)</f>
        <v>325000</v>
      </c>
      <c r="E553">
        <f t="shared" si="8"/>
        <v>-2.0000000018626451E-2</v>
      </c>
    </row>
    <row r="554" spans="1:5" x14ac:dyDescent="0.25">
      <c r="A554" t="s">
        <v>305</v>
      </c>
      <c r="B554">
        <v>251000</v>
      </c>
      <c r="C554" t="e">
        <f>VLOOKUP(A554,Defaut!O:O,2,0)</f>
        <v>#REF!</v>
      </c>
      <c r="D554">
        <f>SUMIF([2]Sheet2!$C:$C,A554,[2]Sheet2!$M:$M)</f>
        <v>251000</v>
      </c>
      <c r="E554">
        <f t="shared" si="8"/>
        <v>0</v>
      </c>
    </row>
    <row r="555" spans="1:5" x14ac:dyDescent="0.25">
      <c r="A555" t="s">
        <v>297</v>
      </c>
      <c r="B555">
        <v>144999.99</v>
      </c>
      <c r="C555" t="e">
        <f>VLOOKUP(A555,Defaut!O:O,2,0)</f>
        <v>#REF!</v>
      </c>
      <c r="D555">
        <f>SUMIF([2]Sheet2!$C:$C,A555,[2]Sheet2!$M:$M)</f>
        <v>145000</v>
      </c>
      <c r="E555">
        <f t="shared" si="8"/>
        <v>1.0000000009313226E-2</v>
      </c>
    </row>
    <row r="556" spans="1:5" x14ac:dyDescent="0.25">
      <c r="A556" t="s">
        <v>289</v>
      </c>
      <c r="B556">
        <v>357000</v>
      </c>
      <c r="C556" t="e">
        <f>VLOOKUP(A556,Defaut!O:O,2,0)</f>
        <v>#REF!</v>
      </c>
      <c r="D556">
        <f>SUMIF([2]Sheet2!$C:$C,A556,[2]Sheet2!$M:$M)</f>
        <v>357000</v>
      </c>
      <c r="E556">
        <f t="shared" si="8"/>
        <v>0</v>
      </c>
    </row>
    <row r="557" spans="1:5" x14ac:dyDescent="0.25">
      <c r="A557" t="s">
        <v>281</v>
      </c>
      <c r="B557">
        <v>144000</v>
      </c>
      <c r="C557" t="e">
        <f>VLOOKUP(A557,Defaut!O:O,2,0)</f>
        <v>#REF!</v>
      </c>
      <c r="D557">
        <f>SUMIF([2]Sheet2!$C:$C,A557,[2]Sheet2!$M:$M)</f>
        <v>144000</v>
      </c>
      <c r="E557">
        <f t="shared" si="8"/>
        <v>0</v>
      </c>
    </row>
    <row r="558" spans="1:5" x14ac:dyDescent="0.25">
      <c r="A558" t="s">
        <v>273</v>
      </c>
      <c r="B558">
        <v>355999.98</v>
      </c>
      <c r="C558" t="e">
        <f>VLOOKUP(A558,Defaut!O:O,2,0)</f>
        <v>#REF!</v>
      </c>
      <c r="D558">
        <f>SUMIF([2]Sheet2!$C:$C,A558,[2]Sheet2!$M:$M)</f>
        <v>356000</v>
      </c>
      <c r="E558">
        <f t="shared" si="8"/>
        <v>2.0000000018626451E-2</v>
      </c>
    </row>
    <row r="559" spans="1:5" x14ac:dyDescent="0.25">
      <c r="A559" t="s">
        <v>265</v>
      </c>
      <c r="B559">
        <v>180999.99</v>
      </c>
      <c r="C559" t="e">
        <f>VLOOKUP(A559,Defaut!O:O,2,0)</f>
        <v>#REF!</v>
      </c>
      <c r="D559">
        <f>SUMIF([2]Sheet2!$C:$C,A559,[2]Sheet2!$M:$M)</f>
        <v>181000</v>
      </c>
      <c r="E559">
        <f t="shared" si="8"/>
        <v>1.0000000009313226E-2</v>
      </c>
    </row>
    <row r="560" spans="1:5" x14ac:dyDescent="0.25">
      <c r="A560" t="s">
        <v>257</v>
      </c>
      <c r="B560">
        <v>352000.02</v>
      </c>
      <c r="C560" t="e">
        <f>VLOOKUP(A560,Defaut!O:O,2,0)</f>
        <v>#REF!</v>
      </c>
      <c r="D560">
        <f>SUMIF([2]Sheet2!$C:$C,A560,[2]Sheet2!$M:$M)</f>
        <v>352000</v>
      </c>
      <c r="E560">
        <f t="shared" si="8"/>
        <v>-2.0000000018626451E-2</v>
      </c>
    </row>
    <row r="561" spans="1:5" x14ac:dyDescent="0.25">
      <c r="A561" t="s">
        <v>249</v>
      </c>
      <c r="B561">
        <v>140499.99</v>
      </c>
      <c r="C561" t="e">
        <f>VLOOKUP(A561,Defaut!O:O,2,0)</f>
        <v>#REF!</v>
      </c>
      <c r="D561">
        <f>SUMIF([2]Sheet2!$C:$C,A561,[2]Sheet2!$M:$M)</f>
        <v>140500</v>
      </c>
      <c r="E561">
        <f t="shared" si="8"/>
        <v>1.0000000009313226E-2</v>
      </c>
    </row>
    <row r="562" spans="1:5" x14ac:dyDescent="0.25">
      <c r="A562" t="s">
        <v>241</v>
      </c>
      <c r="B562">
        <v>357000</v>
      </c>
      <c r="C562" t="e">
        <f>VLOOKUP(A562,Defaut!O:O,2,0)</f>
        <v>#REF!</v>
      </c>
      <c r="D562">
        <f>SUMIF([2]Sheet2!$C:$C,A562,[2]Sheet2!$M:$M)</f>
        <v>357000</v>
      </c>
      <c r="E562">
        <f t="shared" si="8"/>
        <v>0</v>
      </c>
    </row>
    <row r="563" spans="1:5" x14ac:dyDescent="0.25">
      <c r="A563" t="s">
        <v>233</v>
      </c>
      <c r="B563">
        <v>357000</v>
      </c>
      <c r="C563" t="e">
        <f>VLOOKUP(A563,Defaut!O:O,2,0)</f>
        <v>#REF!</v>
      </c>
      <c r="D563">
        <f>SUMIF([2]Sheet2!$C:$C,A563,[2]Sheet2!$M:$M)</f>
        <v>357000</v>
      </c>
      <c r="E563">
        <f t="shared" si="8"/>
        <v>0</v>
      </c>
    </row>
    <row r="564" spans="1:5" x14ac:dyDescent="0.25">
      <c r="A564" t="s">
        <v>225</v>
      </c>
      <c r="B564">
        <v>357000</v>
      </c>
      <c r="C564" t="e">
        <f>VLOOKUP(A564,Defaut!O:O,2,0)</f>
        <v>#REF!</v>
      </c>
      <c r="D564">
        <f>SUMIF([2]Sheet2!$C:$C,A564,[2]Sheet2!$M:$M)</f>
        <v>357000</v>
      </c>
      <c r="E564">
        <f t="shared" si="8"/>
        <v>0</v>
      </c>
    </row>
    <row r="565" spans="1:5" x14ac:dyDescent="0.25">
      <c r="A565" t="s">
        <v>217</v>
      </c>
      <c r="B565">
        <v>140499.99</v>
      </c>
      <c r="C565" t="e">
        <f>VLOOKUP(A565,Defaut!O:O,2,0)</f>
        <v>#REF!</v>
      </c>
      <c r="D565">
        <f>SUMIF([2]Sheet2!$C:$C,A565,[2]Sheet2!$M:$M)</f>
        <v>140500</v>
      </c>
      <c r="E565">
        <f t="shared" si="8"/>
        <v>1.0000000009313226E-2</v>
      </c>
    </row>
    <row r="566" spans="1:5" x14ac:dyDescent="0.25">
      <c r="A566" t="s">
        <v>209</v>
      </c>
      <c r="B566">
        <v>357000</v>
      </c>
      <c r="C566" t="e">
        <f>VLOOKUP(A566,Defaut!O:O,2,0)</f>
        <v>#REF!</v>
      </c>
      <c r="D566">
        <f>SUMIF([2]Sheet2!$C:$C,A566,[2]Sheet2!$M:$M)</f>
        <v>357000</v>
      </c>
      <c r="E566">
        <f t="shared" si="8"/>
        <v>0</v>
      </c>
    </row>
    <row r="567" spans="1:5" x14ac:dyDescent="0.25">
      <c r="A567" t="s">
        <v>201</v>
      </c>
      <c r="B567">
        <v>124000</v>
      </c>
      <c r="C567" t="e">
        <f>VLOOKUP(A567,Defaut!O:O,2,0)</f>
        <v>#REF!</v>
      </c>
      <c r="D567">
        <f>SUMIF([2]Sheet2!$C:$C,A567,[2]Sheet2!$M:$M)</f>
        <v>124000</v>
      </c>
      <c r="E567">
        <f t="shared" si="8"/>
        <v>0</v>
      </c>
    </row>
    <row r="568" spans="1:5" x14ac:dyDescent="0.25">
      <c r="A568" t="s">
        <v>193</v>
      </c>
      <c r="B568">
        <v>180999.99</v>
      </c>
      <c r="C568" t="e">
        <f>VLOOKUP(A568,Defaut!O:O,2,0)</f>
        <v>#REF!</v>
      </c>
      <c r="D568">
        <f>SUMIF([2]Sheet2!$C:$C,A568,[2]Sheet2!$M:$M)</f>
        <v>181000</v>
      </c>
      <c r="E568">
        <f t="shared" si="8"/>
        <v>1.0000000009313226E-2</v>
      </c>
    </row>
    <row r="569" spans="1:5" x14ac:dyDescent="0.25">
      <c r="A569" t="s">
        <v>185</v>
      </c>
      <c r="B569">
        <v>130000</v>
      </c>
      <c r="C569" t="e">
        <f>VLOOKUP(A569,Defaut!O:O,2,0)</f>
        <v>#REF!</v>
      </c>
      <c r="D569">
        <f>SUMIF([2]Sheet2!$C:$C,A569,[2]Sheet2!$M:$M)</f>
        <v>130000</v>
      </c>
      <c r="E569">
        <f t="shared" si="8"/>
        <v>0</v>
      </c>
    </row>
    <row r="570" spans="1:5" x14ac:dyDescent="0.25">
      <c r="A570" t="s">
        <v>177</v>
      </c>
      <c r="B570">
        <v>180999.99</v>
      </c>
      <c r="C570" t="e">
        <f>VLOOKUP(A570,Defaut!O:O,2,0)</f>
        <v>#REF!</v>
      </c>
      <c r="D570">
        <f>SUMIF([2]Sheet2!$C:$C,A570,[2]Sheet2!$M:$M)</f>
        <v>181000</v>
      </c>
      <c r="E570">
        <f t="shared" si="8"/>
        <v>1.0000000009313226E-2</v>
      </c>
    </row>
    <row r="571" spans="1:5" x14ac:dyDescent="0.25">
      <c r="A571" t="s">
        <v>169</v>
      </c>
      <c r="B571">
        <v>357000</v>
      </c>
      <c r="C571" t="e">
        <f>VLOOKUP(A571,Defaut!O:O,2,0)</f>
        <v>#REF!</v>
      </c>
      <c r="D571">
        <f>SUMIF([2]Sheet2!$C:$C,A571,[2]Sheet2!$M:$M)</f>
        <v>357000</v>
      </c>
      <c r="E571">
        <f t="shared" si="8"/>
        <v>0</v>
      </c>
    </row>
    <row r="572" spans="1:5" x14ac:dyDescent="0.25">
      <c r="A572" t="s">
        <v>161</v>
      </c>
      <c r="B572">
        <v>307999.98</v>
      </c>
      <c r="C572" t="e">
        <f>VLOOKUP(A572,Defaut!O:O,2,0)</f>
        <v>#REF!</v>
      </c>
      <c r="D572">
        <f>SUMIF([2]Sheet2!$C:$C,A572,[2]Sheet2!$M:$M)</f>
        <v>308000</v>
      </c>
      <c r="E572">
        <f t="shared" si="8"/>
        <v>2.0000000018626451E-2</v>
      </c>
    </row>
    <row r="573" spans="1:5" x14ac:dyDescent="0.25">
      <c r="A573" t="s">
        <v>153</v>
      </c>
      <c r="B573">
        <v>124000</v>
      </c>
      <c r="C573" t="e">
        <f>VLOOKUP(A573,Defaut!O:O,2,0)</f>
        <v>#REF!</v>
      </c>
      <c r="D573">
        <f>SUMIF([2]Sheet2!$C:$C,A573,[2]Sheet2!$M:$M)</f>
        <v>124000</v>
      </c>
      <c r="E573">
        <f t="shared" si="8"/>
        <v>0</v>
      </c>
    </row>
    <row r="574" spans="1:5" x14ac:dyDescent="0.25">
      <c r="A574" t="s">
        <v>145</v>
      </c>
      <c r="B574">
        <v>357000</v>
      </c>
      <c r="C574" t="e">
        <f>VLOOKUP(A574,Defaut!O:O,2,0)</f>
        <v>#REF!</v>
      </c>
      <c r="D574">
        <f>SUMIF([2]Sheet2!$C:$C,A574,[2]Sheet2!$M:$M)</f>
        <v>357000</v>
      </c>
      <c r="E574">
        <f t="shared" si="8"/>
        <v>0</v>
      </c>
    </row>
    <row r="575" spans="1:5" x14ac:dyDescent="0.25">
      <c r="A575" t="s">
        <v>137</v>
      </c>
      <c r="B575">
        <v>268000</v>
      </c>
      <c r="C575" t="e">
        <f>VLOOKUP(A575,Defaut!O:O,2,0)</f>
        <v>#REF!</v>
      </c>
      <c r="D575">
        <f>SUMIF([2]Sheet2!$C:$C,A575,[2]Sheet2!$M:$M)</f>
        <v>268000</v>
      </c>
      <c r="E575">
        <f t="shared" si="8"/>
        <v>0</v>
      </c>
    </row>
    <row r="576" spans="1:5" x14ac:dyDescent="0.25">
      <c r="A576" t="s">
        <v>129</v>
      </c>
      <c r="B576">
        <v>124000</v>
      </c>
      <c r="C576" t="e">
        <f>VLOOKUP(A576,Defaut!O:O,2,0)</f>
        <v>#REF!</v>
      </c>
      <c r="D576">
        <f>SUMIF([2]Sheet2!$C:$C,A576,[2]Sheet2!$M:$M)</f>
        <v>124000</v>
      </c>
      <c r="E576">
        <f t="shared" si="8"/>
        <v>0</v>
      </c>
    </row>
    <row r="577" spans="1:5" x14ac:dyDescent="0.25">
      <c r="A577" t="s">
        <v>737</v>
      </c>
      <c r="B577">
        <v>159999.99</v>
      </c>
      <c r="C577" t="e">
        <f>VLOOKUP(A577,Defaut!O:O,2,0)</f>
        <v>#REF!</v>
      </c>
      <c r="D577">
        <f>VLOOKUP(A577,[1]Sheet2!$F:$G,2,0)</f>
        <v>160000</v>
      </c>
      <c r="E577">
        <f>D577-B577</f>
        <v>1.0000000009313226E-2</v>
      </c>
    </row>
    <row r="578" spans="1:5" x14ac:dyDescent="0.25">
      <c r="A578" t="s">
        <v>3404</v>
      </c>
      <c r="B578">
        <v>552000</v>
      </c>
      <c r="C578" t="e">
        <f>VLOOKUP(A578,Defaut!O:O,2,0)</f>
        <v>#REF!</v>
      </c>
      <c r="D578">
        <f>VLOOKUP(A578,[1]Sheet2!$F:$G,2,0)</f>
        <v>552000</v>
      </c>
      <c r="E578">
        <f t="shared" ref="E578:E579" si="9">D578-B578</f>
        <v>0</v>
      </c>
    </row>
    <row r="579" spans="1:5" x14ac:dyDescent="0.25">
      <c r="A579" t="s">
        <v>3117</v>
      </c>
      <c r="B579">
        <v>390000</v>
      </c>
      <c r="C579" t="e">
        <f>VLOOKUP(A579,Defaut!O:O,2,0)</f>
        <v>#REF!</v>
      </c>
      <c r="D579">
        <f>VLOOKUP(A579,[1]Sheet2!$F:$G,2,0)</f>
        <v>390000</v>
      </c>
      <c r="E579">
        <f t="shared" si="9"/>
        <v>0</v>
      </c>
    </row>
    <row r="580" spans="1:5" x14ac:dyDescent="0.25">
      <c r="A580" t="s">
        <v>4694</v>
      </c>
      <c r="B580">
        <v>65000</v>
      </c>
      <c r="C580" t="e">
        <f>VLOOKUP(A580,Defaut!O:O,2,0)</f>
        <v>#REF!</v>
      </c>
      <c r="D580">
        <f>SUMIF('[3]Order details'!$A:$A,A580,'[3]Order details'!$G:$G)</f>
        <v>65000</v>
      </c>
      <c r="E580">
        <f>D580-B580</f>
        <v>0</v>
      </c>
    </row>
    <row r="581" spans="1:5" x14ac:dyDescent="0.25">
      <c r="A581" t="s">
        <v>4558</v>
      </c>
      <c r="B581">
        <v>134000</v>
      </c>
      <c r="C581" t="e">
        <f>VLOOKUP(A581,Defaut!O:O,2,0)</f>
        <v>#REF!</v>
      </c>
      <c r="D581">
        <f>SUMIF('[3]Order details'!$A:$A,A581,'[3]Order details'!$G:$G)</f>
        <v>134000</v>
      </c>
      <c r="E581">
        <f t="shared" ref="E581:E585" si="10">D581-B581</f>
        <v>0</v>
      </c>
    </row>
    <row r="582" spans="1:5" x14ac:dyDescent="0.25">
      <c r="A582" t="s">
        <v>3428</v>
      </c>
      <c r="B582">
        <v>260000</v>
      </c>
      <c r="C582" t="e">
        <f>VLOOKUP(A582,Defaut!O:O,2,0)</f>
        <v>#REF!</v>
      </c>
      <c r="D582">
        <f>SUMIF('[3]Order details'!$A:$A,A582,'[3]Order details'!$G:$G)</f>
        <v>260000</v>
      </c>
      <c r="E582">
        <f t="shared" si="10"/>
        <v>0</v>
      </c>
    </row>
    <row r="583" spans="1:5" x14ac:dyDescent="0.25">
      <c r="A583" t="s">
        <v>2781</v>
      </c>
      <c r="B583">
        <v>130000</v>
      </c>
      <c r="C583" t="e">
        <f>VLOOKUP(A583,Defaut!O:O,2,0)</f>
        <v>#REF!</v>
      </c>
      <c r="D583">
        <f>SUMIF('[3]Order details'!$A:$A,A583,'[3]Order details'!$G:$G)</f>
        <v>130000</v>
      </c>
      <c r="E583">
        <f t="shared" si="10"/>
        <v>0</v>
      </c>
    </row>
    <row r="584" spans="1:5" x14ac:dyDescent="0.25">
      <c r="A584" t="s">
        <v>2401</v>
      </c>
      <c r="B584">
        <v>384000</v>
      </c>
      <c r="C584" t="e">
        <f>VLOOKUP(A584,Defaut!O:O,2,0)</f>
        <v>#REF!</v>
      </c>
      <c r="D584">
        <f>SUMIF('[3]Order details'!$A:$A,A584,'[3]Order details'!$G:$G)</f>
        <v>384000</v>
      </c>
      <c r="E584">
        <f t="shared" si="10"/>
        <v>0</v>
      </c>
    </row>
    <row r="585" spans="1:5" x14ac:dyDescent="0.25">
      <c r="A585" t="s">
        <v>2122</v>
      </c>
      <c r="B585">
        <v>390000</v>
      </c>
      <c r="C585" t="e">
        <f>VLOOKUP(A585,Defaut!O:O,2,0)</f>
        <v>#REF!</v>
      </c>
      <c r="D585">
        <f>SUMIF('[3]Order details'!$A:$A,A585,'[3]Order details'!$G:$G)</f>
        <v>390000</v>
      </c>
      <c r="E585">
        <f t="shared" si="10"/>
        <v>0</v>
      </c>
    </row>
  </sheetData>
  <autoFilter ref="A1:E585" xr:uid="{D05C5D57-2E48-4068-A31B-8CA16FCC946F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Defaut</vt:lpstr>
      <vt:lpstr>Sheet2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2024-04-11T03:22:04Z</dcterms:created>
  <dcterms:modified xsi:type="dcterms:W3CDTF">2026-04-09T04:46:55Z</dcterms:modified>
</cp:coreProperties>
</file>